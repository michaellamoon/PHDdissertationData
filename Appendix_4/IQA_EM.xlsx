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unR\"/>
    </mc:Choice>
  </mc:AlternateContent>
  <xr:revisionPtr revIDLastSave="0" documentId="13_ncr:1_{A913EFF5-AD28-4798-A1CF-4141D0FC8EEE}" xr6:coauthVersionLast="47" xr6:coauthVersionMax="47" xr10:uidLastSave="{00000000-0000-0000-0000-000000000000}"/>
  <bookViews>
    <workbookView xWindow="28935" yWindow="405" windowWidth="28755" windowHeight="14400" tabRatio="675" activeTab="3" xr2:uid="{00000000-000D-0000-FFFF-FFFF00000000}"/>
  </bookViews>
  <sheets>
    <sheet name="EM_S1_Trace" sheetId="3" r:id="rId1"/>
    <sheet name="EM_S2pooled_Trace" sheetId="6" r:id="rId2"/>
    <sheet name="EM_S1_Class_Annot" sheetId="2" r:id="rId3"/>
    <sheet name="EM_S2pooled_Annot" sheetId="5" r:id="rId4"/>
    <sheet name="EM_separate(z_j^(GW)." sheetId="1" r:id="rId5"/>
    <sheet name="EM_S2pooled_Events" sheetId="4" r:id="rId6"/>
    <sheet name="EM_Final_GroundTruth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86" i="7" l="1"/>
  <c r="AB24" i="7"/>
  <c r="AB19" i="7"/>
  <c r="AB84" i="7"/>
  <c r="AB53" i="7"/>
  <c r="AB3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Michaella Moon</author>
  </authors>
  <commentList>
    <comment ref="C1" authorId="0" shapeId="0" xr:uid="{2122A6BF-E75B-4CED-9973-2B58F407172C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how strongly contributed/ w_i_norm (from ICC)</t>
        </r>
      </text>
    </comment>
    <comment ref="E1" authorId="0" shapeId="0" xr:uid="{073F4B0F-9FE2-429B-90A8-9C209D2CC0EA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EM-estimated annotator bias after fitting Stage 1</t>
        </r>
      </text>
    </comment>
    <comment ref="F1" authorId="0" shapeId="0" xr:uid="{87A58B8B-9285-463C-8754-B1CA399455EA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EM-estimated annotator variance</t>
        </r>
      </text>
    </comment>
    <comment ref="I1" authorId="0" shapeId="0" xr:uid="{0D38C65C-C5E8-4C10-A9FD-CFE51F563CF9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Mean absolute EM residual for that annotator= how well that annotator matches the EM consensus after bias correction</t>
        </r>
      </text>
    </comment>
    <comment ref="K1" authorId="0" shapeId="0" xr:uid="{7B722C71-8944-4E7A-8B8D-8FD8A367DC85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 Rate of large residuals under EM (EM-based outlier-like behavior)</t>
        </r>
      </text>
    </comment>
    <comment ref="L1" authorId="0" shapeId="0" xr:uid="{549E99A3-012E-4BA2-8D63-26ACBE7570A8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how often that annotator strongly disagrees with the fitted model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Michaella Moon</author>
  </authors>
  <commentList>
    <comment ref="K1" authorId="0" shapeId="0" xr:uid="{706913C0-59E3-4128-A3AC-072F59E53C7B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how often that annotator strongly disagrees with the fitted model</t>
        </r>
      </text>
    </comment>
    <comment ref="Y1" authorId="0" shapeId="0" xr:uid="{91C295C8-DBF3-41DD-8A72-28C9F69EE36D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Difference between EM-estimated bias and IQA bias initialization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Michaella Moon</author>
  </authors>
  <commentList>
    <comment ref="D1" authorId="0" shapeId="0" xr:uid="{120303AB-D7A8-4090-9C7F-4F3D92783A2F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Stage 1 class-specific latent onset estimate (seconds)=  zj(W)/(G)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Michaella Moon</author>
  </authors>
  <commentList>
    <comment ref="D1" authorId="0" shapeId="0" xr:uid="{4E2D1EEB-C8B9-4003-87A8-317FE0E2AF64}">
      <text>
        <r>
          <rPr>
            <b/>
            <sz val="9"/>
            <color indexed="81"/>
            <rFont val="Tahoma"/>
            <family val="2"/>
          </rPr>
          <t>Michaella Moon:</t>
        </r>
        <r>
          <rPr>
            <sz val="9"/>
            <color indexed="81"/>
            <rFont val="Tahoma"/>
            <family val="2"/>
          </rPr>
          <t xml:space="preserve">
final pooled EM latent onset estimate (s)</t>
        </r>
      </text>
    </comment>
  </commentList>
</comments>
</file>

<file path=xl/sharedStrings.xml><?xml version="1.0" encoding="utf-8"?>
<sst xmlns="http://schemas.openxmlformats.org/spreadsheetml/2006/main" count="1445" uniqueCount="172">
  <si>
    <t>item_id</t>
  </si>
  <si>
    <t>excerpt</t>
  </si>
  <si>
    <t>event_id</t>
  </si>
  <si>
    <t>z_hat_em</t>
  </si>
  <si>
    <t>n_labels</t>
  </si>
  <si>
    <t>sum_w_eff</t>
  </si>
  <si>
    <t>em_resid_mad</t>
  </si>
  <si>
    <t>em_resid_rmse</t>
  </si>
  <si>
    <t>group</t>
  </si>
  <si>
    <t>stage</t>
  </si>
  <si>
    <t>converged</t>
  </si>
  <si>
    <t>n_iter</t>
  </si>
  <si>
    <t>E1_1</t>
  </si>
  <si>
    <t>E1</t>
  </si>
  <si>
    <t>Gugak</t>
  </si>
  <si>
    <t>stage1_class</t>
  </si>
  <si>
    <t>E1_2</t>
  </si>
  <si>
    <t>E1_3</t>
  </si>
  <si>
    <t>E1_4</t>
  </si>
  <si>
    <t>E1_5</t>
  </si>
  <si>
    <t>E1_6</t>
  </si>
  <si>
    <t>E1_7</t>
  </si>
  <si>
    <t>E1_8</t>
  </si>
  <si>
    <t>E1_9</t>
  </si>
  <si>
    <t>E1_10</t>
  </si>
  <si>
    <t>E1_11</t>
  </si>
  <si>
    <t>E1_12</t>
  </si>
  <si>
    <t>E1_13</t>
  </si>
  <si>
    <t>E1_14</t>
  </si>
  <si>
    <t>E1_15</t>
  </si>
  <si>
    <t>E1_16</t>
  </si>
  <si>
    <t>E2_1</t>
  </si>
  <si>
    <t>E2</t>
  </si>
  <si>
    <t>E2_2</t>
  </si>
  <si>
    <t>E2_3</t>
  </si>
  <si>
    <t>E2_4</t>
  </si>
  <si>
    <t>E2_5</t>
  </si>
  <si>
    <t>E3_1</t>
  </si>
  <si>
    <t>E3</t>
  </si>
  <si>
    <t>E3_2</t>
  </si>
  <si>
    <t>E3_3</t>
  </si>
  <si>
    <t>E3_4</t>
  </si>
  <si>
    <t>E3_5</t>
  </si>
  <si>
    <t>E3_6</t>
  </si>
  <si>
    <t>E3_7</t>
  </si>
  <si>
    <t>E3_8</t>
  </si>
  <si>
    <t>E3_9</t>
  </si>
  <si>
    <t>E3_10</t>
  </si>
  <si>
    <t>E3_11</t>
  </si>
  <si>
    <t>E3_12</t>
  </si>
  <si>
    <t>E3_13</t>
  </si>
  <si>
    <t>E4_1</t>
  </si>
  <si>
    <t>E4</t>
  </si>
  <si>
    <t>E4_2</t>
  </si>
  <si>
    <t>E4_3</t>
  </si>
  <si>
    <t>E4_4</t>
  </si>
  <si>
    <t>E4_5</t>
  </si>
  <si>
    <t>E4_6</t>
  </si>
  <si>
    <t>E4_7</t>
  </si>
  <si>
    <t>E4_8</t>
  </si>
  <si>
    <t>E4_9</t>
  </si>
  <si>
    <t>E4_10</t>
  </si>
  <si>
    <t>E4_11</t>
  </si>
  <si>
    <t>E4_12</t>
  </si>
  <si>
    <t>E4_13</t>
  </si>
  <si>
    <t>E4_14</t>
  </si>
  <si>
    <t>E4_15</t>
  </si>
  <si>
    <t>E4_16</t>
  </si>
  <si>
    <t>E5_1</t>
  </si>
  <si>
    <t>E5</t>
  </si>
  <si>
    <t>E5_2</t>
  </si>
  <si>
    <t>E5_3</t>
  </si>
  <si>
    <t>E5_4</t>
  </si>
  <si>
    <t>E5_5</t>
  </si>
  <si>
    <t>E5_6</t>
  </si>
  <si>
    <t>E5_7</t>
  </si>
  <si>
    <t>E5_8</t>
  </si>
  <si>
    <t>E5_9</t>
  </si>
  <si>
    <t>E5_10</t>
  </si>
  <si>
    <t>E5_11</t>
  </si>
  <si>
    <t>E5_12</t>
  </si>
  <si>
    <t>E5_13</t>
  </si>
  <si>
    <t>E5_14</t>
  </si>
  <si>
    <t>E5_15</t>
  </si>
  <si>
    <t>E5_16</t>
  </si>
  <si>
    <t>E5_17</t>
  </si>
  <si>
    <t>E5_18</t>
  </si>
  <si>
    <t>E5_19</t>
  </si>
  <si>
    <t>E5_20</t>
  </si>
  <si>
    <t>E5_21</t>
  </si>
  <si>
    <t>E5_22</t>
  </si>
  <si>
    <t>E5_23</t>
  </si>
  <si>
    <t>E5_24</t>
  </si>
  <si>
    <t>E5_25</t>
  </si>
  <si>
    <t>E5_26</t>
  </si>
  <si>
    <t>E5_27</t>
  </si>
  <si>
    <t>E5_28</t>
  </si>
  <si>
    <t>E5_29</t>
  </si>
  <si>
    <t>E5_30</t>
  </si>
  <si>
    <t>E5_31</t>
  </si>
  <si>
    <t>Western</t>
  </si>
  <si>
    <t>A_id</t>
  </si>
  <si>
    <t>src_w</t>
  </si>
  <si>
    <t>b_init</t>
  </si>
  <si>
    <t>b_hat_em</t>
  </si>
  <si>
    <t>sigma2_hat</t>
  </si>
  <si>
    <t>sigma_hat</t>
  </si>
  <si>
    <t>em_mean_abs_resid</t>
  </si>
  <si>
    <t>em_outlier_like_rate</t>
  </si>
  <si>
    <t>1- BGL</t>
  </si>
  <si>
    <t>1- CMR</t>
  </si>
  <si>
    <t>1- CSK</t>
  </si>
  <si>
    <t>1- HJK</t>
  </si>
  <si>
    <t>1-JSP</t>
  </si>
  <si>
    <t>0- CM</t>
  </si>
  <si>
    <t>0- LP</t>
  </si>
  <si>
    <t>0-DG</t>
  </si>
  <si>
    <t>0-GM</t>
  </si>
  <si>
    <t>0-KZ</t>
  </si>
  <si>
    <t>iter</t>
  </si>
  <si>
    <t>max_dz</t>
  </si>
  <si>
    <t>max_db</t>
  </si>
  <si>
    <t>max_dsigma</t>
  </si>
  <si>
    <t>obj</t>
  </si>
  <si>
    <t>mu0_stage1</t>
  </si>
  <si>
    <t>lambda</t>
  </si>
  <si>
    <t>t_hat_j</t>
  </si>
  <si>
    <t>MAD_j</t>
  </si>
  <si>
    <t>tau_j</t>
  </si>
  <si>
    <t>A_j</t>
  </si>
  <si>
    <t>P_j</t>
  </si>
  <si>
    <t>C_j</t>
  </si>
  <si>
    <t>conf_class</t>
  </si>
  <si>
    <t>em_shift_from_iqa</t>
  </si>
  <si>
    <t>em_shift_from_stage1</t>
  </si>
  <si>
    <t>medium</t>
  </si>
  <si>
    <t>stage2_all</t>
  </si>
  <si>
    <t>high</t>
  </si>
  <si>
    <t>low</t>
  </si>
  <si>
    <t>ICC</t>
  </si>
  <si>
    <t>w_i_norm</t>
  </si>
  <si>
    <t>MAD_RR</t>
  </si>
  <si>
    <t>drift_R2_minus_R1</t>
  </si>
  <si>
    <t>bias_med</t>
  </si>
  <si>
    <t>outlier_rate</t>
  </si>
  <si>
    <t>mean_abs_err</t>
  </si>
  <si>
    <t>flag_unstable</t>
  </si>
  <si>
    <t>flag_drift</t>
  </si>
  <si>
    <t>flag_outlier_heavy</t>
  </si>
  <si>
    <t>em_bias_delta_from_iqa</t>
  </si>
  <si>
    <t>IQR_j</t>
  </si>
  <si>
    <t>N</t>
  </si>
  <si>
    <t>sum_w</t>
  </si>
  <si>
    <t>spread_j</t>
  </si>
  <si>
    <t>z_stage1_Gugak</t>
  </si>
  <si>
    <t>z_stage1_Western</t>
  </si>
  <si>
    <t>t_GT_em</t>
  </si>
  <si>
    <t>tau_GT</t>
  </si>
  <si>
    <t>IQA</t>
  </si>
  <si>
    <t>Step 2: Pooled EM</t>
  </si>
  <si>
    <t>Step 1: Class EM</t>
  </si>
  <si>
    <t xml:space="preserve"> EM residuals</t>
  </si>
  <si>
    <t xml:space="preserve">FIT WELL </t>
  </si>
  <si>
    <t>NOISY</t>
  </si>
  <si>
    <t xml:space="preserve"> </t>
  </si>
  <si>
    <t>Strong Fit</t>
  </si>
  <si>
    <t>em_mean_abs_resid (ms)</t>
  </si>
  <si>
    <t>EM Consensus</t>
  </si>
  <si>
    <t>Weak Fit</t>
  </si>
  <si>
    <t>Moderate Fit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</si>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</sst>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9" fontId="9" fillId="0" borderId="0" applyFont="0" applyFill="0" applyBorder="0" applyAlignment="0" applyProtection="0"/>
  </cellStyleXfs>
  <cellXfs count="18">
    <xf numFmtId="0" fontId="0" fillId="0" borderId="0" xfId="0"/>
    <xf numFmtId="0" fontId="4" fillId="4" borderId="0" xfId="3"/>
    <xf numFmtId="0" fontId="3" fillId="3" borderId="0" xfId="2"/>
    <xf numFmtId="0" fontId="2" fillId="2" borderId="0" xfId="1"/>
    <xf numFmtId="0" fontId="1" fillId="6" borderId="0" xfId="5"/>
    <xf numFmtId="0" fontId="1" fillId="5" borderId="0" xfId="4" applyBorder="1"/>
    <xf numFmtId="0" fontId="1" fillId="5" borderId="0" xfId="4"/>
    <xf numFmtId="0" fontId="1" fillId="7" borderId="0" xfId="6"/>
    <xf numFmtId="0" fontId="7" fillId="0" borderId="0" xfId="0" applyFont="1"/>
    <xf numFmtId="0" fontId="8" fillId="2" borderId="0" xfId="1" applyFont="1"/>
    <xf numFmtId="0" fontId="0" fillId="0" borderId="0" xfId="0" applyAlignment="1">
      <alignment horizontal="center"/>
    </xf>
    <xf numFmtId="9" fontId="3" fillId="3" borderId="0" xfId="7" applyFont="1" applyFill="1"/>
    <xf numFmtId="0" fontId="3" fillId="3" borderId="0" xfId="2" applyBorder="1"/>
    <xf numFmtId="9" fontId="3" fillId="3" borderId="0" xfId="2" applyNumberFormat="1" applyBorder="1"/>
    <xf numFmtId="2" fontId="3" fillId="3" borderId="0" xfId="2" applyNumberFormat="1"/>
    <xf numFmtId="177" fontId="3" fillId="3" borderId="0" xfId="2" applyNumberFormat="1"/>
    <xf numFmtId="2" fontId="0" fillId="0" borderId="0" xfId="0" applyNumberFormat="1"/>
    <xf numFmtId="0" fontId="3" fillId="3" borderId="0" xfId="2" applyBorder="1" applyAlignment="1">
      <alignment vertical="center"/>
    </xf>
  </cellXfs>
  <cellStyles count="8">
    <cellStyle name="20% - Accent3" xfId="4" builtinId="38"/>
    <cellStyle name="20% - Accent4" xfId="5" builtinId="42"/>
    <cellStyle name="20% - Accent6" xfId="6" builtinId="50"/>
    <cellStyle name="Bad" xfId="2" builtinId="27"/>
    <cellStyle name="Good" xfId="1" builtinId="26"/>
    <cellStyle name="Neutral" xfId="3" builtinId="28"/>
    <cellStyle name="Normal" xfId="0" builtinId="0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workbookViewId="0">
      <selection activeCell="G20" sqref="G20:G21"/>
    </sheetView>
  </sheetViews>
  <sheetFormatPr defaultColWidth="11.42578125" defaultRowHeight="15" x14ac:dyDescent="0.2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s="1" t="s">
        <v>123</v>
      </c>
      <c r="F1" t="s">
        <v>8</v>
      </c>
    </row>
    <row r="2" spans="1:6" x14ac:dyDescent="0.25">
      <c r="A2">
        <v>1</v>
      </c>
      <c r="B2">
        <v>1.19440103366131E-3</v>
      </c>
      <c r="C2">
        <v>6.5789993001492096E-3</v>
      </c>
      <c r="D2">
        <v>5.8939411175678797E-3</v>
      </c>
      <c r="E2" s="1">
        <v>441.59862018166302</v>
      </c>
      <c r="F2" t="s">
        <v>14</v>
      </c>
    </row>
    <row r="3" spans="1:6" x14ac:dyDescent="0.25">
      <c r="A3">
        <v>2</v>
      </c>
      <c r="B3">
        <v>1.1305013384213001E-2</v>
      </c>
      <c r="C3">
        <v>1.0199911907540801E-4</v>
      </c>
      <c r="D3">
        <v>1.3617675698769199E-4</v>
      </c>
      <c r="E3" s="1">
        <v>441.60085812741499</v>
      </c>
      <c r="F3" t="s">
        <v>14</v>
      </c>
    </row>
    <row r="4" spans="1:6" x14ac:dyDescent="0.25">
      <c r="A4">
        <v>3</v>
      </c>
      <c r="B4">
        <v>3.9805953964862101E-3</v>
      </c>
      <c r="C4">
        <v>9.5014827680969804E-5</v>
      </c>
      <c r="D4">
        <v>4.1433520283961999E-5</v>
      </c>
      <c r="E4" s="1">
        <v>441.60552933491101</v>
      </c>
      <c r="F4" t="s">
        <v>14</v>
      </c>
    </row>
    <row r="5" spans="1:6" x14ac:dyDescent="0.25">
      <c r="A5">
        <v>4</v>
      </c>
      <c r="B5">
        <v>2.8669387777213698E-3</v>
      </c>
      <c r="C5">
        <v>5.4265574770312497E-5</v>
      </c>
      <c r="D5">
        <v>1.9889856406553799E-5</v>
      </c>
      <c r="E5" s="1">
        <v>441.60857024344199</v>
      </c>
      <c r="F5" t="s">
        <v>14</v>
      </c>
    </row>
    <row r="6" spans="1:6" x14ac:dyDescent="0.25">
      <c r="A6">
        <v>5</v>
      </c>
      <c r="B6">
        <v>1.8215317111778301E-3</v>
      </c>
      <c r="C6">
        <v>3.08273873248638E-5</v>
      </c>
      <c r="D6">
        <v>1.11650843274938E-5</v>
      </c>
      <c r="E6" s="1">
        <v>441.61040987304699</v>
      </c>
      <c r="F6" t="s">
        <v>14</v>
      </c>
    </row>
    <row r="7" spans="1:6" x14ac:dyDescent="0.25">
      <c r="A7">
        <v>6</v>
      </c>
      <c r="B7">
        <v>1.0982269110702001E-3</v>
      </c>
      <c r="C7">
        <v>1.7658498562445101E-5</v>
      </c>
      <c r="D7">
        <v>6.3525479504357301E-6</v>
      </c>
      <c r="E7" s="1">
        <v>441.611499037653</v>
      </c>
      <c r="F7" t="s">
        <v>14</v>
      </c>
    </row>
    <row r="8" spans="1:6" x14ac:dyDescent="0.25">
      <c r="A8">
        <v>7</v>
      </c>
      <c r="B8">
        <v>6.4661580919356297E-4</v>
      </c>
      <c r="C8">
        <v>1.01591455049094E-5</v>
      </c>
      <c r="D8">
        <v>3.6409511120242798E-6</v>
      </c>
      <c r="E8" s="1">
        <v>441.61213709928097</v>
      </c>
      <c r="F8" t="s">
        <v>14</v>
      </c>
    </row>
    <row r="9" spans="1:6" x14ac:dyDescent="0.25">
      <c r="A9">
        <v>8</v>
      </c>
      <c r="B9">
        <v>3.7671758287416402E-4</v>
      </c>
      <c r="C9">
        <v>5.85798625596379E-6</v>
      </c>
      <c r="D9">
        <v>2.09514896161792E-6</v>
      </c>
      <c r="E9" s="1">
        <v>441.61250874338901</v>
      </c>
      <c r="F9" t="s">
        <v>14</v>
      </c>
    </row>
    <row r="10" spans="1:6" x14ac:dyDescent="0.25">
      <c r="A10">
        <v>9</v>
      </c>
      <c r="B10">
        <v>2.1848073986774401E-4</v>
      </c>
      <c r="C10">
        <v>3.38209428138447E-6</v>
      </c>
      <c r="D10">
        <v>1.2082873068903501E-6</v>
      </c>
      <c r="E10" s="1">
        <v>441.61272452463902</v>
      </c>
      <c r="F10" t="s">
        <v>14</v>
      </c>
    </row>
    <row r="11" spans="1:6" x14ac:dyDescent="0.25">
      <c r="A11">
        <v>10</v>
      </c>
      <c r="B11">
        <v>1.26473732285248E-4</v>
      </c>
      <c r="C11">
        <v>1.9540439732679301E-6</v>
      </c>
      <c r="D11">
        <v>6.9768175299815505E-7</v>
      </c>
      <c r="E11" s="1">
        <v>441.61284959129603</v>
      </c>
      <c r="F11" t="s">
        <v>14</v>
      </c>
    </row>
    <row r="12" spans="1:6" x14ac:dyDescent="0.25">
      <c r="A12">
        <v>11</v>
      </c>
      <c r="B12">
        <v>7.3160518089920897E-5</v>
      </c>
      <c r="C12">
        <v>1.12943887839445E-6</v>
      </c>
      <c r="D12">
        <v>4.03128037783991E-7</v>
      </c>
      <c r="E12" s="1">
        <v>441.61292200995399</v>
      </c>
      <c r="F12" t="s">
        <v>14</v>
      </c>
    </row>
    <row r="13" spans="1:6" x14ac:dyDescent="0.25">
      <c r="A13">
        <v>1</v>
      </c>
      <c r="B13">
        <v>1.1857570761019801E-2</v>
      </c>
      <c r="C13">
        <v>0.10899339628985601</v>
      </c>
      <c r="D13">
        <v>1.50079520747434E-2</v>
      </c>
      <c r="E13" s="1">
        <v>657.73206925525199</v>
      </c>
      <c r="F13" t="s">
        <v>100</v>
      </c>
    </row>
    <row r="14" spans="1:6" x14ac:dyDescent="0.25">
      <c r="A14">
        <v>2</v>
      </c>
      <c r="B14">
        <v>8.13406556883631E-2</v>
      </c>
      <c r="C14">
        <v>5.9879328352457802E-3</v>
      </c>
      <c r="D14">
        <v>2.9645620536559699E-3</v>
      </c>
      <c r="E14" s="1">
        <v>602.39736999144304</v>
      </c>
      <c r="F14" t="s">
        <v>100</v>
      </c>
    </row>
    <row r="15" spans="1:6" x14ac:dyDescent="0.25">
      <c r="A15">
        <v>3</v>
      </c>
      <c r="B15">
        <v>3.58959678437945E-2</v>
      </c>
      <c r="C15">
        <v>2.1143905665580698E-3</v>
      </c>
      <c r="D15">
        <v>5.4875514348202601E-4</v>
      </c>
      <c r="E15" s="1">
        <v>599.11599238906797</v>
      </c>
      <c r="F15" t="s">
        <v>100</v>
      </c>
    </row>
    <row r="16" spans="1:6" x14ac:dyDescent="0.25">
      <c r="A16">
        <v>4</v>
      </c>
      <c r="B16">
        <v>4.9075740208941497E-3</v>
      </c>
      <c r="C16">
        <v>3.1854016883290498E-4</v>
      </c>
      <c r="D16">
        <v>1.2507746148547599E-4</v>
      </c>
      <c r="E16" s="1">
        <v>594.86635702109697</v>
      </c>
      <c r="F16" t="s">
        <v>100</v>
      </c>
    </row>
    <row r="17" spans="1:6" x14ac:dyDescent="0.25">
      <c r="A17">
        <v>5</v>
      </c>
      <c r="B17">
        <v>8.1387671469279599E-4</v>
      </c>
      <c r="C17">
        <v>5.9935675834954502E-5</v>
      </c>
      <c r="D17">
        <v>2.1608311040945801E-5</v>
      </c>
      <c r="E17" s="1">
        <v>595.37434369995401</v>
      </c>
      <c r="F17" t="s">
        <v>100</v>
      </c>
    </row>
    <row r="18" spans="1:6" x14ac:dyDescent="0.25">
      <c r="A18">
        <v>6</v>
      </c>
      <c r="B18">
        <v>8.1652930816744602E-5</v>
      </c>
      <c r="C18">
        <v>6.3296057116746198E-6</v>
      </c>
      <c r="D18">
        <v>1.7793483346427401E-6</v>
      </c>
      <c r="E18" s="1">
        <v>595.39064940556102</v>
      </c>
      <c r="F18" t="s">
        <v>100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selection activeCell="G21" sqref="G21"/>
    </sheetView>
  </sheetViews>
  <sheetFormatPr defaultColWidth="11.42578125" defaultRowHeight="15" x14ac:dyDescent="0.25"/>
  <sheetData>
    <row r="1" spans="1:6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9</v>
      </c>
    </row>
    <row r="2" spans="1:6" x14ac:dyDescent="0.25">
      <c r="A2">
        <v>1</v>
      </c>
      <c r="B2">
        <v>8.5097629161534592E-3</v>
      </c>
      <c r="C2">
        <v>0.16288395774186101</v>
      </c>
      <c r="D2">
        <v>2.19208036594408E-2</v>
      </c>
      <c r="E2">
        <v>1484.8612415648599</v>
      </c>
      <c r="F2" t="s">
        <v>136</v>
      </c>
    </row>
    <row r="3" spans="1:6" x14ac:dyDescent="0.25">
      <c r="A3">
        <v>2</v>
      </c>
      <c r="B3">
        <v>9.6231258261607194E-2</v>
      </c>
      <c r="C3">
        <v>7.9985466056391608E-3</v>
      </c>
      <c r="D3">
        <v>4.8899830843847402E-3</v>
      </c>
      <c r="E3">
        <v>1392.1716880941501</v>
      </c>
      <c r="F3" t="s">
        <v>136</v>
      </c>
    </row>
    <row r="4" spans="1:6" x14ac:dyDescent="0.25">
      <c r="A4">
        <v>3</v>
      </c>
      <c r="B4">
        <v>2.6073631630016102E-2</v>
      </c>
      <c r="C4">
        <v>1.26860905638592E-3</v>
      </c>
      <c r="D4">
        <v>3.6693754211767103E-4</v>
      </c>
      <c r="E4">
        <v>1376.18197358303</v>
      </c>
      <c r="F4" t="s">
        <v>136</v>
      </c>
    </row>
    <row r="5" spans="1:6" x14ac:dyDescent="0.25">
      <c r="A5">
        <v>4</v>
      </c>
      <c r="B5">
        <v>3.2149030927772801E-3</v>
      </c>
      <c r="C5">
        <v>3.0943759675963701E-4</v>
      </c>
      <c r="D5">
        <v>7.5096958824639695E-5</v>
      </c>
      <c r="E5">
        <v>1372.26170914664</v>
      </c>
      <c r="F5" t="s">
        <v>136</v>
      </c>
    </row>
    <row r="6" spans="1:6" x14ac:dyDescent="0.25">
      <c r="A6">
        <v>5</v>
      </c>
      <c r="B6">
        <v>5.8527694883991899E-4</v>
      </c>
      <c r="C6">
        <v>5.7812989813138497E-5</v>
      </c>
      <c r="D6">
        <v>9.9617528546442502E-6</v>
      </c>
      <c r="E6">
        <v>1371.8782827395701</v>
      </c>
      <c r="F6" t="s">
        <v>136</v>
      </c>
    </row>
    <row r="7" spans="1:6" x14ac:dyDescent="0.25">
      <c r="A7">
        <v>6</v>
      </c>
      <c r="B7">
        <v>8.6109004620027503E-5</v>
      </c>
      <c r="C7">
        <v>9.6891117096140101E-6</v>
      </c>
      <c r="D7">
        <v>2.0550602475404002E-6</v>
      </c>
      <c r="E7">
        <v>1371.79690111833</v>
      </c>
      <c r="F7" t="s">
        <v>136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"/>
  <sheetViews>
    <sheetView workbookViewId="0">
      <selection activeCell="I23" sqref="A1:XFD1048576"/>
    </sheetView>
  </sheetViews>
  <sheetFormatPr defaultColWidth="11.42578125" defaultRowHeight="15" x14ac:dyDescent="0.25"/>
  <cols>
    <col min="9" max="9" width="24.140625" customWidth="1"/>
    <col min="10" max="10" width="19.5703125" customWidth="1"/>
    <col min="11" max="11" width="21.5703125" customWidth="1"/>
    <col min="12" max="12" width="13.42578125" customWidth="1"/>
  </cols>
  <sheetData>
    <row r="1" spans="1:15" x14ac:dyDescent="0.25">
      <c r="A1" t="s">
        <v>101</v>
      </c>
      <c r="B1" t="s">
        <v>8</v>
      </c>
      <c r="C1" s="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4</v>
      </c>
      <c r="I1" s="2" t="s">
        <v>166</v>
      </c>
      <c r="J1" s="2" t="s">
        <v>167</v>
      </c>
      <c r="K1" s="2" t="s">
        <v>108</v>
      </c>
      <c r="L1" s="2" t="s">
        <v>161</v>
      </c>
      <c r="M1" t="s">
        <v>9</v>
      </c>
      <c r="N1" t="s">
        <v>10</v>
      </c>
      <c r="O1" t="s">
        <v>11</v>
      </c>
    </row>
    <row r="2" spans="1:15" x14ac:dyDescent="0.25">
      <c r="A2" t="s">
        <v>109</v>
      </c>
      <c r="B2" t="s">
        <v>14</v>
      </c>
      <c r="C2" s="1">
        <v>1.04357774921751</v>
      </c>
      <c r="D2">
        <v>2.6609500000001101E-2</v>
      </c>
      <c r="E2">
        <v>-9.0978748311800108E-3</v>
      </c>
      <c r="F2">
        <v>8.0268609312595599E-4</v>
      </c>
      <c r="G2">
        <v>2.8331715322690201E-2</v>
      </c>
      <c r="H2">
        <v>161</v>
      </c>
      <c r="I2" s="15">
        <v>27.777011961521399</v>
      </c>
      <c r="J2" s="11" t="s">
        <v>165</v>
      </c>
      <c r="K2" s="11">
        <v>1.2422360248447201E-2</v>
      </c>
      <c r="L2" s="17" t="s">
        <v>170</v>
      </c>
      <c r="M2" t="s">
        <v>15</v>
      </c>
      <c r="N2" t="b">
        <v>1</v>
      </c>
      <c r="O2">
        <v>11</v>
      </c>
    </row>
    <row r="3" spans="1:15" x14ac:dyDescent="0.25">
      <c r="A3" t="s">
        <v>110</v>
      </c>
      <c r="B3" t="s">
        <v>14</v>
      </c>
      <c r="C3" s="1">
        <v>1.10963946519131</v>
      </c>
      <c r="D3">
        <v>-4.6720000000000103E-3</v>
      </c>
      <c r="E3">
        <v>-4.5373759664862699E-2</v>
      </c>
      <c r="F3">
        <v>1.0923090205279299E-3</v>
      </c>
      <c r="G3">
        <v>3.3050098646266297E-2</v>
      </c>
      <c r="H3">
        <v>155</v>
      </c>
      <c r="I3" s="15">
        <v>32.168749808233301</v>
      </c>
      <c r="J3" s="11" t="s">
        <v>165</v>
      </c>
      <c r="K3" s="11">
        <v>3.2258064516128997E-2</v>
      </c>
      <c r="L3" s="17" t="s">
        <v>170</v>
      </c>
      <c r="M3" t="s">
        <v>15</v>
      </c>
      <c r="N3" t="b">
        <v>1</v>
      </c>
      <c r="O3">
        <v>11</v>
      </c>
    </row>
    <row r="4" spans="1:15" x14ac:dyDescent="0.25">
      <c r="A4" t="s">
        <v>111</v>
      </c>
      <c r="B4" t="s">
        <v>14</v>
      </c>
      <c r="C4" s="1">
        <v>0.80413341149381301</v>
      </c>
      <c r="D4">
        <v>0.101215</v>
      </c>
      <c r="E4">
        <v>5.9095070910425797E-2</v>
      </c>
      <c r="F4">
        <v>7.1893445433856198E-3</v>
      </c>
      <c r="G4">
        <v>8.4790002614610296E-2</v>
      </c>
      <c r="H4">
        <v>160</v>
      </c>
      <c r="I4" s="15">
        <v>118.504779589695</v>
      </c>
      <c r="J4" s="11" t="s">
        <v>168</v>
      </c>
      <c r="K4" s="11">
        <v>0.33124999999999999</v>
      </c>
      <c r="L4" s="17" t="s">
        <v>171</v>
      </c>
      <c r="M4" t="s">
        <v>15</v>
      </c>
      <c r="N4" t="b">
        <v>1</v>
      </c>
      <c r="O4">
        <v>11</v>
      </c>
    </row>
    <row r="5" spans="1:15" x14ac:dyDescent="0.25">
      <c r="A5" t="s">
        <v>112</v>
      </c>
      <c r="B5" t="s">
        <v>14</v>
      </c>
      <c r="C5" s="1">
        <v>1.0105439635353799</v>
      </c>
      <c r="D5">
        <v>0.12177299999999899</v>
      </c>
      <c r="E5">
        <v>8.93817369179771E-2</v>
      </c>
      <c r="F5">
        <v>5.2799989060969598E-3</v>
      </c>
      <c r="G5">
        <v>7.2663600971166906E-2</v>
      </c>
      <c r="H5">
        <v>162</v>
      </c>
      <c r="I5" s="15">
        <v>105.66896584231699</v>
      </c>
      <c r="J5" s="11" t="s">
        <v>168</v>
      </c>
      <c r="K5" s="11">
        <v>0.33950617283950602</v>
      </c>
      <c r="L5" s="17" t="s">
        <v>171</v>
      </c>
      <c r="M5" t="s">
        <v>15</v>
      </c>
      <c r="N5" t="b">
        <v>1</v>
      </c>
      <c r="O5">
        <v>11</v>
      </c>
    </row>
    <row r="6" spans="1:15" x14ac:dyDescent="0.25">
      <c r="A6" t="s">
        <v>113</v>
      </c>
      <c r="B6" t="s">
        <v>14</v>
      </c>
      <c r="C6" s="1">
        <v>1.0525269476768799</v>
      </c>
      <c r="D6">
        <v>-3.1220000000001101E-2</v>
      </c>
      <c r="E6">
        <v>-7.4108925848768201E-2</v>
      </c>
      <c r="F6">
        <v>1.5524532417978099E-3</v>
      </c>
      <c r="G6">
        <v>3.9401183253778199E-2</v>
      </c>
      <c r="H6">
        <v>159</v>
      </c>
      <c r="I6" s="15">
        <v>40.742152334888303</v>
      </c>
      <c r="J6" s="11" t="s">
        <v>165</v>
      </c>
      <c r="K6" s="11">
        <v>3.77358490566038E-2</v>
      </c>
      <c r="L6" s="17" t="s">
        <v>170</v>
      </c>
      <c r="M6" t="s">
        <v>15</v>
      </c>
      <c r="N6" t="b">
        <v>1</v>
      </c>
      <c r="O6">
        <v>11</v>
      </c>
    </row>
    <row r="7" spans="1:15" x14ac:dyDescent="0.25">
      <c r="A7" t="s">
        <v>114</v>
      </c>
      <c r="B7" t="s">
        <v>100</v>
      </c>
      <c r="C7" s="1">
        <v>1.0134206046918901</v>
      </c>
      <c r="D7">
        <v>1.9715000000001499E-2</v>
      </c>
      <c r="E7">
        <v>-2.0158670815042499E-2</v>
      </c>
      <c r="F7">
        <v>2.3309682899698299E-3</v>
      </c>
      <c r="G7">
        <v>4.8280102422942603E-2</v>
      </c>
      <c r="H7">
        <v>150</v>
      </c>
      <c r="I7" s="15">
        <v>52.270429330815503</v>
      </c>
      <c r="J7" s="15" t="s">
        <v>169</v>
      </c>
      <c r="K7" s="11">
        <v>7.3333333333333306E-2</v>
      </c>
      <c r="L7" s="17" t="s">
        <v>170</v>
      </c>
      <c r="M7" t="s">
        <v>15</v>
      </c>
      <c r="N7" t="b">
        <v>1</v>
      </c>
      <c r="O7">
        <v>6</v>
      </c>
    </row>
    <row r="8" spans="1:15" x14ac:dyDescent="0.25">
      <c r="A8" t="s">
        <v>115</v>
      </c>
      <c r="B8" t="s">
        <v>100</v>
      </c>
      <c r="C8" s="1">
        <v>1.1114187900213499</v>
      </c>
      <c r="D8">
        <v>-7.4775000000002496E-3</v>
      </c>
      <c r="E8">
        <v>-5.0010465521275603E-2</v>
      </c>
      <c r="F8">
        <v>1.39342490618858E-2</v>
      </c>
      <c r="G8">
        <v>0.11804342023969799</v>
      </c>
      <c r="H8">
        <v>161</v>
      </c>
      <c r="I8" s="14">
        <v>43.249398682640297</v>
      </c>
      <c r="J8" s="11" t="s">
        <v>165</v>
      </c>
      <c r="K8" s="11">
        <v>1.2422360248447201E-2</v>
      </c>
      <c r="L8" s="17" t="s">
        <v>170</v>
      </c>
      <c r="M8" t="s">
        <v>15</v>
      </c>
      <c r="N8" t="b">
        <v>1</v>
      </c>
      <c r="O8">
        <v>6</v>
      </c>
    </row>
    <row r="9" spans="1:15" x14ac:dyDescent="0.25">
      <c r="A9" t="s">
        <v>116</v>
      </c>
      <c r="B9" t="s">
        <v>100</v>
      </c>
      <c r="C9" s="1">
        <v>1.1093072200721601</v>
      </c>
      <c r="D9">
        <v>-4.0461000000000497E-2</v>
      </c>
      <c r="E9">
        <v>6.0635013352659799E-2</v>
      </c>
      <c r="F9">
        <v>1.10607887024843E-2</v>
      </c>
      <c r="G9">
        <v>0.10517028431303301</v>
      </c>
      <c r="H9">
        <v>162</v>
      </c>
      <c r="I9" s="14">
        <v>118.280838786003</v>
      </c>
      <c r="J9" s="11" t="s">
        <v>168</v>
      </c>
      <c r="K9" s="11">
        <v>0.358024691358025</v>
      </c>
      <c r="L9" s="17" t="s">
        <v>171</v>
      </c>
      <c r="M9" t="s">
        <v>15</v>
      </c>
      <c r="N9" t="b">
        <v>1</v>
      </c>
      <c r="O9">
        <v>6</v>
      </c>
    </row>
    <row r="10" spans="1:15" x14ac:dyDescent="0.25">
      <c r="A10" t="s">
        <v>117</v>
      </c>
      <c r="B10" t="s">
        <v>100</v>
      </c>
      <c r="C10" s="1">
        <v>0.63255233355145202</v>
      </c>
      <c r="D10">
        <v>6.4246000000000705E-2</v>
      </c>
      <c r="E10">
        <v>-1.1642405734429999E-2</v>
      </c>
      <c r="F10">
        <v>1.65477186464992E-3</v>
      </c>
      <c r="G10">
        <v>4.0678887210073997E-2</v>
      </c>
      <c r="H10">
        <v>162</v>
      </c>
      <c r="I10" s="14">
        <v>123.275014762635</v>
      </c>
      <c r="J10" s="11" t="s">
        <v>168</v>
      </c>
      <c r="K10" s="11">
        <v>0.438271604938272</v>
      </c>
      <c r="L10" s="17" t="s">
        <v>171</v>
      </c>
      <c r="M10" t="s">
        <v>15</v>
      </c>
      <c r="N10" t="b">
        <v>1</v>
      </c>
      <c r="O10">
        <v>6</v>
      </c>
    </row>
    <row r="11" spans="1:15" x14ac:dyDescent="0.25">
      <c r="A11" t="s">
        <v>118</v>
      </c>
      <c r="B11" t="s">
        <v>100</v>
      </c>
      <c r="C11" s="1">
        <v>1.11287951454826</v>
      </c>
      <c r="D11">
        <v>-8.7170000000000893E-3</v>
      </c>
      <c r="E11">
        <v>1.4478976428958601E-2</v>
      </c>
      <c r="F11">
        <v>2.44821830906347E-3</v>
      </c>
      <c r="G11">
        <v>4.9479473613443702E-2</v>
      </c>
      <c r="H11">
        <v>162</v>
      </c>
      <c r="I11" s="14">
        <v>36.598461044772797</v>
      </c>
      <c r="J11" s="11" t="s">
        <v>165</v>
      </c>
      <c r="K11" s="11">
        <v>6.17283950617284E-3</v>
      </c>
      <c r="L11" s="17" t="s">
        <v>170</v>
      </c>
      <c r="M11" t="s">
        <v>15</v>
      </c>
      <c r="N11" t="b">
        <v>1</v>
      </c>
      <c r="O11">
        <v>6</v>
      </c>
    </row>
    <row r="18" spans="12:12" x14ac:dyDescent="0.25">
      <c r="L18" t="s">
        <v>164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1"/>
  <sheetViews>
    <sheetView tabSelected="1" workbookViewId="0">
      <selection activeCell="S15" sqref="S15"/>
    </sheetView>
  </sheetViews>
  <sheetFormatPr defaultColWidth="11.42578125" defaultRowHeight="15" x14ac:dyDescent="0.25"/>
  <cols>
    <col min="10" max="11" width="14.5703125" customWidth="1"/>
    <col min="25" max="25" width="16.140625" customWidth="1"/>
  </cols>
  <sheetData>
    <row r="1" spans="1:25" x14ac:dyDescent="0.25">
      <c r="A1" t="s">
        <v>101</v>
      </c>
      <c r="B1" s="5" t="s">
        <v>8</v>
      </c>
      <c r="C1" s="5" t="s">
        <v>102</v>
      </c>
      <c r="D1" s="5" t="s">
        <v>103</v>
      </c>
      <c r="E1" s="5" t="s">
        <v>104</v>
      </c>
      <c r="F1" s="5" t="s">
        <v>105</v>
      </c>
      <c r="G1" s="5" t="s">
        <v>106</v>
      </c>
      <c r="H1" s="5" t="s">
        <v>4</v>
      </c>
      <c r="I1" s="12" t="s">
        <v>107</v>
      </c>
      <c r="J1" s="12" t="s">
        <v>108</v>
      </c>
      <c r="K1" s="2" t="s">
        <v>161</v>
      </c>
      <c r="L1" s="4" t="s">
        <v>139</v>
      </c>
      <c r="M1" s="4" t="s">
        <v>140</v>
      </c>
      <c r="N1" s="4" t="s">
        <v>141</v>
      </c>
      <c r="O1" s="4" t="s">
        <v>142</v>
      </c>
      <c r="P1" s="4" t="s">
        <v>143</v>
      </c>
      <c r="Q1" s="4" t="s">
        <v>144</v>
      </c>
      <c r="R1" s="4" t="s">
        <v>145</v>
      </c>
      <c r="S1" s="4" t="s">
        <v>146</v>
      </c>
      <c r="T1" s="4" t="s">
        <v>147</v>
      </c>
      <c r="U1" s="4" t="s">
        <v>148</v>
      </c>
      <c r="V1" t="s">
        <v>9</v>
      </c>
      <c r="W1" t="s">
        <v>10</v>
      </c>
      <c r="X1" t="s">
        <v>11</v>
      </c>
      <c r="Y1" s="2" t="s">
        <v>149</v>
      </c>
    </row>
    <row r="2" spans="1:25" x14ac:dyDescent="0.25">
      <c r="A2" t="s">
        <v>109</v>
      </c>
      <c r="B2" s="5" t="s">
        <v>14</v>
      </c>
      <c r="C2" s="5">
        <v>1.04357774921751</v>
      </c>
      <c r="D2" s="5">
        <v>2.6609500000001101E-2</v>
      </c>
      <c r="E2" s="5">
        <v>-2.8174802525136301E-2</v>
      </c>
      <c r="F2" s="5">
        <v>1.21314643845956E-2</v>
      </c>
      <c r="G2" s="5">
        <v>0.11014292707475901</v>
      </c>
      <c r="H2" s="5">
        <v>161</v>
      </c>
      <c r="I2" s="12">
        <v>4.7019016316846997E-2</v>
      </c>
      <c r="J2" s="13">
        <v>5.5900621118012403E-2</v>
      </c>
      <c r="K2" s="17" t="s">
        <v>170</v>
      </c>
      <c r="L2" s="4">
        <v>0.99991410674793801</v>
      </c>
      <c r="M2" s="4">
        <v>1.04357774921751</v>
      </c>
      <c r="N2" s="4">
        <v>3.07384999999991E-2</v>
      </c>
      <c r="O2" s="4">
        <v>1.5411000000000299E-2</v>
      </c>
      <c r="P2" s="4">
        <v>2.6609500000001101E-2</v>
      </c>
      <c r="Q2" s="4">
        <v>6.2111801242236003E-3</v>
      </c>
      <c r="R2" s="4">
        <v>3.5716596273291802E-2</v>
      </c>
      <c r="S2" s="4" t="b">
        <v>0</v>
      </c>
      <c r="T2" s="4" t="b">
        <v>0</v>
      </c>
      <c r="U2" s="4" t="b">
        <v>0</v>
      </c>
      <c r="V2" t="s">
        <v>136</v>
      </c>
      <c r="W2" t="b">
        <v>1</v>
      </c>
      <c r="X2">
        <v>6</v>
      </c>
      <c r="Y2" s="2">
        <v>-5.4784302525137302E-2</v>
      </c>
    </row>
    <row r="3" spans="1:25" x14ac:dyDescent="0.25">
      <c r="A3" t="s">
        <v>110</v>
      </c>
      <c r="B3" s="5" t="s">
        <v>14</v>
      </c>
      <c r="C3" s="5">
        <v>1.10963946519131</v>
      </c>
      <c r="D3" s="5">
        <v>-4.6720000000000103E-3</v>
      </c>
      <c r="E3" s="5">
        <v>7.5695045795816901E-2</v>
      </c>
      <c r="F3" s="5">
        <v>7.7361442956263198E-3</v>
      </c>
      <c r="G3" s="5">
        <v>8.79553539906828E-2</v>
      </c>
      <c r="H3" s="5">
        <v>155</v>
      </c>
      <c r="I3" s="12">
        <v>0.108545260791843</v>
      </c>
      <c r="J3" s="13">
        <v>0.42580645161290298</v>
      </c>
      <c r="K3" s="17" t="s">
        <v>163</v>
      </c>
      <c r="L3" s="4">
        <v>0.99982198862984495</v>
      </c>
      <c r="M3" s="4">
        <v>1.10963946519131</v>
      </c>
      <c r="N3" s="4">
        <v>1.5193E-2</v>
      </c>
      <c r="O3" s="4">
        <v>-2.8579999999998099E-3</v>
      </c>
      <c r="P3" s="4">
        <v>-4.6720000000000103E-3</v>
      </c>
      <c r="Q3" s="4">
        <v>3.2258064516128997E-2</v>
      </c>
      <c r="R3" s="4">
        <v>3.6826709677419599E-2</v>
      </c>
      <c r="S3" s="4" t="b">
        <v>0</v>
      </c>
      <c r="T3" s="4" t="b">
        <v>0</v>
      </c>
      <c r="U3" s="4" t="b">
        <v>0</v>
      </c>
      <c r="V3" t="s">
        <v>136</v>
      </c>
      <c r="W3" t="b">
        <v>1</v>
      </c>
      <c r="X3">
        <v>6</v>
      </c>
      <c r="Y3" s="2">
        <v>8.0367045795816897E-2</v>
      </c>
    </row>
    <row r="4" spans="1:25" x14ac:dyDescent="0.25">
      <c r="A4" t="s">
        <v>111</v>
      </c>
      <c r="B4" s="5" t="s">
        <v>14</v>
      </c>
      <c r="C4" s="5">
        <v>0.80413341149381301</v>
      </c>
      <c r="D4" s="5">
        <v>0.101215</v>
      </c>
      <c r="E4" s="5">
        <v>0.100826118071392</v>
      </c>
      <c r="F4" s="5">
        <v>2.9621489452872799E-2</v>
      </c>
      <c r="G4" s="5">
        <v>0.172108946463781</v>
      </c>
      <c r="H4" s="5">
        <v>160</v>
      </c>
      <c r="I4" s="12">
        <v>0.11845080179751399</v>
      </c>
      <c r="J4" s="13">
        <v>0.31874999999999998</v>
      </c>
      <c r="K4" s="17" t="s">
        <v>171</v>
      </c>
      <c r="L4" s="4">
        <v>0.99890407160474404</v>
      </c>
      <c r="M4" s="4">
        <v>0.80413341149381301</v>
      </c>
      <c r="N4" s="4">
        <v>0.10803599999999999</v>
      </c>
      <c r="O4" s="4">
        <v>8.6791999999999994E-2</v>
      </c>
      <c r="P4" s="4">
        <v>0.101215</v>
      </c>
      <c r="Q4" s="4">
        <v>0.17499999999999999</v>
      </c>
      <c r="R4" s="4">
        <v>0.1141085375</v>
      </c>
      <c r="S4" s="4" t="b">
        <v>0</v>
      </c>
      <c r="T4" s="4" t="b">
        <v>0</v>
      </c>
      <c r="U4" s="4" t="b">
        <v>1</v>
      </c>
      <c r="V4" t="s">
        <v>136</v>
      </c>
      <c r="W4" t="b">
        <v>1</v>
      </c>
      <c r="X4">
        <v>6</v>
      </c>
      <c r="Y4" s="2">
        <v>-3.8888192860783699E-4</v>
      </c>
    </row>
    <row r="5" spans="1:25" x14ac:dyDescent="0.25">
      <c r="A5" t="s">
        <v>112</v>
      </c>
      <c r="B5" s="5" t="s">
        <v>14</v>
      </c>
      <c r="C5" s="5">
        <v>1.0105439635353799</v>
      </c>
      <c r="D5" s="5">
        <v>0.12177299999999899</v>
      </c>
      <c r="E5" s="5">
        <v>-5.7015347256904603E-2</v>
      </c>
      <c r="F5" s="5">
        <v>4.3996707943269502E-3</v>
      </c>
      <c r="G5" s="5">
        <v>6.6330014279562394E-2</v>
      </c>
      <c r="H5" s="5">
        <v>162</v>
      </c>
      <c r="I5" s="12">
        <v>0.175878530488496</v>
      </c>
      <c r="J5" s="13">
        <v>0.64197530864197505</v>
      </c>
      <c r="K5" s="17" t="s">
        <v>163</v>
      </c>
      <c r="L5" s="4">
        <v>0.99992966552541096</v>
      </c>
      <c r="M5" s="4">
        <v>1.0105439635353799</v>
      </c>
      <c r="N5" s="4">
        <v>3.9266000000000502E-2</v>
      </c>
      <c r="O5" s="4">
        <v>-2.91840000000008E-2</v>
      </c>
      <c r="P5" s="4">
        <v>0.12177299999999899</v>
      </c>
      <c r="Q5" s="4">
        <v>0.18518518518518501</v>
      </c>
      <c r="R5" s="4">
        <v>0.103323259259259</v>
      </c>
      <c r="S5" s="4" t="b">
        <v>0</v>
      </c>
      <c r="T5" s="4" t="b">
        <v>0</v>
      </c>
      <c r="U5" s="4" t="b">
        <v>1</v>
      </c>
      <c r="V5" t="s">
        <v>136</v>
      </c>
      <c r="W5" t="b">
        <v>1</v>
      </c>
      <c r="X5">
        <v>6</v>
      </c>
      <c r="Y5" s="2">
        <v>-0.17878834725690401</v>
      </c>
    </row>
    <row r="6" spans="1:25" x14ac:dyDescent="0.25">
      <c r="A6" t="s">
        <v>113</v>
      </c>
      <c r="B6" s="5" t="s">
        <v>14</v>
      </c>
      <c r="C6" s="5">
        <v>1.0525269476768799</v>
      </c>
      <c r="D6" s="5">
        <v>-3.1220000000001101E-2</v>
      </c>
      <c r="E6" s="5">
        <v>-3.7793170822981699E-3</v>
      </c>
      <c r="F6" s="5">
        <v>2.6678166219501402E-3</v>
      </c>
      <c r="G6" s="5">
        <v>5.1650911143465199E-2</v>
      </c>
      <c r="H6" s="5">
        <v>159</v>
      </c>
      <c r="I6" s="12">
        <v>6.6620713507414303E-2</v>
      </c>
      <c r="J6" s="13">
        <v>3.77358490566038E-2</v>
      </c>
      <c r="K6" s="17" t="s">
        <v>162</v>
      </c>
      <c r="L6" s="4">
        <v>0.99979208066303404</v>
      </c>
      <c r="M6" s="4">
        <v>1.0525269476768799</v>
      </c>
      <c r="N6" s="4">
        <v>2.84900000000015E-2</v>
      </c>
      <c r="O6" s="4">
        <v>1.6575999999999699E-2</v>
      </c>
      <c r="P6" s="4">
        <v>-3.1220000000001101E-2</v>
      </c>
      <c r="Q6" s="4">
        <v>3.77358490566038E-2</v>
      </c>
      <c r="R6" s="4">
        <v>3.7090905660377302E-2</v>
      </c>
      <c r="S6" s="4" t="b">
        <v>0</v>
      </c>
      <c r="T6" s="4" t="b">
        <v>0</v>
      </c>
      <c r="U6" s="4" t="b">
        <v>0</v>
      </c>
      <c r="V6" t="s">
        <v>136</v>
      </c>
      <c r="W6" t="b">
        <v>1</v>
      </c>
      <c r="X6">
        <v>6</v>
      </c>
      <c r="Y6" s="2">
        <v>2.7440682917703001E-2</v>
      </c>
    </row>
    <row r="7" spans="1:25" x14ac:dyDescent="0.25">
      <c r="A7" t="s">
        <v>114</v>
      </c>
      <c r="B7" s="5" t="s">
        <v>100</v>
      </c>
      <c r="C7" s="5">
        <v>1.0134206046918901</v>
      </c>
      <c r="D7" s="5">
        <v>1.9715000000001499E-2</v>
      </c>
      <c r="E7" s="5">
        <v>-3.7826127821108502E-2</v>
      </c>
      <c r="F7" s="5">
        <v>2.35149290211503E-3</v>
      </c>
      <c r="G7" s="5">
        <v>4.8492194239021902E-2</v>
      </c>
      <c r="H7" s="5">
        <v>150</v>
      </c>
      <c r="I7" s="12">
        <v>5.3034734382041898E-2</v>
      </c>
      <c r="J7" s="13">
        <v>8.6666666666666697E-2</v>
      </c>
      <c r="K7" s="17" t="s">
        <v>162</v>
      </c>
      <c r="L7" s="4">
        <v>0.99993459612665803</v>
      </c>
      <c r="M7" s="4">
        <v>1.0134206046918901</v>
      </c>
      <c r="N7" s="4">
        <v>3.8503000000000003E-2</v>
      </c>
      <c r="O7" s="4">
        <v>1.8186000000000001E-2</v>
      </c>
      <c r="P7" s="4">
        <v>1.9715000000001499E-2</v>
      </c>
      <c r="Q7" s="4">
        <v>2.66666666666667E-2</v>
      </c>
      <c r="R7" s="4">
        <v>3.5230739999999899E-2</v>
      </c>
      <c r="S7" s="4" t="b">
        <v>0</v>
      </c>
      <c r="T7" s="4" t="b">
        <v>0</v>
      </c>
      <c r="U7" s="4" t="b">
        <v>0</v>
      </c>
      <c r="V7" t="s">
        <v>136</v>
      </c>
      <c r="W7" t="b">
        <v>1</v>
      </c>
      <c r="X7">
        <v>6</v>
      </c>
      <c r="Y7" s="2">
        <v>-5.7541127821109997E-2</v>
      </c>
    </row>
    <row r="8" spans="1:25" x14ac:dyDescent="0.25">
      <c r="A8" t="s">
        <v>115</v>
      </c>
      <c r="B8" s="5" t="s">
        <v>100</v>
      </c>
      <c r="C8" s="5">
        <v>1.1114187900213499</v>
      </c>
      <c r="D8" s="5">
        <v>-7.4775000000002496E-3</v>
      </c>
      <c r="E8" s="5">
        <v>-6.7527250509606701E-2</v>
      </c>
      <c r="F8" s="5">
        <v>1.4493707944874999E-2</v>
      </c>
      <c r="G8" s="5">
        <v>0.12038981661617</v>
      </c>
      <c r="H8" s="5">
        <v>161</v>
      </c>
      <c r="I8" s="12">
        <v>4.3052660599302003E-2</v>
      </c>
      <c r="J8" s="13">
        <v>1.2422360248447201E-2</v>
      </c>
      <c r="K8" s="17" t="s">
        <v>170</v>
      </c>
      <c r="L8" s="4">
        <v>0.99998348528752301</v>
      </c>
      <c r="M8" s="4">
        <v>1.1114187900213499</v>
      </c>
      <c r="N8" s="4">
        <v>1.48400000000004E-2</v>
      </c>
      <c r="O8" s="4">
        <v>-9.3249999999889298E-4</v>
      </c>
      <c r="P8" s="4">
        <v>-7.4775000000002496E-3</v>
      </c>
      <c r="Q8" s="4">
        <v>0</v>
      </c>
      <c r="R8" s="4">
        <v>2.1187214285714399E-2</v>
      </c>
      <c r="S8" s="4" t="b">
        <v>0</v>
      </c>
      <c r="T8" s="4" t="b">
        <v>0</v>
      </c>
      <c r="U8" s="4" t="b">
        <v>0</v>
      </c>
      <c r="V8" t="s">
        <v>136</v>
      </c>
      <c r="W8" t="b">
        <v>1</v>
      </c>
      <c r="X8">
        <v>6</v>
      </c>
      <c r="Y8" s="2">
        <v>-6.0049750509606502E-2</v>
      </c>
    </row>
    <row r="9" spans="1:25" x14ac:dyDescent="0.25">
      <c r="A9" t="s">
        <v>116</v>
      </c>
      <c r="B9" s="5" t="s">
        <v>100</v>
      </c>
      <c r="C9" s="5">
        <v>1.1093072200721601</v>
      </c>
      <c r="D9" s="5">
        <v>-4.0461000000000497E-2</v>
      </c>
      <c r="E9" s="5">
        <v>4.54443246271167E-2</v>
      </c>
      <c r="F9" s="5">
        <v>1.17008284946062E-2</v>
      </c>
      <c r="G9" s="5">
        <v>0.108170367913797</v>
      </c>
      <c r="H9" s="5">
        <v>162</v>
      </c>
      <c r="I9" s="12">
        <v>0.12089144328254101</v>
      </c>
      <c r="J9" s="13">
        <v>0.38888888888888901</v>
      </c>
      <c r="K9" s="17" t="s">
        <v>163</v>
      </c>
      <c r="L9" s="4">
        <v>0.99989358378555404</v>
      </c>
      <c r="M9" s="4">
        <v>1.1093072200721601</v>
      </c>
      <c r="N9" s="4">
        <v>1.52839999999994E-2</v>
      </c>
      <c r="O9" s="4">
        <v>-2.13199999999958E-3</v>
      </c>
      <c r="P9" s="4">
        <v>-4.0461000000000497E-2</v>
      </c>
      <c r="Q9" s="4">
        <v>6.17283950617284E-3</v>
      </c>
      <c r="R9" s="4">
        <v>2.7470425925925999E-2</v>
      </c>
      <c r="S9" s="4" t="b">
        <v>0</v>
      </c>
      <c r="T9" s="4" t="b">
        <v>0</v>
      </c>
      <c r="U9" s="4" t="b">
        <v>0</v>
      </c>
      <c r="V9" t="s">
        <v>136</v>
      </c>
      <c r="W9" t="b">
        <v>1</v>
      </c>
      <c r="X9">
        <v>6</v>
      </c>
      <c r="Y9" s="2">
        <v>8.5905324627117197E-2</v>
      </c>
    </row>
    <row r="10" spans="1:25" x14ac:dyDescent="0.25">
      <c r="A10" t="s">
        <v>117</v>
      </c>
      <c r="B10" s="5" t="s">
        <v>100</v>
      </c>
      <c r="C10" s="5">
        <v>0.63255233355145202</v>
      </c>
      <c r="D10" s="5">
        <v>6.4246000000000705E-2</v>
      </c>
      <c r="E10" s="5">
        <v>-2.9762259616970599E-2</v>
      </c>
      <c r="F10" s="5">
        <v>2.2739159209000698E-3</v>
      </c>
      <c r="G10" s="5">
        <v>4.7685594479885303E-2</v>
      </c>
      <c r="H10" s="5">
        <v>162</v>
      </c>
      <c r="I10" s="12">
        <v>0.12476902710280401</v>
      </c>
      <c r="J10" s="13">
        <v>0.47530864197530898</v>
      </c>
      <c r="K10" s="17" t="s">
        <v>171</v>
      </c>
      <c r="L10" s="4">
        <v>0.99953415703968596</v>
      </c>
      <c r="M10" s="4">
        <v>0.63255233355145202</v>
      </c>
      <c r="N10" s="4">
        <v>0.19999999999999901</v>
      </c>
      <c r="O10" s="4">
        <v>-0.19999999999999901</v>
      </c>
      <c r="P10" s="4">
        <v>6.4246000000000705E-2</v>
      </c>
      <c r="Q10" s="4">
        <v>0.19753086419753099</v>
      </c>
      <c r="R10" s="4">
        <v>0.11084306790123399</v>
      </c>
      <c r="S10" s="4" t="b">
        <v>0</v>
      </c>
      <c r="T10" s="4" t="b">
        <v>1</v>
      </c>
      <c r="U10" s="4" t="b">
        <v>1</v>
      </c>
      <c r="V10" t="s">
        <v>136</v>
      </c>
      <c r="W10" t="b">
        <v>1</v>
      </c>
      <c r="X10">
        <v>6</v>
      </c>
      <c r="Y10" s="2">
        <v>-9.4008259616971304E-2</v>
      </c>
    </row>
    <row r="11" spans="1:25" x14ac:dyDescent="0.25">
      <c r="A11" t="s">
        <v>118</v>
      </c>
      <c r="B11" s="5" t="s">
        <v>100</v>
      </c>
      <c r="C11" s="5">
        <v>1.11287951454826</v>
      </c>
      <c r="D11" s="5">
        <v>-8.7170000000000893E-3</v>
      </c>
      <c r="E11" s="5">
        <v>6.9409008657161904E-3</v>
      </c>
      <c r="F11" s="5">
        <v>2.4229874990259201E-3</v>
      </c>
      <c r="G11" s="5">
        <v>4.9223850916257202E-2</v>
      </c>
      <c r="H11" s="5">
        <v>162</v>
      </c>
      <c r="I11" s="12">
        <v>4.4467787990345002E-2</v>
      </c>
      <c r="J11" s="13">
        <v>6.17283950617284E-3</v>
      </c>
      <c r="K11" s="17" t="s">
        <v>170</v>
      </c>
      <c r="L11" s="4">
        <v>0.99991546679468801</v>
      </c>
      <c r="M11" s="4">
        <v>1.11287951454826</v>
      </c>
      <c r="N11" s="4">
        <v>1.45020000000002E-2</v>
      </c>
      <c r="O11" s="4">
        <v>3.6950000000004501E-3</v>
      </c>
      <c r="P11" s="4">
        <v>-8.7170000000000893E-3</v>
      </c>
      <c r="Q11" s="4">
        <v>6.17283950617284E-3</v>
      </c>
      <c r="R11" s="4">
        <v>2.8728882716049401E-2</v>
      </c>
      <c r="S11" s="4" t="b">
        <v>0</v>
      </c>
      <c r="T11" s="4" t="b">
        <v>0</v>
      </c>
      <c r="U11" s="4" t="b">
        <v>0</v>
      </c>
      <c r="V11" t="s">
        <v>136</v>
      </c>
      <c r="W11" t="b">
        <v>1</v>
      </c>
      <c r="X11">
        <v>6</v>
      </c>
      <c r="Y11" s="2">
        <v>1.56579008657163E-2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3"/>
  <sheetViews>
    <sheetView workbookViewId="0">
      <selection activeCell="D2" sqref="D2"/>
    </sheetView>
  </sheetViews>
  <sheetFormatPr defaultColWidth="11.42578125" defaultRowHeight="15" x14ac:dyDescent="0.25"/>
  <cols>
    <col min="4" max="4" width="11.42578125" style="1"/>
    <col min="6" max="6" width="13" customWidth="1"/>
    <col min="7" max="7" width="16.5703125" customWidth="1"/>
    <col min="8" max="8" width="15.42578125" customWidth="1"/>
    <col min="11" max="11" width="11.42578125" style="2"/>
  </cols>
  <sheetData>
    <row r="1" spans="1:12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1</v>
      </c>
      <c r="D2" s="1">
        <v>1.82670779907977</v>
      </c>
      <c r="E2">
        <v>10</v>
      </c>
      <c r="F2">
        <v>3646.89385917872</v>
      </c>
      <c r="G2">
        <v>9.0555305874578496E-2</v>
      </c>
      <c r="H2">
        <v>0.237355199657173</v>
      </c>
      <c r="I2" t="s">
        <v>14</v>
      </c>
      <c r="J2" t="s">
        <v>15</v>
      </c>
      <c r="K2" s="2" t="b">
        <v>1</v>
      </c>
      <c r="L2">
        <v>11</v>
      </c>
    </row>
    <row r="3" spans="1:12" x14ac:dyDescent="0.25">
      <c r="A3" t="s">
        <v>16</v>
      </c>
      <c r="B3" t="s">
        <v>13</v>
      </c>
      <c r="C3">
        <v>2</v>
      </c>
      <c r="D3" s="1">
        <v>3.0886158838356299</v>
      </c>
      <c r="E3">
        <v>10</v>
      </c>
      <c r="F3">
        <v>5018.2189929740898</v>
      </c>
      <c r="G3">
        <v>2.7945557583158601E-2</v>
      </c>
      <c r="H3">
        <v>8.9828312384414494E-2</v>
      </c>
      <c r="I3" t="s">
        <v>14</v>
      </c>
      <c r="J3" t="s">
        <v>15</v>
      </c>
      <c r="K3" s="2" t="b">
        <v>1</v>
      </c>
      <c r="L3">
        <v>11</v>
      </c>
    </row>
    <row r="4" spans="1:12" x14ac:dyDescent="0.25">
      <c r="A4" t="s">
        <v>17</v>
      </c>
      <c r="B4" t="s">
        <v>13</v>
      </c>
      <c r="C4">
        <v>3</v>
      </c>
      <c r="D4" s="1">
        <v>4.4427224519903596</v>
      </c>
      <c r="E4">
        <v>10</v>
      </c>
      <c r="F4">
        <v>3762.1266183888602</v>
      </c>
      <c r="G4">
        <v>4.0792974491205801E-2</v>
      </c>
      <c r="H4">
        <v>0.13271522943840999</v>
      </c>
      <c r="I4" t="s">
        <v>14</v>
      </c>
      <c r="J4" t="s">
        <v>15</v>
      </c>
      <c r="K4" s="2" t="b">
        <v>1</v>
      </c>
      <c r="L4">
        <v>11</v>
      </c>
    </row>
    <row r="5" spans="1:12" x14ac:dyDescent="0.25">
      <c r="A5" t="s">
        <v>18</v>
      </c>
      <c r="B5" t="s">
        <v>13</v>
      </c>
      <c r="C5">
        <v>4</v>
      </c>
      <c r="D5" s="1">
        <v>5.7187624569102304</v>
      </c>
      <c r="E5">
        <v>10</v>
      </c>
      <c r="F5">
        <v>4364.9234882352403</v>
      </c>
      <c r="G5">
        <v>3.1836499999999802E-2</v>
      </c>
      <c r="H5">
        <v>0.16127419472674701</v>
      </c>
      <c r="I5" t="s">
        <v>14</v>
      </c>
      <c r="J5" t="s">
        <v>15</v>
      </c>
      <c r="K5" s="2" t="b">
        <v>1</v>
      </c>
      <c r="L5">
        <v>11</v>
      </c>
    </row>
    <row r="6" spans="1:12" x14ac:dyDescent="0.25">
      <c r="A6" t="s">
        <v>19</v>
      </c>
      <c r="B6" t="s">
        <v>13</v>
      </c>
      <c r="C6">
        <v>5</v>
      </c>
      <c r="D6" s="1">
        <v>7.1251416876642404</v>
      </c>
      <c r="E6">
        <v>10</v>
      </c>
      <c r="F6">
        <v>5183.6227816983201</v>
      </c>
      <c r="G6">
        <v>3.7174416908047299E-2</v>
      </c>
      <c r="H6">
        <v>0.234231096259987</v>
      </c>
      <c r="I6" t="s">
        <v>14</v>
      </c>
      <c r="J6" t="s">
        <v>15</v>
      </c>
      <c r="K6" s="2" t="b">
        <v>1</v>
      </c>
      <c r="L6">
        <v>11</v>
      </c>
    </row>
    <row r="7" spans="1:12" x14ac:dyDescent="0.25">
      <c r="A7" t="s">
        <v>20</v>
      </c>
      <c r="B7" t="s">
        <v>13</v>
      </c>
      <c r="C7">
        <v>6</v>
      </c>
      <c r="D7" s="1">
        <v>8.3569209257344692</v>
      </c>
      <c r="E7">
        <v>10</v>
      </c>
      <c r="F7">
        <v>4409.1258537605399</v>
      </c>
      <c r="G7">
        <v>3.2754501620402797E-2</v>
      </c>
      <c r="H7">
        <v>0.21583497924681799</v>
      </c>
      <c r="I7" t="s">
        <v>14</v>
      </c>
      <c r="J7" t="s">
        <v>15</v>
      </c>
      <c r="K7" s="2" t="b">
        <v>1</v>
      </c>
      <c r="L7">
        <v>11</v>
      </c>
    </row>
    <row r="8" spans="1:12" x14ac:dyDescent="0.25">
      <c r="A8" t="s">
        <v>21</v>
      </c>
      <c r="B8" t="s">
        <v>13</v>
      </c>
      <c r="C8">
        <v>7</v>
      </c>
      <c r="D8" s="1">
        <v>9.6092060184508998</v>
      </c>
      <c r="E8">
        <v>10</v>
      </c>
      <c r="F8">
        <v>4630.5940272202897</v>
      </c>
      <c r="G8">
        <v>2.1391027129197E-2</v>
      </c>
      <c r="H8">
        <v>0.202228249671147</v>
      </c>
      <c r="I8" t="s">
        <v>14</v>
      </c>
      <c r="J8" t="s">
        <v>15</v>
      </c>
      <c r="K8" s="2" t="b">
        <v>1</v>
      </c>
      <c r="L8">
        <v>11</v>
      </c>
    </row>
    <row r="9" spans="1:12" x14ac:dyDescent="0.25">
      <c r="A9" t="s">
        <v>22</v>
      </c>
      <c r="B9" t="s">
        <v>13</v>
      </c>
      <c r="C9">
        <v>8</v>
      </c>
      <c r="D9" s="1">
        <v>12.374663051008</v>
      </c>
      <c r="E9">
        <v>10</v>
      </c>
      <c r="F9">
        <v>5213.2640832472398</v>
      </c>
      <c r="G9">
        <v>0.15179571207402301</v>
      </c>
      <c r="H9">
        <v>0.14085732059481099</v>
      </c>
      <c r="I9" t="s">
        <v>14</v>
      </c>
      <c r="J9" t="s">
        <v>15</v>
      </c>
      <c r="K9" s="2" t="b">
        <v>1</v>
      </c>
      <c r="L9">
        <v>11</v>
      </c>
    </row>
    <row r="10" spans="1:12" x14ac:dyDescent="0.25">
      <c r="A10" t="s">
        <v>23</v>
      </c>
      <c r="B10" t="s">
        <v>13</v>
      </c>
      <c r="C10">
        <v>9</v>
      </c>
      <c r="D10" s="1">
        <v>13.6667814661661</v>
      </c>
      <c r="E10">
        <v>10</v>
      </c>
      <c r="F10">
        <v>3789.02945339498</v>
      </c>
      <c r="G10">
        <v>2.72730271291967E-2</v>
      </c>
      <c r="H10">
        <v>9.3184708430312596E-2</v>
      </c>
      <c r="I10" t="s">
        <v>14</v>
      </c>
      <c r="J10" t="s">
        <v>15</v>
      </c>
      <c r="K10" s="2" t="b">
        <v>1</v>
      </c>
      <c r="L10">
        <v>11</v>
      </c>
    </row>
    <row r="11" spans="1:12" x14ac:dyDescent="0.25">
      <c r="A11" t="s">
        <v>24</v>
      </c>
      <c r="B11" t="s">
        <v>13</v>
      </c>
      <c r="C11">
        <v>10</v>
      </c>
      <c r="D11" s="1">
        <v>15.163125396783601</v>
      </c>
      <c r="E11">
        <v>10</v>
      </c>
      <c r="F11">
        <v>4010.12351790824</v>
      </c>
      <c r="G11">
        <v>2.7596499999999601E-2</v>
      </c>
      <c r="H11">
        <v>9.1330523540098699E-2</v>
      </c>
      <c r="I11" t="s">
        <v>14</v>
      </c>
      <c r="J11" t="s">
        <v>15</v>
      </c>
      <c r="K11" s="2" t="b">
        <v>1</v>
      </c>
      <c r="L11">
        <v>11</v>
      </c>
    </row>
    <row r="12" spans="1:12" x14ac:dyDescent="0.25">
      <c r="A12" t="s">
        <v>25</v>
      </c>
      <c r="B12" t="s">
        <v>13</v>
      </c>
      <c r="C12">
        <v>11</v>
      </c>
      <c r="D12" s="1">
        <v>16.390402129774898</v>
      </c>
      <c r="E12">
        <v>10</v>
      </c>
      <c r="F12">
        <v>4074.4309143569899</v>
      </c>
      <c r="G12">
        <v>3.2593025508793401E-2</v>
      </c>
      <c r="H12">
        <v>9.1339286083013893E-2</v>
      </c>
      <c r="I12" t="s">
        <v>14</v>
      </c>
      <c r="J12" t="s">
        <v>15</v>
      </c>
      <c r="K12" s="2" t="b">
        <v>1</v>
      </c>
      <c r="L12">
        <v>11</v>
      </c>
    </row>
    <row r="13" spans="1:12" x14ac:dyDescent="0.25">
      <c r="A13" t="s">
        <v>26</v>
      </c>
      <c r="B13" t="s">
        <v>13</v>
      </c>
      <c r="C13">
        <v>12</v>
      </c>
      <c r="D13" s="1">
        <v>17.671781388384499</v>
      </c>
      <c r="E13">
        <v>10</v>
      </c>
      <c r="F13">
        <v>4088.0313518479302</v>
      </c>
      <c r="G13">
        <v>2.9300537464240401E-2</v>
      </c>
      <c r="H13">
        <v>8.9849148930594203E-2</v>
      </c>
      <c r="I13" t="s">
        <v>14</v>
      </c>
      <c r="J13" t="s">
        <v>15</v>
      </c>
      <c r="K13" s="2" t="b">
        <v>1</v>
      </c>
      <c r="L13">
        <v>11</v>
      </c>
    </row>
    <row r="14" spans="1:12" x14ac:dyDescent="0.25">
      <c r="A14" t="s">
        <v>27</v>
      </c>
      <c r="B14" t="s">
        <v>13</v>
      </c>
      <c r="C14">
        <v>13</v>
      </c>
      <c r="D14" s="1">
        <v>18.9696715691577</v>
      </c>
      <c r="E14">
        <v>10</v>
      </c>
      <c r="F14">
        <v>3976.0032414795801</v>
      </c>
      <c r="G14">
        <v>4.5681167197325998E-2</v>
      </c>
      <c r="H14">
        <v>0.21525516969313399</v>
      </c>
      <c r="I14" t="s">
        <v>14</v>
      </c>
      <c r="J14" t="s">
        <v>15</v>
      </c>
      <c r="K14" s="2" t="b">
        <v>1</v>
      </c>
      <c r="L14">
        <v>11</v>
      </c>
    </row>
    <row r="15" spans="1:12" x14ac:dyDescent="0.25">
      <c r="A15" t="s">
        <v>28</v>
      </c>
      <c r="B15" t="s">
        <v>13</v>
      </c>
      <c r="C15">
        <v>14</v>
      </c>
      <c r="D15" s="1">
        <v>20.272041939916502</v>
      </c>
      <c r="E15">
        <v>10</v>
      </c>
      <c r="F15">
        <v>3397.6421353670198</v>
      </c>
      <c r="G15">
        <v>3.5068525508794399E-2</v>
      </c>
      <c r="H15">
        <v>0.150721386977687</v>
      </c>
      <c r="I15" t="s">
        <v>14</v>
      </c>
      <c r="J15" t="s">
        <v>15</v>
      </c>
      <c r="K15" s="2" t="b">
        <v>1</v>
      </c>
      <c r="L15">
        <v>11</v>
      </c>
    </row>
    <row r="16" spans="1:12" x14ac:dyDescent="0.25">
      <c r="A16" t="s">
        <v>29</v>
      </c>
      <c r="B16" t="s">
        <v>13</v>
      </c>
      <c r="C16">
        <v>15</v>
      </c>
      <c r="D16" s="1">
        <v>21.569823884971498</v>
      </c>
      <c r="E16">
        <v>10</v>
      </c>
      <c r="F16">
        <v>3288.6810622114899</v>
      </c>
      <c r="G16">
        <v>3.2619194125421101E-2</v>
      </c>
      <c r="H16">
        <v>8.5069739231505001E-2</v>
      </c>
      <c r="I16" t="s">
        <v>14</v>
      </c>
      <c r="J16" t="s">
        <v>15</v>
      </c>
      <c r="K16" s="2" t="b">
        <v>1</v>
      </c>
      <c r="L16">
        <v>11</v>
      </c>
    </row>
    <row r="17" spans="1:12" x14ac:dyDescent="0.25">
      <c r="A17" t="s">
        <v>30</v>
      </c>
      <c r="B17" t="s">
        <v>13</v>
      </c>
      <c r="C17">
        <v>16</v>
      </c>
      <c r="D17" s="1">
        <v>22.893306366168101</v>
      </c>
      <c r="E17">
        <v>10</v>
      </c>
      <c r="F17">
        <v>4291.4012479507401</v>
      </c>
      <c r="G17">
        <v>3.5599025508794402E-2</v>
      </c>
      <c r="H17">
        <v>0.12669510635635201</v>
      </c>
      <c r="I17" t="s">
        <v>14</v>
      </c>
      <c r="J17" t="s">
        <v>15</v>
      </c>
      <c r="K17" s="2" t="b">
        <v>1</v>
      </c>
      <c r="L17">
        <v>11</v>
      </c>
    </row>
    <row r="18" spans="1:12" x14ac:dyDescent="0.25">
      <c r="A18" t="s">
        <v>31</v>
      </c>
      <c r="B18" t="s">
        <v>32</v>
      </c>
      <c r="C18">
        <v>1</v>
      </c>
      <c r="D18" s="1">
        <v>1.27971490712589</v>
      </c>
      <c r="E18">
        <v>10</v>
      </c>
      <c r="F18">
        <v>4023.2494612058699</v>
      </c>
      <c r="G18">
        <v>2.4290942416840801E-2</v>
      </c>
      <c r="H18">
        <v>0.124475387693557</v>
      </c>
      <c r="I18" t="s">
        <v>14</v>
      </c>
      <c r="J18" t="s">
        <v>15</v>
      </c>
      <c r="K18" s="2" t="b">
        <v>1</v>
      </c>
      <c r="L18">
        <v>11</v>
      </c>
    </row>
    <row r="19" spans="1:12" x14ac:dyDescent="0.25">
      <c r="A19" t="s">
        <v>33</v>
      </c>
      <c r="B19" t="s">
        <v>32</v>
      </c>
      <c r="C19">
        <v>2</v>
      </c>
      <c r="D19" s="1">
        <v>3.89110206040045</v>
      </c>
      <c r="E19">
        <v>10</v>
      </c>
      <c r="F19">
        <v>4502.2202132633702</v>
      </c>
      <c r="G19">
        <v>3.5647166996225901E-2</v>
      </c>
      <c r="H19">
        <v>0.15006241029661899</v>
      </c>
      <c r="I19" t="s">
        <v>14</v>
      </c>
      <c r="J19" t="s">
        <v>15</v>
      </c>
      <c r="K19" s="2" t="b">
        <v>1</v>
      </c>
      <c r="L19">
        <v>11</v>
      </c>
    </row>
    <row r="20" spans="1:12" x14ac:dyDescent="0.25">
      <c r="A20" t="s">
        <v>34</v>
      </c>
      <c r="B20" t="s">
        <v>32</v>
      </c>
      <c r="C20">
        <v>3</v>
      </c>
      <c r="D20" s="1">
        <v>6.6154362225389196</v>
      </c>
      <c r="E20">
        <v>10</v>
      </c>
      <c r="F20">
        <v>4386.3933915357302</v>
      </c>
      <c r="G20">
        <v>2.41091535823208E-2</v>
      </c>
      <c r="H20">
        <v>4.6884591312589999E-2</v>
      </c>
      <c r="I20" t="s">
        <v>14</v>
      </c>
      <c r="J20" t="s">
        <v>15</v>
      </c>
      <c r="K20" s="2" t="b">
        <v>1</v>
      </c>
      <c r="L20">
        <v>11</v>
      </c>
    </row>
    <row r="21" spans="1:12" x14ac:dyDescent="0.25">
      <c r="A21" t="s">
        <v>35</v>
      </c>
      <c r="B21" t="s">
        <v>32</v>
      </c>
      <c r="C21">
        <v>4</v>
      </c>
      <c r="D21" s="1">
        <v>9.1772193279203904</v>
      </c>
      <c r="E21">
        <v>10</v>
      </c>
      <c r="F21">
        <v>3220.1909668124699</v>
      </c>
      <c r="G21">
        <v>9.32546686166245E-2</v>
      </c>
      <c r="H21">
        <v>0.30758270185061598</v>
      </c>
      <c r="I21" t="s">
        <v>14</v>
      </c>
      <c r="J21" t="s">
        <v>15</v>
      </c>
      <c r="K21" s="2" t="b">
        <v>1</v>
      </c>
      <c r="L21">
        <v>11</v>
      </c>
    </row>
    <row r="22" spans="1:12" x14ac:dyDescent="0.25">
      <c r="A22" t="s">
        <v>36</v>
      </c>
      <c r="B22" t="s">
        <v>32</v>
      </c>
      <c r="C22">
        <v>5</v>
      </c>
      <c r="D22" s="1">
        <v>11.629864682791901</v>
      </c>
      <c r="E22">
        <v>10</v>
      </c>
      <c r="F22">
        <v>4802.5154373888299</v>
      </c>
      <c r="G22">
        <v>5.1747525508796098E-2</v>
      </c>
      <c r="H22">
        <v>0.19432833836780999</v>
      </c>
      <c r="I22" t="s">
        <v>14</v>
      </c>
      <c r="J22" t="s">
        <v>15</v>
      </c>
      <c r="K22" s="2" t="b">
        <v>1</v>
      </c>
      <c r="L22">
        <v>11</v>
      </c>
    </row>
    <row r="23" spans="1:12" x14ac:dyDescent="0.25">
      <c r="A23" t="s">
        <v>37</v>
      </c>
      <c r="B23" t="s">
        <v>38</v>
      </c>
      <c r="C23">
        <v>1</v>
      </c>
      <c r="D23" s="1">
        <v>1.1808858541048901</v>
      </c>
      <c r="E23">
        <v>10</v>
      </c>
      <c r="F23">
        <v>5261.3736822974397</v>
      </c>
      <c r="G23">
        <v>2.6946714851710699E-2</v>
      </c>
      <c r="H23">
        <v>0.13512258265893101</v>
      </c>
      <c r="I23" t="s">
        <v>14</v>
      </c>
      <c r="J23" t="s">
        <v>15</v>
      </c>
      <c r="K23" s="2" t="b">
        <v>1</v>
      </c>
      <c r="L23">
        <v>11</v>
      </c>
    </row>
    <row r="24" spans="1:12" x14ac:dyDescent="0.25">
      <c r="A24" t="s">
        <v>39</v>
      </c>
      <c r="B24" t="s">
        <v>38</v>
      </c>
      <c r="C24">
        <v>2</v>
      </c>
      <c r="D24" s="1">
        <v>2.4638598290462501</v>
      </c>
      <c r="E24">
        <v>10</v>
      </c>
      <c r="F24">
        <v>4007.5367081648001</v>
      </c>
      <c r="G24">
        <v>2.2470583091952701E-2</v>
      </c>
      <c r="H24">
        <v>3.4899419186725497E-2</v>
      </c>
      <c r="I24" t="s">
        <v>14</v>
      </c>
      <c r="J24" t="s">
        <v>15</v>
      </c>
      <c r="K24" s="2" t="b">
        <v>1</v>
      </c>
      <c r="L24">
        <v>11</v>
      </c>
    </row>
    <row r="25" spans="1:12" x14ac:dyDescent="0.25">
      <c r="A25" t="s">
        <v>40</v>
      </c>
      <c r="B25" t="s">
        <v>38</v>
      </c>
      <c r="C25">
        <v>3</v>
      </c>
      <c r="D25" s="1">
        <v>3.8184314304531202</v>
      </c>
      <c r="E25">
        <v>10</v>
      </c>
      <c r="F25">
        <v>4150.5332160369999</v>
      </c>
      <c r="G25">
        <v>1.0219583091952899E-2</v>
      </c>
      <c r="H25">
        <v>4.3577289684878E-2</v>
      </c>
      <c r="I25" t="s">
        <v>14</v>
      </c>
      <c r="J25" t="s">
        <v>15</v>
      </c>
      <c r="K25" s="2" t="b">
        <v>1</v>
      </c>
      <c r="L25">
        <v>11</v>
      </c>
    </row>
    <row r="26" spans="1:12" x14ac:dyDescent="0.25">
      <c r="A26" t="s">
        <v>41</v>
      </c>
      <c r="B26" t="s">
        <v>38</v>
      </c>
      <c r="C26">
        <v>4</v>
      </c>
      <c r="D26" s="1">
        <v>5.0278896595158002</v>
      </c>
      <c r="E26">
        <v>10</v>
      </c>
      <c r="F26">
        <v>4400.1448905817697</v>
      </c>
      <c r="G26">
        <v>1.5361999999999701E-2</v>
      </c>
      <c r="H26">
        <v>6.3111180023744107E-2</v>
      </c>
      <c r="I26" t="s">
        <v>14</v>
      </c>
      <c r="J26" t="s">
        <v>15</v>
      </c>
      <c r="K26" s="2" t="b">
        <v>1</v>
      </c>
      <c r="L26">
        <v>11</v>
      </c>
    </row>
    <row r="27" spans="1:12" x14ac:dyDescent="0.25">
      <c r="A27" t="s">
        <v>42</v>
      </c>
      <c r="B27" t="s">
        <v>38</v>
      </c>
      <c r="C27">
        <v>5</v>
      </c>
      <c r="D27" s="1">
        <v>6.3216742425706203</v>
      </c>
      <c r="E27">
        <v>10</v>
      </c>
      <c r="F27">
        <v>3826.65191523979</v>
      </c>
      <c r="G27">
        <v>1.7289583091952599E-2</v>
      </c>
      <c r="H27">
        <v>0.10300500282712199</v>
      </c>
      <c r="I27" t="s">
        <v>14</v>
      </c>
      <c r="J27" t="s">
        <v>15</v>
      </c>
      <c r="K27" s="2" t="b">
        <v>1</v>
      </c>
      <c r="L27">
        <v>11</v>
      </c>
    </row>
    <row r="28" spans="1:12" x14ac:dyDescent="0.25">
      <c r="A28" t="s">
        <v>43</v>
      </c>
      <c r="B28" t="s">
        <v>38</v>
      </c>
      <c r="C28">
        <v>6</v>
      </c>
      <c r="D28" s="1">
        <v>7.7182978987020503</v>
      </c>
      <c r="E28">
        <v>7</v>
      </c>
      <c r="F28">
        <v>2017.9262519464</v>
      </c>
      <c r="G28">
        <v>2.76796356200316E-2</v>
      </c>
      <c r="H28">
        <v>4.9609097932425503E-2</v>
      </c>
      <c r="I28" t="s">
        <v>14</v>
      </c>
      <c r="J28" t="s">
        <v>15</v>
      </c>
      <c r="K28" s="2" t="b">
        <v>1</v>
      </c>
      <c r="L28">
        <v>11</v>
      </c>
    </row>
    <row r="29" spans="1:12" x14ac:dyDescent="0.25">
      <c r="A29" t="s">
        <v>44</v>
      </c>
      <c r="B29" t="s">
        <v>38</v>
      </c>
      <c r="C29">
        <v>7</v>
      </c>
      <c r="D29" s="1">
        <v>8.9699530890247292</v>
      </c>
      <c r="E29">
        <v>10</v>
      </c>
      <c r="F29">
        <v>4631.8161999627</v>
      </c>
      <c r="G29">
        <v>3.39226870643487E-2</v>
      </c>
      <c r="H29">
        <v>0.106862874773943</v>
      </c>
      <c r="I29" t="s">
        <v>14</v>
      </c>
      <c r="J29" t="s">
        <v>15</v>
      </c>
      <c r="K29" s="2" t="b">
        <v>1</v>
      </c>
      <c r="L29">
        <v>11</v>
      </c>
    </row>
    <row r="30" spans="1:12" x14ac:dyDescent="0.25">
      <c r="A30" t="s">
        <v>45</v>
      </c>
      <c r="B30" t="s">
        <v>38</v>
      </c>
      <c r="C30">
        <v>8</v>
      </c>
      <c r="D30" s="1">
        <v>10.274128610801</v>
      </c>
      <c r="E30">
        <v>10</v>
      </c>
      <c r="F30">
        <v>3873.2904897339599</v>
      </c>
      <c r="G30">
        <v>3.4333483664414799E-2</v>
      </c>
      <c r="H30">
        <v>7.2021437616316894E-2</v>
      </c>
      <c r="I30" t="s">
        <v>14</v>
      </c>
      <c r="J30" t="s">
        <v>15</v>
      </c>
      <c r="K30" s="2" t="b">
        <v>1</v>
      </c>
      <c r="L30">
        <v>11</v>
      </c>
    </row>
    <row r="31" spans="1:12" x14ac:dyDescent="0.25">
      <c r="A31" t="s">
        <v>46</v>
      </c>
      <c r="B31" t="s">
        <v>38</v>
      </c>
      <c r="C31">
        <v>9</v>
      </c>
      <c r="D31" s="1">
        <v>11.681369349213201</v>
      </c>
      <c r="E31">
        <v>10</v>
      </c>
      <c r="F31">
        <v>4229.6914317727997</v>
      </c>
      <c r="G31">
        <v>3.2303219743448498E-2</v>
      </c>
      <c r="H31">
        <v>6.6263162999929903E-2</v>
      </c>
      <c r="I31" t="s">
        <v>14</v>
      </c>
      <c r="J31" t="s">
        <v>15</v>
      </c>
      <c r="K31" s="2" t="b">
        <v>1</v>
      </c>
      <c r="L31">
        <v>11</v>
      </c>
    </row>
    <row r="32" spans="1:12" x14ac:dyDescent="0.25">
      <c r="A32" t="s">
        <v>47</v>
      </c>
      <c r="B32" t="s">
        <v>38</v>
      </c>
      <c r="C32">
        <v>10</v>
      </c>
      <c r="D32" s="1">
        <v>12.966407837243599</v>
      </c>
      <c r="E32">
        <v>10</v>
      </c>
      <c r="F32">
        <v>4272.7073721185598</v>
      </c>
      <c r="G32">
        <v>2.60680000000004E-2</v>
      </c>
      <c r="H32">
        <v>3.8778274788443701E-2</v>
      </c>
      <c r="I32" t="s">
        <v>14</v>
      </c>
      <c r="J32" t="s">
        <v>15</v>
      </c>
      <c r="K32" s="2" t="b">
        <v>1</v>
      </c>
      <c r="L32">
        <v>11</v>
      </c>
    </row>
    <row r="33" spans="1:12" x14ac:dyDescent="0.25">
      <c r="A33" t="s">
        <v>48</v>
      </c>
      <c r="B33" t="s">
        <v>38</v>
      </c>
      <c r="C33">
        <v>11</v>
      </c>
      <c r="D33" s="1">
        <v>14.4587215624789</v>
      </c>
      <c r="E33">
        <v>10</v>
      </c>
      <c r="F33">
        <v>4074.43260162142</v>
      </c>
      <c r="G33">
        <v>3.9742968013456101E-2</v>
      </c>
      <c r="H33">
        <v>7.4406285661051105E-2</v>
      </c>
      <c r="I33" t="s">
        <v>14</v>
      </c>
      <c r="J33" t="s">
        <v>15</v>
      </c>
      <c r="K33" s="2" t="b">
        <v>1</v>
      </c>
      <c r="L33">
        <v>11</v>
      </c>
    </row>
    <row r="34" spans="1:12" x14ac:dyDescent="0.25">
      <c r="A34" t="s">
        <v>49</v>
      </c>
      <c r="B34" t="s">
        <v>38</v>
      </c>
      <c r="C34">
        <v>12</v>
      </c>
      <c r="D34" s="1">
        <v>15.6488664736746</v>
      </c>
      <c r="E34">
        <v>10</v>
      </c>
      <c r="F34">
        <v>3569.9513828952399</v>
      </c>
      <c r="G34">
        <v>3.0192001620402999E-2</v>
      </c>
      <c r="H34">
        <v>6.2955199804617695E-2</v>
      </c>
      <c r="I34" t="s">
        <v>14</v>
      </c>
      <c r="J34" t="s">
        <v>15</v>
      </c>
      <c r="K34" s="2" t="b">
        <v>1</v>
      </c>
      <c r="L34">
        <v>11</v>
      </c>
    </row>
    <row r="35" spans="1:12" x14ac:dyDescent="0.25">
      <c r="A35" t="s">
        <v>50</v>
      </c>
      <c r="B35" t="s">
        <v>38</v>
      </c>
      <c r="C35">
        <v>13</v>
      </c>
      <c r="D35" s="1">
        <v>16.955780336031399</v>
      </c>
      <c r="E35">
        <v>10</v>
      </c>
      <c r="F35">
        <v>4370.2300752585497</v>
      </c>
      <c r="G35">
        <v>3.7573474491207501E-2</v>
      </c>
      <c r="H35">
        <v>7.0999504626644699E-2</v>
      </c>
      <c r="I35" t="s">
        <v>14</v>
      </c>
      <c r="J35" t="s">
        <v>15</v>
      </c>
      <c r="K35" s="2" t="b">
        <v>1</v>
      </c>
      <c r="L35">
        <v>11</v>
      </c>
    </row>
    <row r="36" spans="1:12" x14ac:dyDescent="0.25">
      <c r="A36" t="s">
        <v>51</v>
      </c>
      <c r="B36" t="s">
        <v>52</v>
      </c>
      <c r="C36">
        <v>1</v>
      </c>
      <c r="D36" s="1">
        <v>1.0026236517989</v>
      </c>
      <c r="E36">
        <v>10</v>
      </c>
      <c r="F36">
        <v>4897.9808900403896</v>
      </c>
      <c r="G36">
        <v>2.2412057583158701E-2</v>
      </c>
      <c r="H36">
        <v>5.5577432259748399E-2</v>
      </c>
      <c r="I36" t="s">
        <v>14</v>
      </c>
      <c r="J36" t="s">
        <v>15</v>
      </c>
      <c r="K36" s="2" t="b">
        <v>1</v>
      </c>
      <c r="L36">
        <v>11</v>
      </c>
    </row>
    <row r="37" spans="1:12" x14ac:dyDescent="0.25">
      <c r="A37" t="s">
        <v>53</v>
      </c>
      <c r="B37" t="s">
        <v>52</v>
      </c>
      <c r="C37">
        <v>2</v>
      </c>
      <c r="D37" s="1">
        <v>2.0109776061683302</v>
      </c>
      <c r="E37">
        <v>10</v>
      </c>
      <c r="F37">
        <v>4883.2019647892303</v>
      </c>
      <c r="G37">
        <v>3.5059346503468397E-2</v>
      </c>
      <c r="H37">
        <v>4.0906478416758103E-2</v>
      </c>
      <c r="I37" t="s">
        <v>14</v>
      </c>
      <c r="J37" t="s">
        <v>15</v>
      </c>
      <c r="K37" s="2" t="b">
        <v>1</v>
      </c>
      <c r="L37">
        <v>11</v>
      </c>
    </row>
    <row r="38" spans="1:12" x14ac:dyDescent="0.25">
      <c r="A38" t="s">
        <v>54</v>
      </c>
      <c r="B38" t="s">
        <v>52</v>
      </c>
      <c r="C38">
        <v>3</v>
      </c>
      <c r="D38" s="1">
        <v>2.8742530878622401</v>
      </c>
      <c r="E38">
        <v>10</v>
      </c>
      <c r="F38">
        <v>4443.2171600374004</v>
      </c>
      <c r="G38">
        <v>1.8606770614221901E-2</v>
      </c>
      <c r="H38">
        <v>6.1515146375029799E-2</v>
      </c>
      <c r="I38" t="s">
        <v>14</v>
      </c>
      <c r="J38" t="s">
        <v>15</v>
      </c>
      <c r="K38" s="2" t="b">
        <v>1</v>
      </c>
      <c r="L38">
        <v>11</v>
      </c>
    </row>
    <row r="39" spans="1:12" x14ac:dyDescent="0.25">
      <c r="A39" t="s">
        <v>55</v>
      </c>
      <c r="B39" t="s">
        <v>52</v>
      </c>
      <c r="C39">
        <v>4</v>
      </c>
      <c r="D39" s="1">
        <v>3.7707604026502799</v>
      </c>
      <c r="E39">
        <v>9</v>
      </c>
      <c r="F39">
        <v>3115.0245472601</v>
      </c>
      <c r="G39">
        <v>3.54235278191029E-2</v>
      </c>
      <c r="H39">
        <v>5.4571349410431701E-2</v>
      </c>
      <c r="I39" t="s">
        <v>14</v>
      </c>
      <c r="J39" t="s">
        <v>15</v>
      </c>
      <c r="K39" s="2" t="b">
        <v>1</v>
      </c>
      <c r="L39">
        <v>11</v>
      </c>
    </row>
    <row r="40" spans="1:12" x14ac:dyDescent="0.25">
      <c r="A40" t="s">
        <v>56</v>
      </c>
      <c r="B40" t="s">
        <v>52</v>
      </c>
      <c r="C40">
        <v>5</v>
      </c>
      <c r="D40" s="1">
        <v>6.5378003121328403</v>
      </c>
      <c r="E40">
        <v>9</v>
      </c>
      <c r="F40">
        <v>3226.89996609114</v>
      </c>
      <c r="G40">
        <v>2.8281613715925E-2</v>
      </c>
      <c r="H40">
        <v>0.119426443215639</v>
      </c>
      <c r="I40" t="s">
        <v>14</v>
      </c>
      <c r="J40" t="s">
        <v>15</v>
      </c>
      <c r="K40" s="2" t="b">
        <v>1</v>
      </c>
      <c r="L40">
        <v>11</v>
      </c>
    </row>
    <row r="41" spans="1:12" x14ac:dyDescent="0.25">
      <c r="A41" t="s">
        <v>57</v>
      </c>
      <c r="B41" t="s">
        <v>52</v>
      </c>
      <c r="C41">
        <v>6</v>
      </c>
      <c r="D41" s="1">
        <v>7.5300611627680603</v>
      </c>
      <c r="E41">
        <v>10</v>
      </c>
      <c r="F41">
        <v>3661.1088312277998</v>
      </c>
      <c r="G41">
        <v>3.0011154479963501E-2</v>
      </c>
      <c r="H41">
        <v>8.3819982070229199E-2</v>
      </c>
      <c r="I41" t="s">
        <v>14</v>
      </c>
      <c r="J41" t="s">
        <v>15</v>
      </c>
      <c r="K41" s="2" t="b">
        <v>1</v>
      </c>
      <c r="L41">
        <v>11</v>
      </c>
    </row>
    <row r="42" spans="1:12" x14ac:dyDescent="0.25">
      <c r="A42" t="s">
        <v>58</v>
      </c>
      <c r="B42" t="s">
        <v>52</v>
      </c>
      <c r="C42">
        <v>7</v>
      </c>
      <c r="D42" s="1">
        <v>8.3551160964253004</v>
      </c>
      <c r="E42">
        <v>10</v>
      </c>
      <c r="F42">
        <v>4396.8560525883204</v>
      </c>
      <c r="G42">
        <v>2.12068055350784E-2</v>
      </c>
      <c r="H42">
        <v>9.66352761086062E-2</v>
      </c>
      <c r="I42" t="s">
        <v>14</v>
      </c>
      <c r="J42" t="s">
        <v>15</v>
      </c>
      <c r="K42" s="2" t="b">
        <v>1</v>
      </c>
      <c r="L42">
        <v>11</v>
      </c>
    </row>
    <row r="43" spans="1:12" x14ac:dyDescent="0.25">
      <c r="A43" t="s">
        <v>59</v>
      </c>
      <c r="B43" t="s">
        <v>52</v>
      </c>
      <c r="C43">
        <v>8</v>
      </c>
      <c r="D43" s="1">
        <v>9.5552262735736608</v>
      </c>
      <c r="E43">
        <v>6</v>
      </c>
      <c r="F43">
        <v>2711.2626144822598</v>
      </c>
      <c r="G43">
        <v>7.7593666996223998E-2</v>
      </c>
      <c r="H43">
        <v>0.116284200158161</v>
      </c>
      <c r="I43" t="s">
        <v>14</v>
      </c>
      <c r="J43" t="s">
        <v>15</v>
      </c>
      <c r="K43" s="2" t="b">
        <v>1</v>
      </c>
      <c r="L43">
        <v>11</v>
      </c>
    </row>
    <row r="44" spans="1:12" x14ac:dyDescent="0.25">
      <c r="A44" t="s">
        <v>60</v>
      </c>
      <c r="B44" t="s">
        <v>52</v>
      </c>
      <c r="C44">
        <v>9</v>
      </c>
      <c r="D44" s="1">
        <v>12.0766250365284</v>
      </c>
      <c r="E44">
        <v>10</v>
      </c>
      <c r="F44">
        <v>4566.8007110130702</v>
      </c>
      <c r="G44">
        <v>3.3511084712355498E-2</v>
      </c>
      <c r="H44">
        <v>5.22837844483761E-2</v>
      </c>
      <c r="I44" t="s">
        <v>14</v>
      </c>
      <c r="J44" t="s">
        <v>15</v>
      </c>
      <c r="K44" s="2" t="b">
        <v>1</v>
      </c>
      <c r="L44">
        <v>11</v>
      </c>
    </row>
    <row r="45" spans="1:12" x14ac:dyDescent="0.25">
      <c r="A45" t="s">
        <v>61</v>
      </c>
      <c r="B45" t="s">
        <v>52</v>
      </c>
      <c r="C45">
        <v>10</v>
      </c>
      <c r="D45" s="1">
        <v>12.975542609605601</v>
      </c>
      <c r="E45">
        <v>10</v>
      </c>
      <c r="F45">
        <v>2942.0834367552602</v>
      </c>
      <c r="G45">
        <v>5.0905499999999798E-2</v>
      </c>
      <c r="H45">
        <v>9.3366519396170106E-2</v>
      </c>
      <c r="I45" t="s">
        <v>14</v>
      </c>
      <c r="J45" t="s">
        <v>15</v>
      </c>
      <c r="K45" s="2" t="b">
        <v>1</v>
      </c>
      <c r="L45">
        <v>11</v>
      </c>
    </row>
    <row r="46" spans="1:12" x14ac:dyDescent="0.25">
      <c r="A46" t="s">
        <v>62</v>
      </c>
      <c r="B46" t="s">
        <v>52</v>
      </c>
      <c r="C46">
        <v>11</v>
      </c>
      <c r="D46" s="1">
        <v>13.8617440646243</v>
      </c>
      <c r="E46">
        <v>10</v>
      </c>
      <c r="F46">
        <v>4563.4860941061097</v>
      </c>
      <c r="G46">
        <v>4.5646474491206103E-2</v>
      </c>
      <c r="H46">
        <v>9.7178773863717205E-2</v>
      </c>
      <c r="I46" t="s">
        <v>14</v>
      </c>
      <c r="J46" t="s">
        <v>15</v>
      </c>
      <c r="K46" s="2" t="b">
        <v>1</v>
      </c>
      <c r="L46">
        <v>11</v>
      </c>
    </row>
    <row r="47" spans="1:12" x14ac:dyDescent="0.25">
      <c r="A47" t="s">
        <v>63</v>
      </c>
      <c r="B47" t="s">
        <v>52</v>
      </c>
      <c r="C47">
        <v>12</v>
      </c>
      <c r="D47" s="1">
        <v>14.833672148400799</v>
      </c>
      <c r="E47">
        <v>10</v>
      </c>
      <c r="F47">
        <v>4479.4070047838204</v>
      </c>
      <c r="G47">
        <v>3.9872916908047E-2</v>
      </c>
      <c r="H47">
        <v>0.156432800409083</v>
      </c>
      <c r="I47" t="s">
        <v>14</v>
      </c>
      <c r="J47" t="s">
        <v>15</v>
      </c>
      <c r="K47" s="2" t="b">
        <v>1</v>
      </c>
      <c r="L47">
        <v>11</v>
      </c>
    </row>
    <row r="48" spans="1:12" x14ac:dyDescent="0.25">
      <c r="A48" t="s">
        <v>64</v>
      </c>
      <c r="B48" t="s">
        <v>52</v>
      </c>
      <c r="C48">
        <v>13</v>
      </c>
      <c r="D48" s="1">
        <v>17.584613720277599</v>
      </c>
      <c r="E48">
        <v>10</v>
      </c>
      <c r="F48">
        <v>4431.5942051667998</v>
      </c>
      <c r="G48">
        <v>3.7972525508795298E-2</v>
      </c>
      <c r="H48">
        <v>0.114014247732856</v>
      </c>
      <c r="I48" t="s">
        <v>14</v>
      </c>
      <c r="J48" t="s">
        <v>15</v>
      </c>
      <c r="K48" s="2" t="b">
        <v>1</v>
      </c>
      <c r="L48">
        <v>11</v>
      </c>
    </row>
    <row r="49" spans="1:12" x14ac:dyDescent="0.25">
      <c r="A49" t="s">
        <v>65</v>
      </c>
      <c r="B49" t="s">
        <v>52</v>
      </c>
      <c r="C49">
        <v>14</v>
      </c>
      <c r="D49" s="1">
        <v>18.528514262978</v>
      </c>
      <c r="E49">
        <v>10</v>
      </c>
      <c r="F49">
        <v>3876.8350645826899</v>
      </c>
      <c r="G49">
        <v>2.1501194021352098E-2</v>
      </c>
      <c r="H49">
        <v>5.7644345275921202E-2</v>
      </c>
      <c r="I49" t="s">
        <v>14</v>
      </c>
      <c r="J49" t="s">
        <v>15</v>
      </c>
      <c r="K49" s="2" t="b">
        <v>1</v>
      </c>
      <c r="L49">
        <v>11</v>
      </c>
    </row>
    <row r="50" spans="1:12" x14ac:dyDescent="0.25">
      <c r="A50" t="s">
        <v>66</v>
      </c>
      <c r="B50" t="s">
        <v>52</v>
      </c>
      <c r="C50">
        <v>15</v>
      </c>
      <c r="D50" s="1">
        <v>19.432724481828</v>
      </c>
      <c r="E50">
        <v>10</v>
      </c>
      <c r="F50">
        <v>3744.5789061969399</v>
      </c>
      <c r="G50">
        <v>2.3485415287642999E-2</v>
      </c>
      <c r="H50">
        <v>4.3685391262741E-2</v>
      </c>
      <c r="I50" t="s">
        <v>14</v>
      </c>
      <c r="J50" t="s">
        <v>15</v>
      </c>
      <c r="K50" s="2" t="b">
        <v>1</v>
      </c>
      <c r="L50">
        <v>11</v>
      </c>
    </row>
    <row r="51" spans="1:12" x14ac:dyDescent="0.25">
      <c r="A51" t="s">
        <v>67</v>
      </c>
      <c r="B51" t="s">
        <v>52</v>
      </c>
      <c r="C51">
        <v>16</v>
      </c>
      <c r="D51" s="1">
        <v>20.3679144537229</v>
      </c>
      <c r="E51">
        <v>8</v>
      </c>
      <c r="F51">
        <v>2746.9669224724898</v>
      </c>
      <c r="G51">
        <v>5.1719000000000299E-2</v>
      </c>
      <c r="H51">
        <v>7.8793037660824003E-2</v>
      </c>
      <c r="I51" t="s">
        <v>14</v>
      </c>
      <c r="J51" t="s">
        <v>15</v>
      </c>
      <c r="K51" s="2" t="b">
        <v>1</v>
      </c>
      <c r="L51">
        <v>11</v>
      </c>
    </row>
    <row r="52" spans="1:12" x14ac:dyDescent="0.25">
      <c r="A52" t="s">
        <v>68</v>
      </c>
      <c r="B52" t="s">
        <v>69</v>
      </c>
      <c r="C52">
        <v>1</v>
      </c>
      <c r="D52" s="1">
        <v>0.77391556803805295</v>
      </c>
      <c r="E52">
        <v>10</v>
      </c>
      <c r="F52">
        <v>4109.18860870758</v>
      </c>
      <c r="G52">
        <v>5.5666249209968502E-2</v>
      </c>
      <c r="H52">
        <v>8.4697725642826294E-2</v>
      </c>
      <c r="I52" t="s">
        <v>14</v>
      </c>
      <c r="J52" t="s">
        <v>15</v>
      </c>
      <c r="K52" s="2" t="b">
        <v>1</v>
      </c>
      <c r="L52">
        <v>11</v>
      </c>
    </row>
    <row r="53" spans="1:12" x14ac:dyDescent="0.25">
      <c r="A53" t="s">
        <v>70</v>
      </c>
      <c r="B53" t="s">
        <v>69</v>
      </c>
      <c r="C53">
        <v>2</v>
      </c>
      <c r="D53" s="1">
        <v>1.8067978003671901</v>
      </c>
      <c r="E53">
        <v>10</v>
      </c>
      <c r="F53">
        <v>4288.8667739411303</v>
      </c>
      <c r="G53">
        <v>1.9831398406816199E-2</v>
      </c>
      <c r="H53">
        <v>4.00278855288708E-2</v>
      </c>
      <c r="I53" t="s">
        <v>14</v>
      </c>
      <c r="J53" t="s">
        <v>15</v>
      </c>
      <c r="K53" s="2" t="b">
        <v>1</v>
      </c>
      <c r="L53">
        <v>11</v>
      </c>
    </row>
    <row r="54" spans="1:12" x14ac:dyDescent="0.25">
      <c r="A54" t="s">
        <v>71</v>
      </c>
      <c r="B54" t="s">
        <v>69</v>
      </c>
      <c r="C54">
        <v>3</v>
      </c>
      <c r="D54" s="1">
        <v>2.1724573057321601</v>
      </c>
      <c r="E54">
        <v>10</v>
      </c>
      <c r="F54">
        <v>4467.9307236595796</v>
      </c>
      <c r="G54">
        <v>2.8956805874578499E-2</v>
      </c>
      <c r="H54">
        <v>6.0202270104496199E-2</v>
      </c>
      <c r="I54" t="s">
        <v>14</v>
      </c>
      <c r="J54" t="s">
        <v>15</v>
      </c>
      <c r="K54" s="2" t="b">
        <v>1</v>
      </c>
      <c r="L54">
        <v>11</v>
      </c>
    </row>
    <row r="55" spans="1:12" x14ac:dyDescent="0.25">
      <c r="A55" t="s">
        <v>72</v>
      </c>
      <c r="B55" t="s">
        <v>69</v>
      </c>
      <c r="C55">
        <v>4</v>
      </c>
      <c r="D55" s="1">
        <v>2.50516240582545</v>
      </c>
      <c r="E55">
        <v>10</v>
      </c>
      <c r="F55">
        <v>4161.3609846066902</v>
      </c>
      <c r="G55">
        <v>1.6228646160585999E-2</v>
      </c>
      <c r="H55">
        <v>0.113975041813804</v>
      </c>
      <c r="I55" t="s">
        <v>14</v>
      </c>
      <c r="J55" t="s">
        <v>15</v>
      </c>
      <c r="K55" s="2" t="b">
        <v>1</v>
      </c>
      <c r="L55">
        <v>11</v>
      </c>
    </row>
    <row r="56" spans="1:12" x14ac:dyDescent="0.25">
      <c r="A56" t="s">
        <v>73</v>
      </c>
      <c r="B56" t="s">
        <v>69</v>
      </c>
      <c r="C56">
        <v>5</v>
      </c>
      <c r="D56" s="1">
        <v>2.9388498432697499</v>
      </c>
      <c r="E56">
        <v>10</v>
      </c>
      <c r="F56">
        <v>4065.5914897759799</v>
      </c>
      <c r="G56">
        <v>3.3489001107467699E-2</v>
      </c>
      <c r="H56">
        <v>0.16967538243483299</v>
      </c>
      <c r="I56" t="s">
        <v>14</v>
      </c>
      <c r="J56" t="s">
        <v>15</v>
      </c>
      <c r="K56" s="2" t="b">
        <v>1</v>
      </c>
      <c r="L56">
        <v>11</v>
      </c>
    </row>
    <row r="57" spans="1:12" x14ac:dyDescent="0.25">
      <c r="A57" t="s">
        <v>74</v>
      </c>
      <c r="B57" t="s">
        <v>69</v>
      </c>
      <c r="C57">
        <v>6</v>
      </c>
      <c r="D57" s="1">
        <v>4.0497534492652996</v>
      </c>
      <c r="E57">
        <v>10</v>
      </c>
      <c r="F57">
        <v>4718.3211793783703</v>
      </c>
      <c r="G57">
        <v>3.0778025508793799E-2</v>
      </c>
      <c r="H57">
        <v>7.1904967644782602E-2</v>
      </c>
      <c r="I57" t="s">
        <v>14</v>
      </c>
      <c r="J57" t="s">
        <v>15</v>
      </c>
      <c r="K57" s="2" t="b">
        <v>1</v>
      </c>
      <c r="L57">
        <v>11</v>
      </c>
    </row>
    <row r="58" spans="1:12" x14ac:dyDescent="0.25">
      <c r="A58" t="s">
        <v>75</v>
      </c>
      <c r="B58" t="s">
        <v>69</v>
      </c>
      <c r="C58">
        <v>7</v>
      </c>
      <c r="D58" s="1">
        <v>4.4553043189684001</v>
      </c>
      <c r="E58">
        <v>10</v>
      </c>
      <c r="F58">
        <v>4539.0670993261001</v>
      </c>
      <c r="G58">
        <v>1.0844498279624699E-2</v>
      </c>
      <c r="H58">
        <v>4.5772853816718598E-2</v>
      </c>
      <c r="I58" t="s">
        <v>14</v>
      </c>
      <c r="J58" t="s">
        <v>15</v>
      </c>
      <c r="K58" s="2" t="b">
        <v>1</v>
      </c>
      <c r="L58">
        <v>11</v>
      </c>
    </row>
    <row r="59" spans="1:12" x14ac:dyDescent="0.25">
      <c r="A59" t="s">
        <v>76</v>
      </c>
      <c r="B59" t="s">
        <v>69</v>
      </c>
      <c r="C59">
        <v>8</v>
      </c>
      <c r="D59" s="1">
        <v>4.7508134449755604</v>
      </c>
      <c r="E59">
        <v>10</v>
      </c>
      <c r="F59">
        <v>5447.5744052806804</v>
      </c>
      <c r="G59">
        <v>1.48184336021168E-2</v>
      </c>
      <c r="H59">
        <v>3.6564239561098999E-2</v>
      </c>
      <c r="I59" t="s">
        <v>14</v>
      </c>
      <c r="J59" t="s">
        <v>15</v>
      </c>
      <c r="K59" s="2" t="b">
        <v>1</v>
      </c>
      <c r="L59">
        <v>11</v>
      </c>
    </row>
    <row r="60" spans="1:12" x14ac:dyDescent="0.25">
      <c r="A60" t="s">
        <v>77</v>
      </c>
      <c r="B60" t="s">
        <v>69</v>
      </c>
      <c r="C60">
        <v>9</v>
      </c>
      <c r="D60" s="1">
        <v>5.1640392257000602</v>
      </c>
      <c r="E60">
        <v>10</v>
      </c>
      <c r="F60">
        <v>4696.2602805650304</v>
      </c>
      <c r="G60">
        <v>1.79581170567518E-2</v>
      </c>
      <c r="H60">
        <v>4.9310218425163303E-2</v>
      </c>
      <c r="I60" t="s">
        <v>14</v>
      </c>
      <c r="J60" t="s">
        <v>15</v>
      </c>
      <c r="K60" s="2" t="b">
        <v>1</v>
      </c>
      <c r="L60">
        <v>11</v>
      </c>
    </row>
    <row r="61" spans="1:12" x14ac:dyDescent="0.25">
      <c r="A61" t="s">
        <v>78</v>
      </c>
      <c r="B61" t="s">
        <v>69</v>
      </c>
      <c r="C61">
        <v>10</v>
      </c>
      <c r="D61" s="1">
        <v>5.9185168825796</v>
      </c>
      <c r="E61">
        <v>10</v>
      </c>
      <c r="F61">
        <v>3739.9104727437898</v>
      </c>
      <c r="G61">
        <v>1.8882186377005901E-2</v>
      </c>
      <c r="H61">
        <v>8.2996814010685496E-2</v>
      </c>
      <c r="I61" t="s">
        <v>14</v>
      </c>
      <c r="J61" t="s">
        <v>15</v>
      </c>
      <c r="K61" s="2" t="b">
        <v>1</v>
      </c>
      <c r="L61">
        <v>11</v>
      </c>
    </row>
    <row r="62" spans="1:12" x14ac:dyDescent="0.25">
      <c r="A62" t="s">
        <v>79</v>
      </c>
      <c r="B62" t="s">
        <v>69</v>
      </c>
      <c r="C62">
        <v>11</v>
      </c>
      <c r="D62" s="1">
        <v>6.3010900182155298</v>
      </c>
      <c r="E62">
        <v>10</v>
      </c>
      <c r="F62">
        <v>3771.23448363534</v>
      </c>
      <c r="G62">
        <v>4.0214299032487799E-2</v>
      </c>
      <c r="H62">
        <v>9.0023484060737402E-2</v>
      </c>
      <c r="I62" t="s">
        <v>14</v>
      </c>
      <c r="J62" t="s">
        <v>15</v>
      </c>
      <c r="K62" s="2" t="b">
        <v>1</v>
      </c>
      <c r="L62">
        <v>11</v>
      </c>
    </row>
    <row r="63" spans="1:12" x14ac:dyDescent="0.25">
      <c r="A63" t="s">
        <v>80</v>
      </c>
      <c r="B63" t="s">
        <v>69</v>
      </c>
      <c r="C63">
        <v>12</v>
      </c>
      <c r="D63" s="1">
        <v>6.6318826875465096</v>
      </c>
      <c r="E63">
        <v>10</v>
      </c>
      <c r="F63">
        <v>3588.8152289203899</v>
      </c>
      <c r="G63">
        <v>2.1862343169295299E-2</v>
      </c>
      <c r="H63">
        <v>4.56627876337126E-2</v>
      </c>
      <c r="I63" t="s">
        <v>14</v>
      </c>
      <c r="J63" t="s">
        <v>15</v>
      </c>
      <c r="K63" s="2" t="b">
        <v>1</v>
      </c>
      <c r="L63">
        <v>11</v>
      </c>
    </row>
    <row r="64" spans="1:12" x14ac:dyDescent="0.25">
      <c r="A64" t="s">
        <v>81</v>
      </c>
      <c r="B64" t="s">
        <v>69</v>
      </c>
      <c r="C64">
        <v>13</v>
      </c>
      <c r="D64" s="1">
        <v>7.0210431083747702</v>
      </c>
      <c r="E64">
        <v>10</v>
      </c>
      <c r="F64">
        <v>3421.3064402268601</v>
      </c>
      <c r="G64">
        <v>3.9214791965200599E-2</v>
      </c>
      <c r="H64">
        <v>6.9635632314424697E-2</v>
      </c>
      <c r="I64" t="s">
        <v>14</v>
      </c>
      <c r="J64" t="s">
        <v>15</v>
      </c>
      <c r="K64" s="2" t="b">
        <v>1</v>
      </c>
      <c r="L64">
        <v>11</v>
      </c>
    </row>
    <row r="65" spans="1:12" x14ac:dyDescent="0.25">
      <c r="A65" t="s">
        <v>82</v>
      </c>
      <c r="B65" t="s">
        <v>69</v>
      </c>
      <c r="C65">
        <v>14</v>
      </c>
      <c r="D65" s="1">
        <v>7.4106722621285197</v>
      </c>
      <c r="E65">
        <v>10</v>
      </c>
      <c r="F65">
        <v>4522.3918165385503</v>
      </c>
      <c r="G65">
        <v>3.0258665340651501E-2</v>
      </c>
      <c r="H65">
        <v>4.6857708717079803E-2</v>
      </c>
      <c r="I65" t="s">
        <v>14</v>
      </c>
      <c r="J65" t="s">
        <v>15</v>
      </c>
      <c r="K65" s="2" t="b">
        <v>1</v>
      </c>
      <c r="L65">
        <v>11</v>
      </c>
    </row>
    <row r="66" spans="1:12" x14ac:dyDescent="0.25">
      <c r="A66" t="s">
        <v>83</v>
      </c>
      <c r="B66" t="s">
        <v>69</v>
      </c>
      <c r="C66">
        <v>15</v>
      </c>
      <c r="D66" s="1">
        <v>8.49657835561041</v>
      </c>
      <c r="E66">
        <v>10</v>
      </c>
      <c r="F66">
        <v>3375.2031469472599</v>
      </c>
      <c r="G66">
        <v>2.6197025508793801E-2</v>
      </c>
      <c r="H66">
        <v>4.1031786371374397E-2</v>
      </c>
      <c r="I66" t="s">
        <v>14</v>
      </c>
      <c r="J66" t="s">
        <v>15</v>
      </c>
      <c r="K66" s="2" t="b">
        <v>1</v>
      </c>
      <c r="L66">
        <v>11</v>
      </c>
    </row>
    <row r="67" spans="1:12" x14ac:dyDescent="0.25">
      <c r="A67" t="s">
        <v>84</v>
      </c>
      <c r="B67" t="s">
        <v>69</v>
      </c>
      <c r="C67">
        <v>16</v>
      </c>
      <c r="D67" s="1">
        <v>8.8856852411133591</v>
      </c>
      <c r="E67">
        <v>10</v>
      </c>
      <c r="F67">
        <v>4558.5109910552001</v>
      </c>
      <c r="G67">
        <v>1.7456659226611399E-2</v>
      </c>
      <c r="H67">
        <v>5.6671718947112003E-2</v>
      </c>
      <c r="I67" t="s">
        <v>14</v>
      </c>
      <c r="J67" t="s">
        <v>15</v>
      </c>
      <c r="K67" s="2" t="b">
        <v>1</v>
      </c>
      <c r="L67">
        <v>11</v>
      </c>
    </row>
    <row r="68" spans="1:12" x14ac:dyDescent="0.25">
      <c r="A68" t="s">
        <v>85</v>
      </c>
      <c r="B68" t="s">
        <v>69</v>
      </c>
      <c r="C68">
        <v>17</v>
      </c>
      <c r="D68" s="1">
        <v>9.2333542013350502</v>
      </c>
      <c r="E68">
        <v>10</v>
      </c>
      <c r="F68">
        <v>4131.6025630458898</v>
      </c>
      <c r="G68">
        <v>1.8899999999999501E-2</v>
      </c>
      <c r="H68">
        <v>8.8015037815341493E-2</v>
      </c>
      <c r="I68" t="s">
        <v>14</v>
      </c>
      <c r="J68" t="s">
        <v>15</v>
      </c>
      <c r="K68" s="2" t="b">
        <v>1</v>
      </c>
      <c r="L68">
        <v>11</v>
      </c>
    </row>
    <row r="69" spans="1:12" x14ac:dyDescent="0.25">
      <c r="A69" t="s">
        <v>86</v>
      </c>
      <c r="B69" t="s">
        <v>69</v>
      </c>
      <c r="C69">
        <v>18</v>
      </c>
      <c r="D69" s="1">
        <v>9.5984525986835401</v>
      </c>
      <c r="E69">
        <v>10</v>
      </c>
      <c r="F69">
        <v>4882.8564566105697</v>
      </c>
      <c r="G69">
        <v>2.0852999999999799E-2</v>
      </c>
      <c r="H69">
        <v>7.3951357269946505E-2</v>
      </c>
      <c r="I69" t="s">
        <v>14</v>
      </c>
      <c r="J69" t="s">
        <v>15</v>
      </c>
      <c r="K69" s="2" t="b">
        <v>1</v>
      </c>
      <c r="L69">
        <v>11</v>
      </c>
    </row>
    <row r="70" spans="1:12" x14ac:dyDescent="0.25">
      <c r="A70" t="s">
        <v>87</v>
      </c>
      <c r="B70" t="s">
        <v>69</v>
      </c>
      <c r="C70">
        <v>19</v>
      </c>
      <c r="D70" s="1">
        <v>10.806503582435701</v>
      </c>
      <c r="E70">
        <v>10</v>
      </c>
      <c r="F70">
        <v>3993.23875524911</v>
      </c>
      <c r="G70">
        <v>2.6877025508793801E-2</v>
      </c>
      <c r="H70">
        <v>0.22842178626743101</v>
      </c>
      <c r="I70" t="s">
        <v>14</v>
      </c>
      <c r="J70" t="s">
        <v>15</v>
      </c>
      <c r="K70" s="2" t="b">
        <v>1</v>
      </c>
      <c r="L70">
        <v>11</v>
      </c>
    </row>
    <row r="71" spans="1:12" x14ac:dyDescent="0.25">
      <c r="A71" t="s">
        <v>88</v>
      </c>
      <c r="B71" t="s">
        <v>69</v>
      </c>
      <c r="C71">
        <v>20</v>
      </c>
      <c r="D71" s="1">
        <v>11.180770312810999</v>
      </c>
      <c r="E71">
        <v>10</v>
      </c>
      <c r="F71">
        <v>4860.0090673356599</v>
      </c>
      <c r="G71">
        <v>1.1052114658143901E-2</v>
      </c>
      <c r="H71">
        <v>0.10587875645990399</v>
      </c>
      <c r="I71" t="s">
        <v>14</v>
      </c>
      <c r="J71" t="s">
        <v>15</v>
      </c>
      <c r="K71" s="2" t="b">
        <v>1</v>
      </c>
      <c r="L71">
        <v>11</v>
      </c>
    </row>
    <row r="72" spans="1:12" x14ac:dyDescent="0.25">
      <c r="A72" t="s">
        <v>89</v>
      </c>
      <c r="B72" t="s">
        <v>69</v>
      </c>
      <c r="C72">
        <v>21</v>
      </c>
      <c r="D72" s="1">
        <v>11.534506732500001</v>
      </c>
      <c r="E72">
        <v>10</v>
      </c>
      <c r="F72">
        <v>3642.0659546663501</v>
      </c>
      <c r="G72">
        <v>2.9511138034612201E-2</v>
      </c>
      <c r="H72">
        <v>8.1403775152035895E-2</v>
      </c>
      <c r="I72" t="s">
        <v>14</v>
      </c>
      <c r="J72" t="s">
        <v>15</v>
      </c>
      <c r="K72" s="2" t="b">
        <v>1</v>
      </c>
      <c r="L72">
        <v>11</v>
      </c>
    </row>
    <row r="73" spans="1:12" x14ac:dyDescent="0.25">
      <c r="A73" t="s">
        <v>90</v>
      </c>
      <c r="B73" t="s">
        <v>69</v>
      </c>
      <c r="C73">
        <v>22</v>
      </c>
      <c r="D73" s="1">
        <v>11.921254875938599</v>
      </c>
      <c r="E73">
        <v>10</v>
      </c>
      <c r="F73">
        <v>3991.0147370591399</v>
      </c>
      <c r="G73">
        <v>3.35945255087935E-2</v>
      </c>
      <c r="H73">
        <v>0.15502352921094101</v>
      </c>
      <c r="I73" t="s">
        <v>14</v>
      </c>
      <c r="J73" t="s">
        <v>15</v>
      </c>
      <c r="K73" s="2" t="b">
        <v>1</v>
      </c>
      <c r="L73">
        <v>11</v>
      </c>
    </row>
    <row r="74" spans="1:12" x14ac:dyDescent="0.25">
      <c r="A74" t="s">
        <v>91</v>
      </c>
      <c r="B74" t="s">
        <v>69</v>
      </c>
      <c r="C74">
        <v>23</v>
      </c>
      <c r="D74" s="1">
        <v>12.2455346529685</v>
      </c>
      <c r="E74">
        <v>10</v>
      </c>
      <c r="F74">
        <v>4362.1367661258701</v>
      </c>
      <c r="G74">
        <v>2.7656248291420198E-2</v>
      </c>
      <c r="H74">
        <v>0.11181208348133601</v>
      </c>
      <c r="I74" t="s">
        <v>14</v>
      </c>
      <c r="J74" t="s">
        <v>15</v>
      </c>
      <c r="K74" s="2" t="b">
        <v>1</v>
      </c>
      <c r="L74">
        <v>11</v>
      </c>
    </row>
    <row r="75" spans="1:12" x14ac:dyDescent="0.25">
      <c r="A75" t="s">
        <v>92</v>
      </c>
      <c r="B75" t="s">
        <v>69</v>
      </c>
      <c r="C75">
        <v>24</v>
      </c>
      <c r="D75" s="1">
        <v>12.6211443293387</v>
      </c>
      <c r="E75">
        <v>9</v>
      </c>
      <c r="F75">
        <v>4103.5337574352297</v>
      </c>
      <c r="G75">
        <v>2.6651400249142199E-2</v>
      </c>
      <c r="H75">
        <v>0.106119510771264</v>
      </c>
      <c r="I75" t="s">
        <v>14</v>
      </c>
      <c r="J75" t="s">
        <v>15</v>
      </c>
      <c r="K75" s="2" t="b">
        <v>1</v>
      </c>
      <c r="L75">
        <v>11</v>
      </c>
    </row>
    <row r="76" spans="1:12" x14ac:dyDescent="0.25">
      <c r="A76" t="s">
        <v>93</v>
      </c>
      <c r="B76" t="s">
        <v>69</v>
      </c>
      <c r="C76">
        <v>25</v>
      </c>
      <c r="D76" s="1">
        <v>12.9959357943581</v>
      </c>
      <c r="E76">
        <v>10</v>
      </c>
      <c r="F76">
        <v>4189.5051098235999</v>
      </c>
      <c r="G76">
        <v>2.3726048398754099E-2</v>
      </c>
      <c r="H76">
        <v>3.76472784791375E-2</v>
      </c>
      <c r="I76" t="s">
        <v>14</v>
      </c>
      <c r="J76" t="s">
        <v>15</v>
      </c>
      <c r="K76" s="2" t="b">
        <v>1</v>
      </c>
      <c r="L76">
        <v>11</v>
      </c>
    </row>
    <row r="77" spans="1:12" x14ac:dyDescent="0.25">
      <c r="A77" t="s">
        <v>94</v>
      </c>
      <c r="B77" t="s">
        <v>69</v>
      </c>
      <c r="C77">
        <v>26</v>
      </c>
      <c r="D77" s="1">
        <v>13.3627062779822</v>
      </c>
      <c r="E77">
        <v>10</v>
      </c>
      <c r="F77">
        <v>4098.2841021813701</v>
      </c>
      <c r="G77">
        <v>2.4849248291420399E-2</v>
      </c>
      <c r="H77">
        <v>3.3732698790450197E-2</v>
      </c>
      <c r="I77" t="s">
        <v>14</v>
      </c>
      <c r="J77" t="s">
        <v>15</v>
      </c>
      <c r="K77" s="2" t="b">
        <v>1</v>
      </c>
      <c r="L77">
        <v>11</v>
      </c>
    </row>
    <row r="78" spans="1:12" x14ac:dyDescent="0.25">
      <c r="A78" t="s">
        <v>95</v>
      </c>
      <c r="B78" t="s">
        <v>69</v>
      </c>
      <c r="C78">
        <v>27</v>
      </c>
      <c r="D78" s="1">
        <v>13.723706491822499</v>
      </c>
      <c r="E78">
        <v>10</v>
      </c>
      <c r="F78">
        <v>4724.6192794103699</v>
      </c>
      <c r="G78">
        <v>2.3958472870802501E-2</v>
      </c>
      <c r="H78">
        <v>6.2262121923008402E-2</v>
      </c>
      <c r="I78" t="s">
        <v>14</v>
      </c>
      <c r="J78" t="s">
        <v>15</v>
      </c>
      <c r="K78" s="2" t="b">
        <v>1</v>
      </c>
      <c r="L78">
        <v>11</v>
      </c>
    </row>
    <row r="79" spans="1:12" x14ac:dyDescent="0.25">
      <c r="A79" t="s">
        <v>96</v>
      </c>
      <c r="B79" t="s">
        <v>69</v>
      </c>
      <c r="C79">
        <v>28</v>
      </c>
      <c r="D79" s="1">
        <v>14.153542519861499</v>
      </c>
      <c r="E79">
        <v>10</v>
      </c>
      <c r="F79">
        <v>3739.9559347271602</v>
      </c>
      <c r="G79">
        <v>3.4105999999999498E-2</v>
      </c>
      <c r="H79">
        <v>0.17100222502328499</v>
      </c>
      <c r="I79" t="s">
        <v>14</v>
      </c>
      <c r="J79" t="s">
        <v>15</v>
      </c>
      <c r="K79" s="2" t="b">
        <v>1</v>
      </c>
      <c r="L79">
        <v>11</v>
      </c>
    </row>
    <row r="80" spans="1:12" x14ac:dyDescent="0.25">
      <c r="A80" t="s">
        <v>97</v>
      </c>
      <c r="B80" t="s">
        <v>69</v>
      </c>
      <c r="C80">
        <v>29</v>
      </c>
      <c r="D80" s="1">
        <v>15.2898382291001</v>
      </c>
      <c r="E80">
        <v>10</v>
      </c>
      <c r="F80">
        <v>4213.48917426145</v>
      </c>
      <c r="G80">
        <v>4.8321305874578502E-2</v>
      </c>
      <c r="H80">
        <v>4.8922702535373397E-2</v>
      </c>
      <c r="I80" t="s">
        <v>14</v>
      </c>
      <c r="J80" t="s">
        <v>15</v>
      </c>
      <c r="K80" s="2" t="b">
        <v>1</v>
      </c>
      <c r="L80">
        <v>11</v>
      </c>
    </row>
    <row r="81" spans="1:12" x14ac:dyDescent="0.25">
      <c r="A81" t="s">
        <v>98</v>
      </c>
      <c r="B81" t="s">
        <v>69</v>
      </c>
      <c r="C81">
        <v>30</v>
      </c>
      <c r="D81" s="1">
        <v>15.669431004002201</v>
      </c>
      <c r="E81">
        <v>10</v>
      </c>
      <c r="F81">
        <v>4437.4949621243404</v>
      </c>
      <c r="G81">
        <v>5.1704525508793599E-2</v>
      </c>
      <c r="H81">
        <v>0.17034437123240101</v>
      </c>
      <c r="I81" t="s">
        <v>14</v>
      </c>
      <c r="J81" t="s">
        <v>15</v>
      </c>
      <c r="K81" s="2" t="b">
        <v>1</v>
      </c>
      <c r="L81">
        <v>11</v>
      </c>
    </row>
    <row r="82" spans="1:12" x14ac:dyDescent="0.25">
      <c r="A82" t="s">
        <v>99</v>
      </c>
      <c r="B82" t="s">
        <v>69</v>
      </c>
      <c r="C82">
        <v>31</v>
      </c>
      <c r="D82" s="1">
        <v>16.515557205619299</v>
      </c>
      <c r="E82">
        <v>9</v>
      </c>
      <c r="F82">
        <v>3926.8821623424001</v>
      </c>
      <c r="G82">
        <v>3.04965540455489E-2</v>
      </c>
      <c r="H82">
        <v>7.7236333539829602E-2</v>
      </c>
      <c r="I82" t="s">
        <v>14</v>
      </c>
      <c r="J82" t="s">
        <v>15</v>
      </c>
      <c r="K82" s="2" t="b">
        <v>1</v>
      </c>
      <c r="L82">
        <v>11</v>
      </c>
    </row>
    <row r="83" spans="1:12" x14ac:dyDescent="0.25">
      <c r="A83" t="s">
        <v>12</v>
      </c>
      <c r="B83" t="s">
        <v>13</v>
      </c>
      <c r="C83">
        <v>1</v>
      </c>
      <c r="D83" s="1">
        <v>1.8001381405067201</v>
      </c>
      <c r="E83">
        <v>8</v>
      </c>
      <c r="F83">
        <v>976.89602592082997</v>
      </c>
      <c r="G83">
        <v>9.4409279024882997E-2</v>
      </c>
      <c r="H83">
        <v>0.122839231603681</v>
      </c>
      <c r="I83" t="s">
        <v>100</v>
      </c>
      <c r="J83" t="s">
        <v>15</v>
      </c>
      <c r="K83" s="2" t="b">
        <v>1</v>
      </c>
      <c r="L83">
        <v>6</v>
      </c>
    </row>
    <row r="84" spans="1:12" x14ac:dyDescent="0.25">
      <c r="A84" t="s">
        <v>16</v>
      </c>
      <c r="B84" t="s">
        <v>13</v>
      </c>
      <c r="C84">
        <v>2</v>
      </c>
      <c r="D84" s="1">
        <v>3.0828496924322502</v>
      </c>
      <c r="E84">
        <v>10</v>
      </c>
      <c r="F84">
        <v>1471.3110515492399</v>
      </c>
      <c r="G84">
        <v>4.0460978382791397E-2</v>
      </c>
      <c r="H84">
        <v>0.122065720987642</v>
      </c>
      <c r="I84" t="s">
        <v>100</v>
      </c>
      <c r="J84" t="s">
        <v>15</v>
      </c>
      <c r="K84" s="2" t="b">
        <v>1</v>
      </c>
      <c r="L84">
        <v>6</v>
      </c>
    </row>
    <row r="85" spans="1:12" x14ac:dyDescent="0.25">
      <c r="A85" t="s">
        <v>17</v>
      </c>
      <c r="B85" t="s">
        <v>13</v>
      </c>
      <c r="C85">
        <v>3</v>
      </c>
      <c r="D85" s="1">
        <v>4.4146307253159298</v>
      </c>
      <c r="E85">
        <v>10</v>
      </c>
      <c r="F85">
        <v>2051.8116191723102</v>
      </c>
      <c r="G85">
        <v>2.7970312958802802E-2</v>
      </c>
      <c r="H85">
        <v>7.6338811818676494E-2</v>
      </c>
      <c r="I85" t="s">
        <v>100</v>
      </c>
      <c r="J85" t="s">
        <v>15</v>
      </c>
      <c r="K85" s="2" t="b">
        <v>1</v>
      </c>
      <c r="L85">
        <v>6</v>
      </c>
    </row>
    <row r="86" spans="1:12" x14ac:dyDescent="0.25">
      <c r="A86" t="s">
        <v>18</v>
      </c>
      <c r="B86" t="s">
        <v>13</v>
      </c>
      <c r="C86">
        <v>4</v>
      </c>
      <c r="D86" s="1">
        <v>5.6705582090298403</v>
      </c>
      <c r="E86">
        <v>10</v>
      </c>
      <c r="F86">
        <v>2130.01742627372</v>
      </c>
      <c r="G86">
        <v>1.7006470106577201E-2</v>
      </c>
      <c r="H86">
        <v>5.4193851045283202E-2</v>
      </c>
      <c r="I86" t="s">
        <v>100</v>
      </c>
      <c r="J86" t="s">
        <v>15</v>
      </c>
      <c r="K86" s="2" t="b">
        <v>1</v>
      </c>
      <c r="L86">
        <v>6</v>
      </c>
    </row>
    <row r="87" spans="1:12" x14ac:dyDescent="0.25">
      <c r="A87" t="s">
        <v>19</v>
      </c>
      <c r="B87" t="s">
        <v>13</v>
      </c>
      <c r="C87">
        <v>5</v>
      </c>
      <c r="D87" s="1">
        <v>7.0931404751808902</v>
      </c>
      <c r="E87">
        <v>10</v>
      </c>
      <c r="F87">
        <v>1691.47417841943</v>
      </c>
      <c r="G87">
        <v>3.1911132540306197E-2</v>
      </c>
      <c r="H87">
        <v>8.5126806035424801E-2</v>
      </c>
      <c r="I87" t="s">
        <v>100</v>
      </c>
      <c r="J87" t="s">
        <v>15</v>
      </c>
      <c r="K87" s="2" t="b">
        <v>1</v>
      </c>
      <c r="L87">
        <v>6</v>
      </c>
    </row>
    <row r="88" spans="1:12" x14ac:dyDescent="0.25">
      <c r="A88" t="s">
        <v>20</v>
      </c>
      <c r="B88" t="s">
        <v>13</v>
      </c>
      <c r="C88">
        <v>6</v>
      </c>
      <c r="D88" s="1">
        <v>8.3372206688164603</v>
      </c>
      <c r="E88">
        <v>10</v>
      </c>
      <c r="F88">
        <v>2019.7607835773799</v>
      </c>
      <c r="G88">
        <v>4.9473869458275997E-2</v>
      </c>
      <c r="H88">
        <v>7.4525131377698006E-2</v>
      </c>
      <c r="I88" t="s">
        <v>100</v>
      </c>
      <c r="J88" t="s">
        <v>15</v>
      </c>
      <c r="K88" s="2" t="b">
        <v>1</v>
      </c>
      <c r="L88">
        <v>6</v>
      </c>
    </row>
    <row r="89" spans="1:12" x14ac:dyDescent="0.25">
      <c r="A89" t="s">
        <v>21</v>
      </c>
      <c r="B89" t="s">
        <v>13</v>
      </c>
      <c r="C89">
        <v>7</v>
      </c>
      <c r="D89" s="1">
        <v>9.5809043946509398</v>
      </c>
      <c r="E89">
        <v>10</v>
      </c>
      <c r="F89">
        <v>1442.7761002227001</v>
      </c>
      <c r="G89">
        <v>6.1593632540305997E-2</v>
      </c>
      <c r="H89">
        <v>7.9256795846504802E-2</v>
      </c>
      <c r="I89" t="s">
        <v>100</v>
      </c>
      <c r="J89" t="s">
        <v>15</v>
      </c>
      <c r="K89" s="2" t="b">
        <v>1</v>
      </c>
      <c r="L89">
        <v>6</v>
      </c>
    </row>
    <row r="90" spans="1:12" x14ac:dyDescent="0.25">
      <c r="A90" t="s">
        <v>22</v>
      </c>
      <c r="B90" t="s">
        <v>13</v>
      </c>
      <c r="C90">
        <v>8</v>
      </c>
      <c r="D90" s="1">
        <v>12.376118208147201</v>
      </c>
      <c r="E90">
        <v>10</v>
      </c>
      <c r="F90">
        <v>1929.5827717915499</v>
      </c>
      <c r="G90">
        <v>0.16961396360101599</v>
      </c>
      <c r="H90">
        <v>0.20501968418991501</v>
      </c>
      <c r="I90" t="s">
        <v>100</v>
      </c>
      <c r="J90" t="s">
        <v>15</v>
      </c>
      <c r="K90" s="2" t="b">
        <v>1</v>
      </c>
      <c r="L90">
        <v>6</v>
      </c>
    </row>
    <row r="91" spans="1:12" x14ac:dyDescent="0.25">
      <c r="A91" t="s">
        <v>23</v>
      </c>
      <c r="B91" t="s">
        <v>13</v>
      </c>
      <c r="C91">
        <v>9</v>
      </c>
      <c r="D91" s="1">
        <v>13.6718918358845</v>
      </c>
      <c r="E91">
        <v>10</v>
      </c>
      <c r="F91">
        <v>1764.0501817248601</v>
      </c>
      <c r="G91">
        <v>8.5944191081694002E-2</v>
      </c>
      <c r="H91">
        <v>8.9282572507172794E-2</v>
      </c>
      <c r="I91" t="s">
        <v>100</v>
      </c>
      <c r="J91" t="s">
        <v>15</v>
      </c>
      <c r="K91" s="2" t="b">
        <v>1</v>
      </c>
      <c r="L91">
        <v>6</v>
      </c>
    </row>
    <row r="92" spans="1:12" x14ac:dyDescent="0.25">
      <c r="A92" t="s">
        <v>24</v>
      </c>
      <c r="B92" t="s">
        <v>13</v>
      </c>
      <c r="C92">
        <v>10</v>
      </c>
      <c r="D92" s="1">
        <v>15.1284428035012</v>
      </c>
      <c r="E92">
        <v>10</v>
      </c>
      <c r="F92">
        <v>1511.49527664783</v>
      </c>
      <c r="G92">
        <v>2.98831321266976E-2</v>
      </c>
      <c r="H92">
        <v>6.3327833112598694E-2</v>
      </c>
      <c r="I92" t="s">
        <v>100</v>
      </c>
      <c r="J92" t="s">
        <v>15</v>
      </c>
      <c r="K92" s="2" t="b">
        <v>1</v>
      </c>
      <c r="L92">
        <v>6</v>
      </c>
    </row>
    <row r="93" spans="1:12" x14ac:dyDescent="0.25">
      <c r="A93" t="s">
        <v>25</v>
      </c>
      <c r="B93" t="s">
        <v>13</v>
      </c>
      <c r="C93">
        <v>11</v>
      </c>
      <c r="D93" s="1">
        <v>16.383565961122901</v>
      </c>
      <c r="E93">
        <v>10</v>
      </c>
      <c r="F93">
        <v>2134.2893337888299</v>
      </c>
      <c r="G93">
        <v>5.5952823622000603E-2</v>
      </c>
      <c r="H93">
        <v>6.79248216801661E-2</v>
      </c>
      <c r="I93" t="s">
        <v>100</v>
      </c>
      <c r="J93" t="s">
        <v>15</v>
      </c>
      <c r="K93" s="2" t="b">
        <v>1</v>
      </c>
      <c r="L93">
        <v>6</v>
      </c>
    </row>
    <row r="94" spans="1:12" x14ac:dyDescent="0.25">
      <c r="A94" t="s">
        <v>26</v>
      </c>
      <c r="B94" t="s">
        <v>13</v>
      </c>
      <c r="C94">
        <v>12</v>
      </c>
      <c r="D94" s="1">
        <v>17.6598894522356</v>
      </c>
      <c r="E94">
        <v>10</v>
      </c>
      <c r="F94">
        <v>1712.50303454307</v>
      </c>
      <c r="G94">
        <v>3.9968191081694401E-2</v>
      </c>
      <c r="H94">
        <v>6.2544141341933507E-2</v>
      </c>
      <c r="I94" t="s">
        <v>100</v>
      </c>
      <c r="J94" t="s">
        <v>15</v>
      </c>
      <c r="K94" s="2" t="b">
        <v>1</v>
      </c>
      <c r="L94">
        <v>6</v>
      </c>
    </row>
    <row r="95" spans="1:12" x14ac:dyDescent="0.25">
      <c r="A95" t="s">
        <v>27</v>
      </c>
      <c r="B95" t="s">
        <v>13</v>
      </c>
      <c r="C95">
        <v>13</v>
      </c>
      <c r="D95" s="1">
        <v>18.9752326872966</v>
      </c>
      <c r="E95">
        <v>10</v>
      </c>
      <c r="F95">
        <v>1141.90304311874</v>
      </c>
      <c r="G95">
        <v>0.120600842083851</v>
      </c>
      <c r="H95">
        <v>0.220178484622814</v>
      </c>
      <c r="I95" t="s">
        <v>100</v>
      </c>
      <c r="J95" t="s">
        <v>15</v>
      </c>
      <c r="K95" s="2" t="b">
        <v>1</v>
      </c>
      <c r="L95">
        <v>6</v>
      </c>
    </row>
    <row r="96" spans="1:12" x14ac:dyDescent="0.25">
      <c r="A96" t="s">
        <v>28</v>
      </c>
      <c r="B96" t="s">
        <v>13</v>
      </c>
      <c r="C96">
        <v>14</v>
      </c>
      <c r="D96" s="1">
        <v>20.266001688949999</v>
      </c>
      <c r="E96">
        <v>10</v>
      </c>
      <c r="F96">
        <v>1908.50741157572</v>
      </c>
      <c r="G96">
        <v>5.2018849324771903E-2</v>
      </c>
      <c r="H96">
        <v>7.1989823393910204E-2</v>
      </c>
      <c r="I96" t="s">
        <v>100</v>
      </c>
      <c r="J96" t="s">
        <v>15</v>
      </c>
      <c r="K96" s="2" t="b">
        <v>1</v>
      </c>
      <c r="L96">
        <v>6</v>
      </c>
    </row>
    <row r="97" spans="1:12" x14ac:dyDescent="0.25">
      <c r="A97" t="s">
        <v>29</v>
      </c>
      <c r="B97" t="s">
        <v>13</v>
      </c>
      <c r="C97">
        <v>15</v>
      </c>
      <c r="D97" s="1">
        <v>21.547470793108399</v>
      </c>
      <c r="E97">
        <v>10</v>
      </c>
      <c r="F97">
        <v>1810.8784053832101</v>
      </c>
      <c r="G97">
        <v>4.4533220975115702E-2</v>
      </c>
      <c r="H97">
        <v>6.9684566071438706E-2</v>
      </c>
      <c r="I97" t="s">
        <v>100</v>
      </c>
      <c r="J97" t="s">
        <v>15</v>
      </c>
      <c r="K97" s="2" t="b">
        <v>1</v>
      </c>
      <c r="L97">
        <v>6</v>
      </c>
    </row>
    <row r="98" spans="1:12" x14ac:dyDescent="0.25">
      <c r="A98" t="s">
        <v>30</v>
      </c>
      <c r="B98" t="s">
        <v>13</v>
      </c>
      <c r="C98">
        <v>16</v>
      </c>
      <c r="D98" s="1">
        <v>22.868896599016601</v>
      </c>
      <c r="E98">
        <v>10</v>
      </c>
      <c r="F98">
        <v>1454.9717730857401</v>
      </c>
      <c r="G98">
        <v>7.8157239436967799E-2</v>
      </c>
      <c r="H98">
        <v>0.14413712435352699</v>
      </c>
      <c r="I98" t="s">
        <v>100</v>
      </c>
      <c r="J98" t="s">
        <v>15</v>
      </c>
      <c r="K98" s="2" t="b">
        <v>1</v>
      </c>
      <c r="L98">
        <v>6</v>
      </c>
    </row>
    <row r="99" spans="1:12" x14ac:dyDescent="0.25">
      <c r="A99" t="s">
        <v>31</v>
      </c>
      <c r="B99" t="s">
        <v>32</v>
      </c>
      <c r="C99">
        <v>1</v>
      </c>
      <c r="D99" s="1">
        <v>1.25407614706458</v>
      </c>
      <c r="E99">
        <v>10</v>
      </c>
      <c r="F99">
        <v>1722.6565829501201</v>
      </c>
      <c r="G99">
        <v>4.4110023750460602E-2</v>
      </c>
      <c r="H99">
        <v>0.20592992949767899</v>
      </c>
      <c r="I99" t="s">
        <v>100</v>
      </c>
      <c r="J99" t="s">
        <v>15</v>
      </c>
      <c r="K99" s="2" t="b">
        <v>1</v>
      </c>
      <c r="L99">
        <v>6</v>
      </c>
    </row>
    <row r="100" spans="1:12" x14ac:dyDescent="0.25">
      <c r="A100" t="s">
        <v>33</v>
      </c>
      <c r="B100" t="s">
        <v>32</v>
      </c>
      <c r="C100">
        <v>2</v>
      </c>
      <c r="D100" s="1">
        <v>3.8920853260811801</v>
      </c>
      <c r="E100">
        <v>10</v>
      </c>
      <c r="F100">
        <v>1984.02364076095</v>
      </c>
      <c r="G100">
        <v>6.3832970106577097E-2</v>
      </c>
      <c r="H100">
        <v>0.153518825035769</v>
      </c>
      <c r="I100" t="s">
        <v>100</v>
      </c>
      <c r="J100" t="s">
        <v>15</v>
      </c>
      <c r="K100" s="2" t="b">
        <v>1</v>
      </c>
      <c r="L100">
        <v>6</v>
      </c>
    </row>
    <row r="101" spans="1:12" x14ac:dyDescent="0.25">
      <c r="A101" t="s">
        <v>34</v>
      </c>
      <c r="B101" t="s">
        <v>32</v>
      </c>
      <c r="C101">
        <v>3</v>
      </c>
      <c r="D101" s="1">
        <v>6.5851691027810997</v>
      </c>
      <c r="E101">
        <v>10</v>
      </c>
      <c r="F101">
        <v>1734.3994274849199</v>
      </c>
      <c r="G101">
        <v>4.5191220975118802E-2</v>
      </c>
      <c r="H101">
        <v>0.138781439386962</v>
      </c>
      <c r="I101" t="s">
        <v>100</v>
      </c>
      <c r="J101" t="s">
        <v>15</v>
      </c>
      <c r="K101" s="2" t="b">
        <v>1</v>
      </c>
      <c r="L101">
        <v>6</v>
      </c>
    </row>
    <row r="102" spans="1:12" x14ac:dyDescent="0.25">
      <c r="A102" t="s">
        <v>35</v>
      </c>
      <c r="B102" t="s">
        <v>32</v>
      </c>
      <c r="C102">
        <v>4</v>
      </c>
      <c r="D102" s="1">
        <v>9.2001439837330707</v>
      </c>
      <c r="E102">
        <v>10</v>
      </c>
      <c r="F102">
        <v>2083.8099741795299</v>
      </c>
      <c r="G102">
        <v>8.0843481538151393E-2</v>
      </c>
      <c r="H102">
        <v>9.9493762119866297E-2</v>
      </c>
      <c r="I102" t="s">
        <v>100</v>
      </c>
      <c r="J102" t="s">
        <v>15</v>
      </c>
      <c r="K102" s="2" t="b">
        <v>1</v>
      </c>
      <c r="L102">
        <v>6</v>
      </c>
    </row>
    <row r="103" spans="1:12" x14ac:dyDescent="0.25">
      <c r="A103" t="s">
        <v>36</v>
      </c>
      <c r="B103" t="s">
        <v>32</v>
      </c>
      <c r="C103">
        <v>5</v>
      </c>
      <c r="D103" s="1">
        <v>11.607062053227899</v>
      </c>
      <c r="E103">
        <v>10</v>
      </c>
      <c r="F103">
        <v>1401.2284789627199</v>
      </c>
      <c r="G103">
        <v>0.107472048118731</v>
      </c>
      <c r="H103">
        <v>0.23371735462954499</v>
      </c>
      <c r="I103" t="s">
        <v>100</v>
      </c>
      <c r="J103" t="s">
        <v>15</v>
      </c>
      <c r="K103" s="2" t="b">
        <v>1</v>
      </c>
      <c r="L103">
        <v>6</v>
      </c>
    </row>
    <row r="104" spans="1:12" x14ac:dyDescent="0.25">
      <c r="A104" t="s">
        <v>37</v>
      </c>
      <c r="B104" t="s">
        <v>38</v>
      </c>
      <c r="C104">
        <v>1</v>
      </c>
      <c r="D104" s="1">
        <v>1.1386942147756101</v>
      </c>
      <c r="E104">
        <v>9</v>
      </c>
      <c r="F104">
        <v>1629.8414685200401</v>
      </c>
      <c r="G104">
        <v>4.9646543960565399E-2</v>
      </c>
      <c r="H104">
        <v>0.12868522224983001</v>
      </c>
      <c r="I104" t="s">
        <v>100</v>
      </c>
      <c r="J104" t="s">
        <v>15</v>
      </c>
      <c r="K104" s="2" t="b">
        <v>1</v>
      </c>
      <c r="L104">
        <v>6</v>
      </c>
    </row>
    <row r="105" spans="1:12" x14ac:dyDescent="0.25">
      <c r="A105" t="s">
        <v>39</v>
      </c>
      <c r="B105" t="s">
        <v>38</v>
      </c>
      <c r="C105">
        <v>2</v>
      </c>
      <c r="D105" s="1">
        <v>2.4328825833910601</v>
      </c>
      <c r="E105">
        <v>10</v>
      </c>
      <c r="F105">
        <v>1477.13770173787</v>
      </c>
      <c r="G105">
        <v>5.5948484777100502E-2</v>
      </c>
      <c r="H105">
        <v>9.7213614360292605E-2</v>
      </c>
      <c r="I105" t="s">
        <v>100</v>
      </c>
      <c r="J105" t="s">
        <v>15</v>
      </c>
      <c r="K105" s="2" t="b">
        <v>1</v>
      </c>
      <c r="L105">
        <v>6</v>
      </c>
    </row>
    <row r="106" spans="1:12" x14ac:dyDescent="0.25">
      <c r="A106" t="s">
        <v>40</v>
      </c>
      <c r="B106" t="s">
        <v>38</v>
      </c>
      <c r="C106">
        <v>3</v>
      </c>
      <c r="D106" s="1">
        <v>3.7867374673824101</v>
      </c>
      <c r="E106">
        <v>10</v>
      </c>
      <c r="F106">
        <v>989.89303454773403</v>
      </c>
      <c r="G106">
        <v>8.5592968245446904E-2</v>
      </c>
      <c r="H106">
        <v>9.3043817961601202E-2</v>
      </c>
      <c r="I106" t="s">
        <v>100</v>
      </c>
      <c r="J106" t="s">
        <v>15</v>
      </c>
      <c r="K106" s="2" t="b">
        <v>1</v>
      </c>
      <c r="L106">
        <v>6</v>
      </c>
    </row>
    <row r="107" spans="1:12" x14ac:dyDescent="0.25">
      <c r="A107" t="s">
        <v>41</v>
      </c>
      <c r="B107" t="s">
        <v>38</v>
      </c>
      <c r="C107">
        <v>4</v>
      </c>
      <c r="D107" s="1">
        <v>4.9961883583044502</v>
      </c>
      <c r="E107">
        <v>10</v>
      </c>
      <c r="F107">
        <v>1550.9714717137299</v>
      </c>
      <c r="G107">
        <v>8.0192107216824501E-2</v>
      </c>
      <c r="H107">
        <v>8.8719504005070907E-2</v>
      </c>
      <c r="I107" t="s">
        <v>100</v>
      </c>
      <c r="J107" t="s">
        <v>15</v>
      </c>
      <c r="K107" s="2" t="b">
        <v>1</v>
      </c>
      <c r="L107">
        <v>6</v>
      </c>
    </row>
    <row r="108" spans="1:12" x14ac:dyDescent="0.25">
      <c r="A108" t="s">
        <v>42</v>
      </c>
      <c r="B108" t="s">
        <v>38</v>
      </c>
      <c r="C108">
        <v>5</v>
      </c>
      <c r="D108" s="1">
        <v>6.3274210425455104</v>
      </c>
      <c r="E108">
        <v>10</v>
      </c>
      <c r="F108">
        <v>2006.9750593061899</v>
      </c>
      <c r="G108">
        <v>3.7067323622000499E-2</v>
      </c>
      <c r="H108">
        <v>9.8768718517023193E-2</v>
      </c>
      <c r="I108" t="s">
        <v>100</v>
      </c>
      <c r="J108" t="s">
        <v>15</v>
      </c>
      <c r="K108" s="2" t="b">
        <v>1</v>
      </c>
      <c r="L108">
        <v>6</v>
      </c>
    </row>
    <row r="109" spans="1:12" x14ac:dyDescent="0.25">
      <c r="A109" t="s">
        <v>43</v>
      </c>
      <c r="B109" t="s">
        <v>38</v>
      </c>
      <c r="C109">
        <v>6</v>
      </c>
      <c r="D109" s="1">
        <v>7.6857825910229298</v>
      </c>
      <c r="E109">
        <v>9</v>
      </c>
      <c r="F109">
        <v>1558.07916078009</v>
      </c>
      <c r="G109">
        <v>5.5782079792109099E-2</v>
      </c>
      <c r="H109">
        <v>8.9128213144965898E-2</v>
      </c>
      <c r="I109" t="s">
        <v>100</v>
      </c>
      <c r="J109" t="s">
        <v>15</v>
      </c>
      <c r="K109" s="2" t="b">
        <v>1</v>
      </c>
      <c r="L109">
        <v>6</v>
      </c>
    </row>
    <row r="110" spans="1:12" x14ac:dyDescent="0.25">
      <c r="A110" t="s">
        <v>44</v>
      </c>
      <c r="B110" t="s">
        <v>38</v>
      </c>
      <c r="C110">
        <v>7</v>
      </c>
      <c r="D110" s="1">
        <v>8.9562030078999104</v>
      </c>
      <c r="E110">
        <v>10</v>
      </c>
      <c r="F110">
        <v>2217.1139127781598</v>
      </c>
      <c r="G110">
        <v>6.9035842083851204E-2</v>
      </c>
      <c r="H110">
        <v>0.117973782808</v>
      </c>
      <c r="I110" t="s">
        <v>100</v>
      </c>
      <c r="J110" t="s">
        <v>15</v>
      </c>
      <c r="K110" s="2" t="b">
        <v>1</v>
      </c>
      <c r="L110">
        <v>6</v>
      </c>
    </row>
    <row r="111" spans="1:12" x14ac:dyDescent="0.25">
      <c r="A111" t="s">
        <v>45</v>
      </c>
      <c r="B111" t="s">
        <v>38</v>
      </c>
      <c r="C111">
        <v>8</v>
      </c>
      <c r="D111" s="1">
        <v>10.2438406591318</v>
      </c>
      <c r="E111">
        <v>10</v>
      </c>
      <c r="F111">
        <v>1806.45611289877</v>
      </c>
      <c r="G111">
        <v>4.8280306389475197E-2</v>
      </c>
      <c r="H111">
        <v>8.3380557926632404E-2</v>
      </c>
      <c r="I111" t="s">
        <v>100</v>
      </c>
      <c r="J111" t="s">
        <v>15</v>
      </c>
      <c r="K111" s="2" t="b">
        <v>1</v>
      </c>
      <c r="L111">
        <v>6</v>
      </c>
    </row>
    <row r="112" spans="1:12" x14ac:dyDescent="0.25">
      <c r="A112" t="s">
        <v>46</v>
      </c>
      <c r="B112" t="s">
        <v>38</v>
      </c>
      <c r="C112">
        <v>9</v>
      </c>
      <c r="D112" s="1">
        <v>11.6324954453278</v>
      </c>
      <c r="E112">
        <v>10</v>
      </c>
      <c r="F112">
        <v>1723.1406209343199</v>
      </c>
      <c r="G112">
        <v>3.3251122840343102E-2</v>
      </c>
      <c r="H112">
        <v>8.7456527362445705E-2</v>
      </c>
      <c r="I112" t="s">
        <v>100</v>
      </c>
      <c r="J112" t="s">
        <v>15</v>
      </c>
      <c r="K112" s="2" t="b">
        <v>1</v>
      </c>
      <c r="L112">
        <v>6</v>
      </c>
    </row>
    <row r="113" spans="1:12" x14ac:dyDescent="0.25">
      <c r="A113" t="s">
        <v>47</v>
      </c>
      <c r="B113" t="s">
        <v>38</v>
      </c>
      <c r="C113">
        <v>10</v>
      </c>
      <c r="D113" s="1">
        <v>12.9530159906677</v>
      </c>
      <c r="E113">
        <v>10</v>
      </c>
      <c r="F113">
        <v>1952.5031938721099</v>
      </c>
      <c r="G113">
        <v>5.8018077500428797E-2</v>
      </c>
      <c r="H113">
        <v>0.105054645399223</v>
      </c>
      <c r="I113" t="s">
        <v>100</v>
      </c>
      <c r="J113" t="s">
        <v>15</v>
      </c>
      <c r="K113" s="2" t="b">
        <v>1</v>
      </c>
      <c r="L113">
        <v>6</v>
      </c>
    </row>
    <row r="114" spans="1:12" x14ac:dyDescent="0.25">
      <c r="A114" t="s">
        <v>48</v>
      </c>
      <c r="B114" t="s">
        <v>38</v>
      </c>
      <c r="C114">
        <v>11</v>
      </c>
      <c r="D114" s="1">
        <v>14.4016695960634</v>
      </c>
      <c r="E114">
        <v>10</v>
      </c>
      <c r="F114">
        <v>1865.11596340082</v>
      </c>
      <c r="G114">
        <v>2.7431148482768002E-2</v>
      </c>
      <c r="H114">
        <v>9.3960848239730194E-2</v>
      </c>
      <c r="I114" t="s">
        <v>100</v>
      </c>
      <c r="J114" t="s">
        <v>15</v>
      </c>
      <c r="K114" s="2" t="b">
        <v>1</v>
      </c>
      <c r="L114">
        <v>6</v>
      </c>
    </row>
    <row r="115" spans="1:12" x14ac:dyDescent="0.25">
      <c r="A115" t="s">
        <v>49</v>
      </c>
      <c r="B115" t="s">
        <v>38</v>
      </c>
      <c r="C115">
        <v>12</v>
      </c>
      <c r="D115" s="1">
        <v>15.6027997983538</v>
      </c>
      <c r="E115">
        <v>10</v>
      </c>
      <c r="F115">
        <v>1798.19943749043</v>
      </c>
      <c r="G115">
        <v>4.5391667167438497E-2</v>
      </c>
      <c r="H115">
        <v>0.10647946271653499</v>
      </c>
      <c r="I115" t="s">
        <v>100</v>
      </c>
      <c r="J115" t="s">
        <v>15</v>
      </c>
      <c r="K115" s="2" t="b">
        <v>1</v>
      </c>
      <c r="L115">
        <v>6</v>
      </c>
    </row>
    <row r="116" spans="1:12" x14ac:dyDescent="0.25">
      <c r="A116" t="s">
        <v>50</v>
      </c>
      <c r="B116" t="s">
        <v>38</v>
      </c>
      <c r="C116">
        <v>13</v>
      </c>
      <c r="D116" s="1">
        <v>16.898165567676301</v>
      </c>
      <c r="E116">
        <v>10</v>
      </c>
      <c r="F116">
        <v>1947.88553728529</v>
      </c>
      <c r="G116">
        <v>2.8793132540306399E-2</v>
      </c>
      <c r="H116">
        <v>7.9213768758067404E-2</v>
      </c>
      <c r="I116" t="s">
        <v>100</v>
      </c>
      <c r="J116" t="s">
        <v>15</v>
      </c>
      <c r="K116" s="2" t="b">
        <v>1</v>
      </c>
      <c r="L116">
        <v>6</v>
      </c>
    </row>
    <row r="117" spans="1:12" x14ac:dyDescent="0.25">
      <c r="A117" t="s">
        <v>51</v>
      </c>
      <c r="B117" t="s">
        <v>52</v>
      </c>
      <c r="C117">
        <v>1</v>
      </c>
      <c r="D117" s="1">
        <v>0.94828268723956599</v>
      </c>
      <c r="E117">
        <v>8</v>
      </c>
      <c r="F117">
        <v>1244.59315752614</v>
      </c>
      <c r="G117">
        <v>4.0412470106577197E-2</v>
      </c>
      <c r="H117">
        <v>0.101947108184024</v>
      </c>
      <c r="I117" t="s">
        <v>100</v>
      </c>
      <c r="J117" t="s">
        <v>15</v>
      </c>
      <c r="K117" s="2" t="b">
        <v>1</v>
      </c>
      <c r="L117">
        <v>6</v>
      </c>
    </row>
    <row r="118" spans="1:12" x14ac:dyDescent="0.25">
      <c r="A118" t="s">
        <v>53</v>
      </c>
      <c r="B118" t="s">
        <v>52</v>
      </c>
      <c r="C118">
        <v>2</v>
      </c>
      <c r="D118" s="1">
        <v>1.9764151715537901</v>
      </c>
      <c r="E118">
        <v>10</v>
      </c>
      <c r="F118">
        <v>1827.43894770931</v>
      </c>
      <c r="G118">
        <v>6.6548956901058706E-2</v>
      </c>
      <c r="H118">
        <v>8.1020643923641597E-2</v>
      </c>
      <c r="I118" t="s">
        <v>100</v>
      </c>
      <c r="J118" t="s">
        <v>15</v>
      </c>
      <c r="K118" s="2" t="b">
        <v>1</v>
      </c>
      <c r="L118">
        <v>6</v>
      </c>
    </row>
    <row r="119" spans="1:12" x14ac:dyDescent="0.25">
      <c r="A119" t="s">
        <v>54</v>
      </c>
      <c r="B119" t="s">
        <v>52</v>
      </c>
      <c r="C119">
        <v>3</v>
      </c>
      <c r="D119" s="1">
        <v>2.8433214133042299</v>
      </c>
      <c r="E119">
        <v>10</v>
      </c>
      <c r="F119">
        <v>1475.4849494902301</v>
      </c>
      <c r="G119">
        <v>5.03943236220004E-2</v>
      </c>
      <c r="H119">
        <v>7.4285079970387996E-2</v>
      </c>
      <c r="I119" t="s">
        <v>100</v>
      </c>
      <c r="J119" t="s">
        <v>15</v>
      </c>
      <c r="K119" s="2" t="b">
        <v>1</v>
      </c>
      <c r="L119">
        <v>6</v>
      </c>
    </row>
    <row r="120" spans="1:12" x14ac:dyDescent="0.25">
      <c r="A120" t="s">
        <v>55</v>
      </c>
      <c r="B120" t="s">
        <v>52</v>
      </c>
      <c r="C120">
        <v>4</v>
      </c>
      <c r="D120" s="1">
        <v>3.7276567230994302</v>
      </c>
      <c r="E120">
        <v>9</v>
      </c>
      <c r="F120">
        <v>1414.85832790274</v>
      </c>
      <c r="G120">
        <v>6.2216742421845501E-2</v>
      </c>
      <c r="H120">
        <v>9.2146352576995799E-2</v>
      </c>
      <c r="I120" t="s">
        <v>100</v>
      </c>
      <c r="J120" t="s">
        <v>15</v>
      </c>
      <c r="K120" s="2" t="b">
        <v>1</v>
      </c>
      <c r="L120">
        <v>6</v>
      </c>
    </row>
    <row r="121" spans="1:12" x14ac:dyDescent="0.25">
      <c r="A121" t="s">
        <v>56</v>
      </c>
      <c r="B121" t="s">
        <v>52</v>
      </c>
      <c r="C121">
        <v>5</v>
      </c>
      <c r="D121" s="1">
        <v>6.5111618738534798</v>
      </c>
      <c r="E121">
        <v>9</v>
      </c>
      <c r="F121">
        <v>1438.9629147258499</v>
      </c>
      <c r="G121">
        <v>6.0069591667798197E-2</v>
      </c>
      <c r="H121">
        <v>0.10232233289414699</v>
      </c>
      <c r="I121" t="s">
        <v>100</v>
      </c>
      <c r="J121" t="s">
        <v>15</v>
      </c>
      <c r="K121" s="2" t="b">
        <v>1</v>
      </c>
      <c r="L121">
        <v>6</v>
      </c>
    </row>
    <row r="122" spans="1:12" x14ac:dyDescent="0.25">
      <c r="A122" t="s">
        <v>57</v>
      </c>
      <c r="B122" t="s">
        <v>52</v>
      </c>
      <c r="C122">
        <v>6</v>
      </c>
      <c r="D122" s="1">
        <v>7.4867984888450501</v>
      </c>
      <c r="E122">
        <v>10</v>
      </c>
      <c r="F122">
        <v>1696.4044939467001</v>
      </c>
      <c r="G122">
        <v>3.8740529893422998E-2</v>
      </c>
      <c r="H122">
        <v>7.3022051642149796E-2</v>
      </c>
      <c r="I122" t="s">
        <v>100</v>
      </c>
      <c r="J122" t="s">
        <v>15</v>
      </c>
      <c r="K122" s="2" t="b">
        <v>1</v>
      </c>
      <c r="L122">
        <v>6</v>
      </c>
    </row>
    <row r="123" spans="1:12" x14ac:dyDescent="0.25">
      <c r="A123" t="s">
        <v>58</v>
      </c>
      <c r="B123" t="s">
        <v>52</v>
      </c>
      <c r="C123">
        <v>7</v>
      </c>
      <c r="D123" s="1">
        <v>8.3350607244130899</v>
      </c>
      <c r="E123">
        <v>10</v>
      </c>
      <c r="F123">
        <v>1496.8928551985</v>
      </c>
      <c r="G123">
        <v>5.2583691081695201E-2</v>
      </c>
      <c r="H123">
        <v>0.10362060619918</v>
      </c>
      <c r="I123" t="s">
        <v>100</v>
      </c>
      <c r="J123" t="s">
        <v>15</v>
      </c>
      <c r="K123" s="2" t="b">
        <v>1</v>
      </c>
      <c r="L123">
        <v>6</v>
      </c>
    </row>
    <row r="124" spans="1:12" x14ac:dyDescent="0.25">
      <c r="A124" t="s">
        <v>59</v>
      </c>
      <c r="B124" t="s">
        <v>52</v>
      </c>
      <c r="C124">
        <v>8</v>
      </c>
      <c r="D124" s="1">
        <v>9.48753456023565</v>
      </c>
      <c r="E124">
        <v>9</v>
      </c>
      <c r="F124">
        <v>1663.3817108891701</v>
      </c>
      <c r="G124">
        <v>0.15414109471437601</v>
      </c>
      <c r="H124">
        <v>0.199663654021174</v>
      </c>
      <c r="I124" t="s">
        <v>100</v>
      </c>
      <c r="J124" t="s">
        <v>15</v>
      </c>
      <c r="K124" s="2" t="b">
        <v>1</v>
      </c>
      <c r="L124">
        <v>6</v>
      </c>
    </row>
    <row r="125" spans="1:12" x14ac:dyDescent="0.25">
      <c r="A125" t="s">
        <v>60</v>
      </c>
      <c r="B125" t="s">
        <v>52</v>
      </c>
      <c r="C125">
        <v>9</v>
      </c>
      <c r="D125" s="1">
        <v>12.0458620387352</v>
      </c>
      <c r="E125">
        <v>10</v>
      </c>
      <c r="F125">
        <v>2003.2650562566</v>
      </c>
      <c r="G125">
        <v>6.1436073213929202E-2</v>
      </c>
      <c r="H125">
        <v>0.106466556547287</v>
      </c>
      <c r="I125" t="s">
        <v>100</v>
      </c>
      <c r="J125" t="s">
        <v>15</v>
      </c>
      <c r="K125" s="2" t="b">
        <v>1</v>
      </c>
      <c r="L125">
        <v>6</v>
      </c>
    </row>
    <row r="126" spans="1:12" x14ac:dyDescent="0.25">
      <c r="A126" t="s">
        <v>61</v>
      </c>
      <c r="B126" t="s">
        <v>52</v>
      </c>
      <c r="C126">
        <v>10</v>
      </c>
      <c r="D126" s="1">
        <v>12.9314288964718</v>
      </c>
      <c r="E126">
        <v>10</v>
      </c>
      <c r="F126">
        <v>1629.50931457154</v>
      </c>
      <c r="G126">
        <v>5.7893039156092202E-2</v>
      </c>
      <c r="H126">
        <v>7.63204362844115E-2</v>
      </c>
      <c r="I126" t="s">
        <v>100</v>
      </c>
      <c r="J126" t="s">
        <v>15</v>
      </c>
      <c r="K126" s="2" t="b">
        <v>1</v>
      </c>
      <c r="L126">
        <v>6</v>
      </c>
    </row>
    <row r="127" spans="1:12" x14ac:dyDescent="0.25">
      <c r="A127" t="s">
        <v>62</v>
      </c>
      <c r="B127" t="s">
        <v>52</v>
      </c>
      <c r="C127">
        <v>11</v>
      </c>
      <c r="D127" s="1">
        <v>13.829669846054699</v>
      </c>
      <c r="E127">
        <v>10</v>
      </c>
      <c r="F127">
        <v>1829.9244542833401</v>
      </c>
      <c r="G127">
        <v>5.8501323622001097E-2</v>
      </c>
      <c r="H127">
        <v>8.0758708718837294E-2</v>
      </c>
      <c r="I127" t="s">
        <v>100</v>
      </c>
      <c r="J127" t="s">
        <v>15</v>
      </c>
      <c r="K127" s="2" t="b">
        <v>1</v>
      </c>
      <c r="L127">
        <v>6</v>
      </c>
    </row>
    <row r="128" spans="1:12" x14ac:dyDescent="0.25">
      <c r="A128" t="s">
        <v>63</v>
      </c>
      <c r="B128" t="s">
        <v>52</v>
      </c>
      <c r="C128">
        <v>12</v>
      </c>
      <c r="D128" s="1">
        <v>14.790300383955801</v>
      </c>
      <c r="E128">
        <v>10</v>
      </c>
      <c r="F128">
        <v>1427.0083836345</v>
      </c>
      <c r="G128">
        <v>5.5301132540305303E-2</v>
      </c>
      <c r="H128">
        <v>8.0045923741232206E-2</v>
      </c>
      <c r="I128" t="s">
        <v>100</v>
      </c>
      <c r="J128" t="s">
        <v>15</v>
      </c>
      <c r="K128" s="2" t="b">
        <v>1</v>
      </c>
      <c r="L128">
        <v>6</v>
      </c>
    </row>
    <row r="129" spans="1:12" x14ac:dyDescent="0.25">
      <c r="A129" t="s">
        <v>64</v>
      </c>
      <c r="B129" t="s">
        <v>52</v>
      </c>
      <c r="C129">
        <v>13</v>
      </c>
      <c r="D129" s="1">
        <v>17.571196256441699</v>
      </c>
      <c r="E129">
        <v>10</v>
      </c>
      <c r="F129">
        <v>1697.7635452199199</v>
      </c>
      <c r="G129">
        <v>7.3714751332553299E-2</v>
      </c>
      <c r="H129">
        <v>0.12765662367279301</v>
      </c>
      <c r="I129" t="s">
        <v>100</v>
      </c>
      <c r="J129" t="s">
        <v>15</v>
      </c>
      <c r="K129" s="2" t="b">
        <v>1</v>
      </c>
      <c r="L129">
        <v>6</v>
      </c>
    </row>
    <row r="130" spans="1:12" x14ac:dyDescent="0.25">
      <c r="A130" t="s">
        <v>65</v>
      </c>
      <c r="B130" t="s">
        <v>52</v>
      </c>
      <c r="C130">
        <v>14</v>
      </c>
      <c r="D130" s="1">
        <v>18.474248605801801</v>
      </c>
      <c r="E130">
        <v>10</v>
      </c>
      <c r="F130">
        <v>1134.51274303894</v>
      </c>
      <c r="G130">
        <v>7.8482859719434903E-2</v>
      </c>
      <c r="H130">
        <v>0.12865351494223101</v>
      </c>
      <c r="I130" t="s">
        <v>100</v>
      </c>
      <c r="J130" t="s">
        <v>15</v>
      </c>
      <c r="K130" s="2" t="b">
        <v>1</v>
      </c>
      <c r="L130">
        <v>6</v>
      </c>
    </row>
    <row r="131" spans="1:12" x14ac:dyDescent="0.25">
      <c r="A131" t="s">
        <v>66</v>
      </c>
      <c r="B131" t="s">
        <v>52</v>
      </c>
      <c r="C131">
        <v>15</v>
      </c>
      <c r="D131" s="1">
        <v>19.389941035170501</v>
      </c>
      <c r="E131">
        <v>10</v>
      </c>
      <c r="F131">
        <v>1623.65129568213</v>
      </c>
      <c r="G131">
        <v>4.4661532997700697E-2</v>
      </c>
      <c r="H131">
        <v>9.0752323058562304E-2</v>
      </c>
      <c r="I131" t="s">
        <v>100</v>
      </c>
      <c r="J131" t="s">
        <v>15</v>
      </c>
      <c r="K131" s="2" t="b">
        <v>1</v>
      </c>
      <c r="L131">
        <v>6</v>
      </c>
    </row>
    <row r="132" spans="1:12" x14ac:dyDescent="0.25">
      <c r="A132" t="s">
        <v>67</v>
      </c>
      <c r="B132" t="s">
        <v>52</v>
      </c>
      <c r="C132">
        <v>16</v>
      </c>
      <c r="D132" s="1">
        <v>20.314656045997701</v>
      </c>
      <c r="E132">
        <v>9</v>
      </c>
      <c r="F132">
        <v>1343.6331317074601</v>
      </c>
      <c r="G132">
        <v>6.3636059350394597E-2</v>
      </c>
      <c r="H132">
        <v>9.3619047415414602E-2</v>
      </c>
      <c r="I132" t="s">
        <v>100</v>
      </c>
      <c r="J132" t="s">
        <v>15</v>
      </c>
      <c r="K132" s="2" t="b">
        <v>1</v>
      </c>
      <c r="L132">
        <v>6</v>
      </c>
    </row>
    <row r="133" spans="1:12" x14ac:dyDescent="0.25">
      <c r="A133" t="s">
        <v>68</v>
      </c>
      <c r="B133" t="s">
        <v>69</v>
      </c>
      <c r="C133">
        <v>1</v>
      </c>
      <c r="D133" s="1">
        <v>0.71828604390308204</v>
      </c>
      <c r="E133">
        <v>9</v>
      </c>
      <c r="F133">
        <v>1512.90328091172</v>
      </c>
      <c r="G133">
        <v>3.16169796679594E-2</v>
      </c>
      <c r="H133">
        <v>7.5500563973718404E-2</v>
      </c>
      <c r="I133" t="s">
        <v>100</v>
      </c>
      <c r="J133" t="s">
        <v>15</v>
      </c>
      <c r="K133" s="2" t="b">
        <v>1</v>
      </c>
      <c r="L133">
        <v>6</v>
      </c>
    </row>
    <row r="134" spans="1:12" x14ac:dyDescent="0.25">
      <c r="A134" t="s">
        <v>70</v>
      </c>
      <c r="B134" t="s">
        <v>69</v>
      </c>
      <c r="C134">
        <v>2</v>
      </c>
      <c r="D134" s="1">
        <v>1.76382330449758</v>
      </c>
      <c r="E134">
        <v>10</v>
      </c>
      <c r="F134">
        <v>1734.17540530684</v>
      </c>
      <c r="G134">
        <v>5.0584161023698497E-2</v>
      </c>
      <c r="H134">
        <v>6.8792568061448303E-2</v>
      </c>
      <c r="I134" t="s">
        <v>100</v>
      </c>
      <c r="J134" t="s">
        <v>15</v>
      </c>
      <c r="K134" s="2" t="b">
        <v>1</v>
      </c>
      <c r="L134">
        <v>6</v>
      </c>
    </row>
    <row r="135" spans="1:12" x14ac:dyDescent="0.25">
      <c r="A135" t="s">
        <v>71</v>
      </c>
      <c r="B135" t="s">
        <v>69</v>
      </c>
      <c r="C135">
        <v>3</v>
      </c>
      <c r="D135" s="1">
        <v>2.1261687374076002</v>
      </c>
      <c r="E135">
        <v>10</v>
      </c>
      <c r="F135">
        <v>1856.6839720641101</v>
      </c>
      <c r="G135">
        <v>3.8503228113674702E-2</v>
      </c>
      <c r="H135">
        <v>8.0108704287290194E-2</v>
      </c>
      <c r="I135" t="s">
        <v>100</v>
      </c>
      <c r="J135" t="s">
        <v>15</v>
      </c>
      <c r="K135" s="2" t="b">
        <v>1</v>
      </c>
      <c r="L135">
        <v>6</v>
      </c>
    </row>
    <row r="136" spans="1:12" x14ac:dyDescent="0.25">
      <c r="A136" t="s">
        <v>72</v>
      </c>
      <c r="B136" t="s">
        <v>69</v>
      </c>
      <c r="C136">
        <v>4</v>
      </c>
      <c r="D136" s="1">
        <v>2.4703874823193601</v>
      </c>
      <c r="E136">
        <v>10</v>
      </c>
      <c r="F136">
        <v>1583.14523073075</v>
      </c>
      <c r="G136">
        <v>3.9822500000000101E-2</v>
      </c>
      <c r="H136">
        <v>6.6801825712569596E-2</v>
      </c>
      <c r="I136" t="s">
        <v>100</v>
      </c>
      <c r="J136" t="s">
        <v>15</v>
      </c>
      <c r="K136" s="2" t="b">
        <v>1</v>
      </c>
      <c r="L136">
        <v>6</v>
      </c>
    </row>
    <row r="137" spans="1:12" x14ac:dyDescent="0.25">
      <c r="A137" t="s">
        <v>73</v>
      </c>
      <c r="B137" t="s">
        <v>69</v>
      </c>
      <c r="C137">
        <v>5</v>
      </c>
      <c r="D137" s="1">
        <v>2.8959069485526898</v>
      </c>
      <c r="E137">
        <v>10</v>
      </c>
      <c r="F137">
        <v>1595.54664419148</v>
      </c>
      <c r="G137">
        <v>7.1258342083851206E-2</v>
      </c>
      <c r="H137">
        <v>9.9254000757938707E-2</v>
      </c>
      <c r="I137" t="s">
        <v>100</v>
      </c>
      <c r="J137" t="s">
        <v>15</v>
      </c>
      <c r="K137" s="2" t="b">
        <v>1</v>
      </c>
      <c r="L137">
        <v>6</v>
      </c>
    </row>
    <row r="138" spans="1:12" x14ac:dyDescent="0.25">
      <c r="A138" t="s">
        <v>74</v>
      </c>
      <c r="B138" t="s">
        <v>69</v>
      </c>
      <c r="C138">
        <v>6</v>
      </c>
      <c r="D138" s="1">
        <v>4.0082526220894801</v>
      </c>
      <c r="E138">
        <v>10</v>
      </c>
      <c r="F138">
        <v>1494.96398602972</v>
      </c>
      <c r="G138">
        <v>4.9725220975117099E-2</v>
      </c>
      <c r="H138">
        <v>7.0724829865393302E-2</v>
      </c>
      <c r="I138" t="s">
        <v>100</v>
      </c>
      <c r="J138" t="s">
        <v>15</v>
      </c>
      <c r="K138" s="2" t="b">
        <v>1</v>
      </c>
      <c r="L138">
        <v>6</v>
      </c>
    </row>
    <row r="139" spans="1:12" x14ac:dyDescent="0.25">
      <c r="A139" t="s">
        <v>75</v>
      </c>
      <c r="B139" t="s">
        <v>69</v>
      </c>
      <c r="C139">
        <v>7</v>
      </c>
      <c r="D139" s="1">
        <v>4.4006958680191302</v>
      </c>
      <c r="E139">
        <v>10</v>
      </c>
      <c r="F139">
        <v>1646.9889925431601</v>
      </c>
      <c r="G139">
        <v>5.7355132540305998E-2</v>
      </c>
      <c r="H139">
        <v>8.0076390820925797E-2</v>
      </c>
      <c r="I139" t="s">
        <v>100</v>
      </c>
      <c r="J139" t="s">
        <v>15</v>
      </c>
      <c r="K139" s="2" t="b">
        <v>1</v>
      </c>
      <c r="L139">
        <v>6</v>
      </c>
    </row>
    <row r="140" spans="1:12" x14ac:dyDescent="0.25">
      <c r="A140" t="s">
        <v>76</v>
      </c>
      <c r="B140" t="s">
        <v>69</v>
      </c>
      <c r="C140">
        <v>8</v>
      </c>
      <c r="D140" s="1">
        <v>4.7101894973146203</v>
      </c>
      <c r="E140">
        <v>10</v>
      </c>
      <c r="F140">
        <v>1549.7836161896901</v>
      </c>
      <c r="G140">
        <v>4.7051220975116798E-2</v>
      </c>
      <c r="H140">
        <v>7.6327655033938596E-2</v>
      </c>
      <c r="I140" t="s">
        <v>100</v>
      </c>
      <c r="J140" t="s">
        <v>15</v>
      </c>
      <c r="K140" s="2" t="b">
        <v>1</v>
      </c>
      <c r="L140">
        <v>6</v>
      </c>
    </row>
    <row r="141" spans="1:12" x14ac:dyDescent="0.25">
      <c r="A141" t="s">
        <v>77</v>
      </c>
      <c r="B141" t="s">
        <v>69</v>
      </c>
      <c r="C141">
        <v>9</v>
      </c>
      <c r="D141" s="1">
        <v>5.1317709575401196</v>
      </c>
      <c r="E141">
        <v>10</v>
      </c>
      <c r="F141">
        <v>1597.44768122556</v>
      </c>
      <c r="G141">
        <v>5.8656933969079901E-2</v>
      </c>
      <c r="H141">
        <v>7.2531074429501796E-2</v>
      </c>
      <c r="I141" t="s">
        <v>100</v>
      </c>
      <c r="J141" t="s">
        <v>15</v>
      </c>
      <c r="K141" s="2" t="b">
        <v>1</v>
      </c>
      <c r="L141">
        <v>6</v>
      </c>
    </row>
    <row r="142" spans="1:12" x14ac:dyDescent="0.25">
      <c r="A142" t="s">
        <v>78</v>
      </c>
      <c r="B142" t="s">
        <v>69</v>
      </c>
      <c r="C142">
        <v>10</v>
      </c>
      <c r="D142" s="1">
        <v>5.8798457654362002</v>
      </c>
      <c r="E142">
        <v>10</v>
      </c>
      <c r="F142">
        <v>1853.75453656267</v>
      </c>
      <c r="G142">
        <v>4.4748200085074498E-2</v>
      </c>
      <c r="H142">
        <v>6.7509759623621796E-2</v>
      </c>
      <c r="I142" t="s">
        <v>100</v>
      </c>
      <c r="J142" t="s">
        <v>15</v>
      </c>
      <c r="K142" s="2" t="b">
        <v>1</v>
      </c>
      <c r="L142">
        <v>6</v>
      </c>
    </row>
    <row r="143" spans="1:12" x14ac:dyDescent="0.25">
      <c r="A143" t="s">
        <v>79</v>
      </c>
      <c r="B143" t="s">
        <v>69</v>
      </c>
      <c r="C143">
        <v>11</v>
      </c>
      <c r="D143" s="1">
        <v>6.2281685310864301</v>
      </c>
      <c r="E143">
        <v>10</v>
      </c>
      <c r="F143">
        <v>1883.8662472773999</v>
      </c>
      <c r="G143">
        <v>3.8499037081728998E-2</v>
      </c>
      <c r="H143">
        <v>8.1378520534818796E-2</v>
      </c>
      <c r="I143" t="s">
        <v>100</v>
      </c>
      <c r="J143" t="s">
        <v>15</v>
      </c>
      <c r="K143" s="2" t="b">
        <v>1</v>
      </c>
      <c r="L143">
        <v>6</v>
      </c>
    </row>
    <row r="144" spans="1:12" x14ac:dyDescent="0.25">
      <c r="A144" t="s">
        <v>80</v>
      </c>
      <c r="B144" t="s">
        <v>69</v>
      </c>
      <c r="C144">
        <v>12</v>
      </c>
      <c r="D144" s="1">
        <v>6.5999053640058696</v>
      </c>
      <c r="E144">
        <v>10</v>
      </c>
      <c r="F144">
        <v>1584.5804152210201</v>
      </c>
      <c r="G144">
        <v>7.7509306809177697E-2</v>
      </c>
      <c r="H144">
        <v>8.6202830583488793E-2</v>
      </c>
      <c r="I144" t="s">
        <v>100</v>
      </c>
      <c r="J144" t="s">
        <v>15</v>
      </c>
      <c r="K144" s="2" t="b">
        <v>1</v>
      </c>
      <c r="L144">
        <v>6</v>
      </c>
    </row>
    <row r="145" spans="1:12" x14ac:dyDescent="0.25">
      <c r="A145" t="s">
        <v>81</v>
      </c>
      <c r="B145" t="s">
        <v>69</v>
      </c>
      <c r="C145">
        <v>13</v>
      </c>
      <c r="D145" s="1">
        <v>6.9598657423655403</v>
      </c>
      <c r="E145">
        <v>10</v>
      </c>
      <c r="F145">
        <v>1475.52850554322</v>
      </c>
      <c r="G145">
        <v>5.3305825802616003E-2</v>
      </c>
      <c r="H145">
        <v>0.133710482031627</v>
      </c>
      <c r="I145" t="s">
        <v>100</v>
      </c>
      <c r="J145" t="s">
        <v>15</v>
      </c>
      <c r="K145" s="2" t="b">
        <v>1</v>
      </c>
      <c r="L145">
        <v>6</v>
      </c>
    </row>
    <row r="146" spans="1:12" x14ac:dyDescent="0.25">
      <c r="A146" t="s">
        <v>82</v>
      </c>
      <c r="B146" t="s">
        <v>69</v>
      </c>
      <c r="C146">
        <v>14</v>
      </c>
      <c r="D146" s="1">
        <v>7.3638317049248201</v>
      </c>
      <c r="E146">
        <v>10</v>
      </c>
      <c r="F146">
        <v>1506.9245080144599</v>
      </c>
      <c r="G146">
        <v>6.2471739436967301E-2</v>
      </c>
      <c r="H146">
        <v>0.140917255415142</v>
      </c>
      <c r="I146" t="s">
        <v>100</v>
      </c>
      <c r="J146" t="s">
        <v>15</v>
      </c>
      <c r="K146" s="2" t="b">
        <v>1</v>
      </c>
      <c r="L146">
        <v>6</v>
      </c>
    </row>
    <row r="147" spans="1:12" x14ac:dyDescent="0.25">
      <c r="A147" t="s">
        <v>83</v>
      </c>
      <c r="B147" t="s">
        <v>69</v>
      </c>
      <c r="C147">
        <v>15</v>
      </c>
      <c r="D147" s="1">
        <v>8.4585507710611108</v>
      </c>
      <c r="E147">
        <v>10</v>
      </c>
      <c r="F147">
        <v>1682.5877487836101</v>
      </c>
      <c r="G147">
        <v>4.5658694460166599E-2</v>
      </c>
      <c r="H147">
        <v>8.7980899214865502E-2</v>
      </c>
      <c r="I147" t="s">
        <v>100</v>
      </c>
      <c r="J147" t="s">
        <v>15</v>
      </c>
      <c r="K147" s="2" t="b">
        <v>1</v>
      </c>
      <c r="L147">
        <v>6</v>
      </c>
    </row>
    <row r="148" spans="1:12" x14ac:dyDescent="0.25">
      <c r="A148" t="s">
        <v>84</v>
      </c>
      <c r="B148" t="s">
        <v>69</v>
      </c>
      <c r="C148">
        <v>16</v>
      </c>
      <c r="D148" s="1">
        <v>8.8343493672647107</v>
      </c>
      <c r="E148">
        <v>10</v>
      </c>
      <c r="F148">
        <v>1604.5703226524899</v>
      </c>
      <c r="G148">
        <v>5.74142009034464E-2</v>
      </c>
      <c r="H148">
        <v>6.9308129176073902E-2</v>
      </c>
      <c r="I148" t="s">
        <v>100</v>
      </c>
      <c r="J148" t="s">
        <v>15</v>
      </c>
      <c r="K148" s="2" t="b">
        <v>1</v>
      </c>
      <c r="L148">
        <v>6</v>
      </c>
    </row>
    <row r="149" spans="1:12" x14ac:dyDescent="0.25">
      <c r="A149" t="s">
        <v>85</v>
      </c>
      <c r="B149" t="s">
        <v>69</v>
      </c>
      <c r="C149">
        <v>17</v>
      </c>
      <c r="D149" s="1">
        <v>9.1931387491301599</v>
      </c>
      <c r="E149">
        <v>10</v>
      </c>
      <c r="F149">
        <v>1953.1920208671199</v>
      </c>
      <c r="G149">
        <v>4.1678720975117697E-2</v>
      </c>
      <c r="H149">
        <v>6.7879222779587398E-2</v>
      </c>
      <c r="I149" t="s">
        <v>100</v>
      </c>
      <c r="J149" t="s">
        <v>15</v>
      </c>
      <c r="K149" s="2" t="b">
        <v>1</v>
      </c>
      <c r="L149">
        <v>6</v>
      </c>
    </row>
    <row r="150" spans="1:12" x14ac:dyDescent="0.25">
      <c r="A150" t="s">
        <v>86</v>
      </c>
      <c r="B150" t="s">
        <v>69</v>
      </c>
      <c r="C150">
        <v>18</v>
      </c>
      <c r="D150" s="1">
        <v>9.5700459641797604</v>
      </c>
      <c r="E150">
        <v>10</v>
      </c>
      <c r="F150">
        <v>1789.7545368661099</v>
      </c>
      <c r="G150">
        <v>3.6344103988397998E-2</v>
      </c>
      <c r="H150">
        <v>8.8011498311465902E-2</v>
      </c>
      <c r="I150" t="s">
        <v>100</v>
      </c>
      <c r="J150" t="s">
        <v>15</v>
      </c>
      <c r="K150" s="2" t="b">
        <v>1</v>
      </c>
      <c r="L150">
        <v>6</v>
      </c>
    </row>
    <row r="151" spans="1:12" x14ac:dyDescent="0.25">
      <c r="A151" t="s">
        <v>87</v>
      </c>
      <c r="B151" t="s">
        <v>69</v>
      </c>
      <c r="C151">
        <v>19</v>
      </c>
      <c r="D151" s="1">
        <v>10.784033830432801</v>
      </c>
      <c r="E151">
        <v>10</v>
      </c>
      <c r="F151">
        <v>1955.9089133431701</v>
      </c>
      <c r="G151">
        <v>4.0362691081693998E-2</v>
      </c>
      <c r="H151">
        <v>7.03977825127029E-2</v>
      </c>
      <c r="I151" t="s">
        <v>100</v>
      </c>
      <c r="J151" t="s">
        <v>15</v>
      </c>
      <c r="K151" s="2" t="b">
        <v>1</v>
      </c>
      <c r="L151">
        <v>6</v>
      </c>
    </row>
    <row r="152" spans="1:12" x14ac:dyDescent="0.25">
      <c r="A152" t="s">
        <v>88</v>
      </c>
      <c r="B152" t="s">
        <v>69</v>
      </c>
      <c r="C152">
        <v>20</v>
      </c>
      <c r="D152" s="1">
        <v>11.1475845246572</v>
      </c>
      <c r="E152">
        <v>10</v>
      </c>
      <c r="F152">
        <v>1600.9733691024701</v>
      </c>
      <c r="G152">
        <v>4.4672940864038897E-2</v>
      </c>
      <c r="H152">
        <v>6.5394826021402702E-2</v>
      </c>
      <c r="I152" t="s">
        <v>100</v>
      </c>
      <c r="J152" t="s">
        <v>15</v>
      </c>
      <c r="K152" s="2" t="b">
        <v>1</v>
      </c>
      <c r="L152">
        <v>6</v>
      </c>
    </row>
    <row r="153" spans="1:12" x14ac:dyDescent="0.25">
      <c r="A153" t="s">
        <v>89</v>
      </c>
      <c r="B153" t="s">
        <v>69</v>
      </c>
      <c r="C153">
        <v>21</v>
      </c>
      <c r="D153" s="1">
        <v>11.482960077888899</v>
      </c>
      <c r="E153">
        <v>10</v>
      </c>
      <c r="F153">
        <v>1903.9457253866301</v>
      </c>
      <c r="G153">
        <v>5.99647209751175E-2</v>
      </c>
      <c r="H153">
        <v>7.6693480538723394E-2</v>
      </c>
      <c r="I153" t="s">
        <v>100</v>
      </c>
      <c r="J153" t="s">
        <v>15</v>
      </c>
      <c r="K153" s="2" t="b">
        <v>1</v>
      </c>
      <c r="L153">
        <v>6</v>
      </c>
    </row>
    <row r="154" spans="1:12" x14ac:dyDescent="0.25">
      <c r="A154" t="s">
        <v>90</v>
      </c>
      <c r="B154" t="s">
        <v>69</v>
      </c>
      <c r="C154">
        <v>22</v>
      </c>
      <c r="D154" s="1">
        <v>11.8870024147792</v>
      </c>
      <c r="E154">
        <v>10</v>
      </c>
      <c r="F154">
        <v>1849.0473460569599</v>
      </c>
      <c r="G154">
        <v>5.7847153388959002E-2</v>
      </c>
      <c r="H154">
        <v>7.1633878155074202E-2</v>
      </c>
      <c r="I154" t="s">
        <v>100</v>
      </c>
      <c r="J154" t="s">
        <v>15</v>
      </c>
      <c r="K154" s="2" t="b">
        <v>1</v>
      </c>
      <c r="L154">
        <v>6</v>
      </c>
    </row>
    <row r="155" spans="1:12" x14ac:dyDescent="0.25">
      <c r="A155" t="s">
        <v>91</v>
      </c>
      <c r="B155" t="s">
        <v>69</v>
      </c>
      <c r="C155">
        <v>23</v>
      </c>
      <c r="D155" s="1">
        <v>12.218685185876</v>
      </c>
      <c r="E155">
        <v>10</v>
      </c>
      <c r="F155">
        <v>1938.52785563571</v>
      </c>
      <c r="G155">
        <v>5.5922720975117399E-2</v>
      </c>
      <c r="H155">
        <v>7.3552889103598806E-2</v>
      </c>
      <c r="I155" t="s">
        <v>100</v>
      </c>
      <c r="J155" t="s">
        <v>15</v>
      </c>
      <c r="K155" s="2" t="b">
        <v>1</v>
      </c>
      <c r="L155">
        <v>6</v>
      </c>
    </row>
    <row r="156" spans="1:12" x14ac:dyDescent="0.25">
      <c r="A156" t="s">
        <v>92</v>
      </c>
      <c r="B156" t="s">
        <v>69</v>
      </c>
      <c r="C156">
        <v>24</v>
      </c>
      <c r="D156" s="1">
        <v>12.58905655553</v>
      </c>
      <c r="E156">
        <v>10</v>
      </c>
      <c r="F156">
        <v>2050.8744344985198</v>
      </c>
      <c r="G156">
        <v>5.3136409991318002E-2</v>
      </c>
      <c r="H156">
        <v>6.5977377171233198E-2</v>
      </c>
      <c r="I156" t="s">
        <v>100</v>
      </c>
      <c r="J156" t="s">
        <v>15</v>
      </c>
      <c r="K156" s="2" t="b">
        <v>1</v>
      </c>
      <c r="L156">
        <v>6</v>
      </c>
    </row>
    <row r="157" spans="1:12" x14ac:dyDescent="0.25">
      <c r="A157" t="s">
        <v>93</v>
      </c>
      <c r="B157" t="s">
        <v>69</v>
      </c>
      <c r="C157">
        <v>25</v>
      </c>
      <c r="D157" s="1">
        <v>12.939680783603499</v>
      </c>
      <c r="E157">
        <v>10</v>
      </c>
      <c r="F157">
        <v>1754.31595776371</v>
      </c>
      <c r="G157">
        <v>4.34402845646229E-2</v>
      </c>
      <c r="H157">
        <v>8.7154506193243594E-2</v>
      </c>
      <c r="I157" t="s">
        <v>100</v>
      </c>
      <c r="J157" t="s">
        <v>15</v>
      </c>
      <c r="K157" s="2" t="b">
        <v>1</v>
      </c>
      <c r="L157">
        <v>6</v>
      </c>
    </row>
    <row r="158" spans="1:12" x14ac:dyDescent="0.25">
      <c r="A158" t="s">
        <v>94</v>
      </c>
      <c r="B158" t="s">
        <v>69</v>
      </c>
      <c r="C158">
        <v>26</v>
      </c>
      <c r="D158" s="1">
        <v>13.309463421216501</v>
      </c>
      <c r="E158">
        <v>10</v>
      </c>
      <c r="F158">
        <v>1739.31730076793</v>
      </c>
      <c r="G158">
        <v>3.5452146951684797E-2</v>
      </c>
      <c r="H158">
        <v>7.3257731110320606E-2</v>
      </c>
      <c r="I158" t="s">
        <v>100</v>
      </c>
      <c r="J158" t="s">
        <v>15</v>
      </c>
      <c r="K158" s="2" t="b">
        <v>1</v>
      </c>
      <c r="L158">
        <v>6</v>
      </c>
    </row>
    <row r="159" spans="1:12" x14ac:dyDescent="0.25">
      <c r="A159" t="s">
        <v>95</v>
      </c>
      <c r="B159" t="s">
        <v>69</v>
      </c>
      <c r="C159">
        <v>27</v>
      </c>
      <c r="D159" s="1">
        <v>13.6761890520362</v>
      </c>
      <c r="E159">
        <v>10</v>
      </c>
      <c r="F159">
        <v>1692.0669658838599</v>
      </c>
      <c r="G159">
        <v>6.6469029893422293E-2</v>
      </c>
      <c r="H159">
        <v>6.8910991516000705E-2</v>
      </c>
      <c r="I159" t="s">
        <v>100</v>
      </c>
      <c r="J159" t="s">
        <v>15</v>
      </c>
      <c r="K159" s="2" t="b">
        <v>1</v>
      </c>
      <c r="L159">
        <v>6</v>
      </c>
    </row>
    <row r="160" spans="1:12" x14ac:dyDescent="0.25">
      <c r="A160" t="s">
        <v>96</v>
      </c>
      <c r="B160" t="s">
        <v>69</v>
      </c>
      <c r="C160">
        <v>28</v>
      </c>
      <c r="D160" s="1">
        <v>14.092119036095101</v>
      </c>
      <c r="E160">
        <v>10</v>
      </c>
      <c r="F160">
        <v>1928.0842602729299</v>
      </c>
      <c r="G160">
        <v>4.4077929426196497E-2</v>
      </c>
      <c r="H160">
        <v>0.10286241035921299</v>
      </c>
      <c r="I160" t="s">
        <v>100</v>
      </c>
      <c r="J160" t="s">
        <v>15</v>
      </c>
      <c r="K160" s="2" t="b">
        <v>1</v>
      </c>
      <c r="L160">
        <v>6</v>
      </c>
    </row>
    <row r="161" spans="1:12" x14ac:dyDescent="0.25">
      <c r="A161" t="s">
        <v>97</v>
      </c>
      <c r="B161" t="s">
        <v>69</v>
      </c>
      <c r="C161">
        <v>29</v>
      </c>
      <c r="D161" s="1">
        <v>15.246396075358099</v>
      </c>
      <c r="E161">
        <v>10</v>
      </c>
      <c r="F161">
        <v>1797.5667650666101</v>
      </c>
      <c r="G161">
        <v>4.9959323622E-2</v>
      </c>
      <c r="H161">
        <v>7.7664954663469093E-2</v>
      </c>
      <c r="I161" t="s">
        <v>100</v>
      </c>
      <c r="J161" t="s">
        <v>15</v>
      </c>
      <c r="K161" s="2" t="b">
        <v>1</v>
      </c>
      <c r="L161">
        <v>6</v>
      </c>
    </row>
    <row r="162" spans="1:12" x14ac:dyDescent="0.25">
      <c r="A162" t="s">
        <v>98</v>
      </c>
      <c r="B162" t="s">
        <v>69</v>
      </c>
      <c r="C162">
        <v>30</v>
      </c>
      <c r="D162" s="1">
        <v>15.619059905852099</v>
      </c>
      <c r="E162">
        <v>8</v>
      </c>
      <c r="F162">
        <v>1459.17813936271</v>
      </c>
      <c r="G162">
        <v>6.3078239436967706E-2</v>
      </c>
      <c r="H162">
        <v>6.9547626308685703E-2</v>
      </c>
      <c r="I162" t="s">
        <v>100</v>
      </c>
      <c r="J162" t="s">
        <v>15</v>
      </c>
      <c r="K162" s="2" t="b">
        <v>1</v>
      </c>
      <c r="L162">
        <v>6</v>
      </c>
    </row>
    <row r="163" spans="1:12" x14ac:dyDescent="0.25">
      <c r="A163" t="s">
        <v>99</v>
      </c>
      <c r="B163" t="s">
        <v>69</v>
      </c>
      <c r="C163">
        <v>31</v>
      </c>
      <c r="D163" s="1">
        <v>16.469062617543301</v>
      </c>
      <c r="E163">
        <v>10</v>
      </c>
      <c r="F163">
        <v>1567.64206478246</v>
      </c>
      <c r="G163">
        <v>2.6078029893421801E-2</v>
      </c>
      <c r="H163">
        <v>7.5204224659586705E-2</v>
      </c>
      <c r="I163" t="s">
        <v>100</v>
      </c>
      <c r="J163" t="s">
        <v>15</v>
      </c>
      <c r="K163" s="2" t="b">
        <v>1</v>
      </c>
      <c r="L163">
        <v>6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82"/>
  <sheetViews>
    <sheetView topLeftCell="B1" workbookViewId="0">
      <selection activeCell="M2" sqref="M2"/>
    </sheetView>
  </sheetViews>
  <sheetFormatPr defaultColWidth="11.42578125" defaultRowHeight="15" x14ac:dyDescent="0.25"/>
  <cols>
    <col min="4" max="4" width="11.42578125" style="1"/>
    <col min="21" max="22" width="22.140625" style="2" customWidth="1"/>
  </cols>
  <sheetData>
    <row r="1" spans="1:22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131</v>
      </c>
      <c r="Q1" t="s">
        <v>132</v>
      </c>
      <c r="R1" t="s">
        <v>9</v>
      </c>
      <c r="S1" t="s">
        <v>10</v>
      </c>
      <c r="T1" t="s">
        <v>11</v>
      </c>
      <c r="U1" s="2" t="s">
        <v>133</v>
      </c>
      <c r="V1" s="2" t="s">
        <v>134</v>
      </c>
    </row>
    <row r="2" spans="1:22" x14ac:dyDescent="0.25">
      <c r="A2" t="s">
        <v>12</v>
      </c>
      <c r="B2" t="s">
        <v>13</v>
      </c>
      <c r="C2">
        <v>1</v>
      </c>
      <c r="D2" s="1">
        <v>1.7990217170728999</v>
      </c>
      <c r="E2">
        <v>18</v>
      </c>
      <c r="F2">
        <v>2065.0501729551602</v>
      </c>
      <c r="G2">
        <v>9.6206733756806995E-2</v>
      </c>
      <c r="H2">
        <v>0.19909389901791</v>
      </c>
      <c r="I2">
        <v>1.8057511779981399</v>
      </c>
      <c r="J2">
        <v>5.4977325776229602</v>
      </c>
      <c r="K2">
        <v>1.72681</v>
      </c>
      <c r="L2">
        <v>6.5474999999999603E-2</v>
      </c>
      <c r="M2">
        <v>0.16368749999999899</v>
      </c>
      <c r="N2">
        <v>0.76968256086721498</v>
      </c>
      <c r="O2">
        <v>0.77777777777777801</v>
      </c>
      <c r="P2">
        <v>0.54977325776229602</v>
      </c>
      <c r="Q2" t="s">
        <v>135</v>
      </c>
      <c r="R2" t="s">
        <v>136</v>
      </c>
      <c r="S2" t="b">
        <v>1</v>
      </c>
      <c r="T2">
        <v>6</v>
      </c>
      <c r="U2" s="2">
        <v>7.2211717072902401E-2</v>
      </c>
      <c r="V2" s="2">
        <v>-6.7294609252419599E-3</v>
      </c>
    </row>
    <row r="3" spans="1:22" x14ac:dyDescent="0.25">
      <c r="A3" t="s">
        <v>16</v>
      </c>
      <c r="B3" t="s">
        <v>13</v>
      </c>
      <c r="C3">
        <v>2</v>
      </c>
      <c r="D3" s="1">
        <v>3.0783759194513198</v>
      </c>
      <c r="E3">
        <v>20</v>
      </c>
      <c r="F3">
        <v>2694.1578965777899</v>
      </c>
      <c r="G3">
        <v>5.9732742721418902E-2</v>
      </c>
      <c r="H3">
        <v>0.119143824228998</v>
      </c>
      <c r="I3">
        <v>3.0865902063083301</v>
      </c>
      <c r="J3">
        <v>6.0429349849528204</v>
      </c>
      <c r="K3">
        <v>3.0512199999999998</v>
      </c>
      <c r="L3">
        <v>3.1029249999999099E-2</v>
      </c>
      <c r="M3">
        <v>7.75731249999978E-2</v>
      </c>
      <c r="N3">
        <v>0.84601089789339501</v>
      </c>
      <c r="O3">
        <v>0.8</v>
      </c>
      <c r="P3">
        <v>0.60429349849528202</v>
      </c>
      <c r="Q3" t="s">
        <v>135</v>
      </c>
      <c r="R3" t="s">
        <v>136</v>
      </c>
      <c r="S3" t="b">
        <v>1</v>
      </c>
      <c r="T3">
        <v>6</v>
      </c>
      <c r="U3" s="2">
        <v>2.71559194513178E-2</v>
      </c>
      <c r="V3" s="2">
        <v>-8.2142868570098705E-3</v>
      </c>
    </row>
    <row r="4" spans="1:22" x14ac:dyDescent="0.25">
      <c r="A4" t="s">
        <v>17</v>
      </c>
      <c r="B4" t="s">
        <v>13</v>
      </c>
      <c r="C4">
        <v>3</v>
      </c>
      <c r="D4" s="1">
        <v>4.4155807146085602</v>
      </c>
      <c r="E4">
        <v>20</v>
      </c>
      <c r="F4">
        <v>2788.6247359838599</v>
      </c>
      <c r="G4">
        <v>5.8145742721419098E-2</v>
      </c>
      <c r="H4">
        <v>7.7590798577244602E-2</v>
      </c>
      <c r="I4">
        <v>4.4216145621793403</v>
      </c>
      <c r="J4">
        <v>5.7375497129443298</v>
      </c>
      <c r="K4">
        <v>4.3903410000000003</v>
      </c>
      <c r="L4">
        <v>2.71017499999999E-2</v>
      </c>
      <c r="M4">
        <v>6.7754374999999797E-2</v>
      </c>
      <c r="N4">
        <v>0.80325695981220602</v>
      </c>
      <c r="O4">
        <v>0.8</v>
      </c>
      <c r="P4">
        <v>0.57375497129443298</v>
      </c>
      <c r="Q4" t="s">
        <v>135</v>
      </c>
      <c r="R4" t="s">
        <v>136</v>
      </c>
      <c r="S4" t="b">
        <v>1</v>
      </c>
      <c r="T4">
        <v>6</v>
      </c>
      <c r="U4" s="2">
        <v>2.5239714608563401E-2</v>
      </c>
      <c r="V4" s="2">
        <v>-6.03384757077752E-3</v>
      </c>
    </row>
    <row r="5" spans="1:22" x14ac:dyDescent="0.25">
      <c r="A5" t="s">
        <v>18</v>
      </c>
      <c r="B5" t="s">
        <v>13</v>
      </c>
      <c r="C5">
        <v>4</v>
      </c>
      <c r="D5" s="1">
        <v>5.6887538192443499</v>
      </c>
      <c r="E5">
        <v>20</v>
      </c>
      <c r="F5">
        <v>2964.2226416826602</v>
      </c>
      <c r="G5">
        <v>4.3056211826702599E-2</v>
      </c>
      <c r="H5">
        <v>0.120272826750708</v>
      </c>
      <c r="I5">
        <v>5.6754491417431501</v>
      </c>
      <c r="J5">
        <v>6.2075675762417797</v>
      </c>
      <c r="K5">
        <v>5.6583350000000001</v>
      </c>
      <c r="L5">
        <v>3.3195000000000502E-2</v>
      </c>
      <c r="M5">
        <v>8.2987500000001296E-2</v>
      </c>
      <c r="N5">
        <v>0.86905946067384998</v>
      </c>
      <c r="O5">
        <v>0.85</v>
      </c>
      <c r="P5">
        <v>0.62075675762417803</v>
      </c>
      <c r="Q5" t="s">
        <v>135</v>
      </c>
      <c r="R5" t="s">
        <v>136</v>
      </c>
      <c r="S5" t="b">
        <v>1</v>
      </c>
      <c r="T5">
        <v>6</v>
      </c>
      <c r="U5" s="2">
        <v>3.0418819244352399E-2</v>
      </c>
      <c r="V5" s="2">
        <v>1.33046775012007E-2</v>
      </c>
    </row>
    <row r="6" spans="1:22" x14ac:dyDescent="0.25">
      <c r="A6" t="s">
        <v>19</v>
      </c>
      <c r="B6" t="s">
        <v>13</v>
      </c>
      <c r="C6">
        <v>5</v>
      </c>
      <c r="D6" s="1">
        <v>7.0975304996606896</v>
      </c>
      <c r="E6">
        <v>20</v>
      </c>
      <c r="F6">
        <v>2708.59528657283</v>
      </c>
      <c r="G6">
        <v>5.6900424160476498E-2</v>
      </c>
      <c r="H6">
        <v>0.16951840498316401</v>
      </c>
      <c r="I6">
        <v>7.0968741125200703</v>
      </c>
      <c r="J6">
        <v>5.4492020483547696</v>
      </c>
      <c r="K6">
        <v>7.0779284999999996</v>
      </c>
      <c r="L6">
        <v>4.5352249999998297E-2</v>
      </c>
      <c r="M6">
        <v>0.113380624999996</v>
      </c>
      <c r="N6">
        <v>0.76288828676966802</v>
      </c>
      <c r="O6">
        <v>0.75</v>
      </c>
      <c r="P6">
        <v>0.54492020483547698</v>
      </c>
      <c r="Q6" t="s">
        <v>135</v>
      </c>
      <c r="R6" t="s">
        <v>136</v>
      </c>
      <c r="S6" t="b">
        <v>1</v>
      </c>
      <c r="T6">
        <v>6</v>
      </c>
      <c r="U6" s="2">
        <v>1.9601999660693498E-2</v>
      </c>
      <c r="V6" s="2">
        <v>6.5638714062021797E-4</v>
      </c>
    </row>
    <row r="7" spans="1:22" x14ac:dyDescent="0.25">
      <c r="A7" t="s">
        <v>20</v>
      </c>
      <c r="B7" t="s">
        <v>13</v>
      </c>
      <c r="C7">
        <v>6</v>
      </c>
      <c r="D7" s="1">
        <v>8.3411814257107899</v>
      </c>
      <c r="E7">
        <v>20</v>
      </c>
      <c r="F7">
        <v>2744.0397314574998</v>
      </c>
      <c r="G7">
        <v>6.8318890282102099E-2</v>
      </c>
      <c r="H7">
        <v>0.14488657648125899</v>
      </c>
      <c r="I7">
        <v>8.3393192071814699</v>
      </c>
      <c r="J7">
        <v>5.7375497129443298</v>
      </c>
      <c r="K7">
        <v>8.3173110000000001</v>
      </c>
      <c r="L7">
        <v>2.9761749999999601E-2</v>
      </c>
      <c r="M7">
        <v>7.4404374999998996E-2</v>
      </c>
      <c r="N7">
        <v>0.80325695981220602</v>
      </c>
      <c r="O7">
        <v>0.8</v>
      </c>
      <c r="P7">
        <v>0.57375497129443298</v>
      </c>
      <c r="Q7" t="s">
        <v>135</v>
      </c>
      <c r="R7" t="s">
        <v>136</v>
      </c>
      <c r="S7" t="b">
        <v>1</v>
      </c>
      <c r="T7">
        <v>6</v>
      </c>
      <c r="U7" s="2">
        <v>2.3870425710789799E-2</v>
      </c>
      <c r="V7" s="2">
        <v>1.8622185293235599E-3</v>
      </c>
    </row>
    <row r="8" spans="1:22" x14ac:dyDescent="0.25">
      <c r="A8" t="s">
        <v>21</v>
      </c>
      <c r="B8" t="s">
        <v>13</v>
      </c>
      <c r="C8">
        <v>7</v>
      </c>
      <c r="D8" s="1">
        <v>9.5839365288527993</v>
      </c>
      <c r="E8">
        <v>20</v>
      </c>
      <c r="F8">
        <v>2504.8834304550601</v>
      </c>
      <c r="G8">
        <v>4.0465240503165398E-2</v>
      </c>
      <c r="H8">
        <v>0.15291390331955901</v>
      </c>
      <c r="I8">
        <v>9.5846726968805704</v>
      </c>
      <c r="J8">
        <v>5.54600204399717</v>
      </c>
      <c r="K8">
        <v>9.5746210000000005</v>
      </c>
      <c r="L8">
        <v>2.4867500000000001E-2</v>
      </c>
      <c r="M8">
        <v>6.2168750000000099E-2</v>
      </c>
      <c r="N8">
        <v>0.77644028615960403</v>
      </c>
      <c r="O8">
        <v>0.75</v>
      </c>
      <c r="P8">
        <v>0.55460020439971702</v>
      </c>
      <c r="Q8" t="s">
        <v>135</v>
      </c>
      <c r="R8" t="s">
        <v>136</v>
      </c>
      <c r="S8" t="b">
        <v>1</v>
      </c>
      <c r="T8">
        <v>6</v>
      </c>
      <c r="U8" s="2">
        <v>9.3155288527988506E-3</v>
      </c>
      <c r="V8" s="2">
        <v>-7.3616802776754796E-4</v>
      </c>
    </row>
    <row r="9" spans="1:22" x14ac:dyDescent="0.25">
      <c r="A9" t="s">
        <v>22</v>
      </c>
      <c r="B9" t="s">
        <v>13</v>
      </c>
      <c r="C9">
        <v>8</v>
      </c>
      <c r="D9" s="1">
        <v>12.368206414692001</v>
      </c>
      <c r="E9">
        <v>20</v>
      </c>
      <c r="F9">
        <v>2997.6145903008901</v>
      </c>
      <c r="G9">
        <v>0.166057391397162</v>
      </c>
      <c r="H9">
        <v>0.20706919703880999</v>
      </c>
      <c r="I9">
        <v>12.375129669085799</v>
      </c>
      <c r="J9">
        <v>7.1428571428571397</v>
      </c>
      <c r="K9">
        <v>12.327937</v>
      </c>
      <c r="L9">
        <v>0.12523599999999899</v>
      </c>
      <c r="M9">
        <v>0.31308999999999798</v>
      </c>
      <c r="N9">
        <v>1</v>
      </c>
      <c r="O9">
        <v>1</v>
      </c>
      <c r="P9">
        <v>0.71428571428571397</v>
      </c>
      <c r="Q9" t="s">
        <v>137</v>
      </c>
      <c r="R9" t="s">
        <v>136</v>
      </c>
      <c r="S9" t="b">
        <v>1</v>
      </c>
      <c r="T9">
        <v>6</v>
      </c>
      <c r="U9" s="2">
        <v>4.0269414691978901E-2</v>
      </c>
      <c r="V9" s="2">
        <v>-6.9232543938006997E-3</v>
      </c>
    </row>
    <row r="10" spans="1:22" x14ac:dyDescent="0.25">
      <c r="A10" t="s">
        <v>23</v>
      </c>
      <c r="B10" t="s">
        <v>13</v>
      </c>
      <c r="C10">
        <v>9</v>
      </c>
      <c r="D10" s="1">
        <v>13.680665692348001</v>
      </c>
      <c r="E10">
        <v>20</v>
      </c>
      <c r="F10">
        <v>2513.4021542784799</v>
      </c>
      <c r="G10">
        <v>9.2447471267335796E-2</v>
      </c>
      <c r="H10">
        <v>0.11869027424431899</v>
      </c>
      <c r="I10">
        <v>13.6694458883715</v>
      </c>
      <c r="J10">
        <v>5.7358868679491302</v>
      </c>
      <c r="K10">
        <v>13.648125</v>
      </c>
      <c r="L10">
        <v>2.6534250000001001E-2</v>
      </c>
      <c r="M10">
        <v>6.6335625000002493E-2</v>
      </c>
      <c r="N10">
        <v>0.80302416151287803</v>
      </c>
      <c r="O10">
        <v>0.8</v>
      </c>
      <c r="P10">
        <v>0.57358868679491304</v>
      </c>
      <c r="Q10" t="s">
        <v>135</v>
      </c>
      <c r="R10" t="s">
        <v>136</v>
      </c>
      <c r="S10" t="b">
        <v>1</v>
      </c>
      <c r="T10">
        <v>6</v>
      </c>
      <c r="U10" s="2">
        <v>3.2540692347996697E-2</v>
      </c>
      <c r="V10" s="2">
        <v>1.1219803976478799E-2</v>
      </c>
    </row>
    <row r="11" spans="1:22" x14ac:dyDescent="0.25">
      <c r="A11" t="s">
        <v>24</v>
      </c>
      <c r="B11" t="s">
        <v>13</v>
      </c>
      <c r="C11">
        <v>10</v>
      </c>
      <c r="D11" s="1">
        <v>15.150197976715701</v>
      </c>
      <c r="E11">
        <v>20</v>
      </c>
      <c r="F11">
        <v>2550.4630209247898</v>
      </c>
      <c r="G11">
        <v>7.4007405369405102E-2</v>
      </c>
      <c r="H11">
        <v>0.111950276835036</v>
      </c>
      <c r="I11">
        <v>15.139703748139601</v>
      </c>
      <c r="J11">
        <v>5.21149272005706</v>
      </c>
      <c r="K11">
        <v>15.1230665</v>
      </c>
      <c r="L11">
        <v>2.58760000000011E-2</v>
      </c>
      <c r="M11">
        <v>6.4690000000002801E-2</v>
      </c>
      <c r="N11">
        <v>0.72960898080798897</v>
      </c>
      <c r="O11">
        <v>0.7</v>
      </c>
      <c r="P11">
        <v>0.52114927200570604</v>
      </c>
      <c r="Q11" t="s">
        <v>135</v>
      </c>
      <c r="R11" t="s">
        <v>136</v>
      </c>
      <c r="S11" t="b">
        <v>1</v>
      </c>
      <c r="T11">
        <v>6</v>
      </c>
      <c r="U11" s="2">
        <v>2.7131476715702301E-2</v>
      </c>
      <c r="V11" s="2">
        <v>1.04942285760838E-2</v>
      </c>
    </row>
    <row r="12" spans="1:22" x14ac:dyDescent="0.25">
      <c r="A12" t="s">
        <v>25</v>
      </c>
      <c r="B12" t="s">
        <v>13</v>
      </c>
      <c r="C12">
        <v>11</v>
      </c>
      <c r="D12" s="1">
        <v>16.401699465568299</v>
      </c>
      <c r="E12">
        <v>20</v>
      </c>
      <c r="F12">
        <v>3089.4935775692402</v>
      </c>
      <c r="G12">
        <v>6.3346080241343E-2</v>
      </c>
      <c r="H12">
        <v>0.111573208658104</v>
      </c>
      <c r="I12">
        <v>16.386000278334102</v>
      </c>
      <c r="J12">
        <v>6.2075675762417797</v>
      </c>
      <c r="K12">
        <v>16.36486</v>
      </c>
      <c r="L12">
        <v>2.2188249999999202E-2</v>
      </c>
      <c r="M12">
        <v>5.5470624999998101E-2</v>
      </c>
      <c r="N12">
        <v>0.86905946067384998</v>
      </c>
      <c r="O12">
        <v>0.85</v>
      </c>
      <c r="P12">
        <v>0.62075675762417803</v>
      </c>
      <c r="Q12" t="s">
        <v>135</v>
      </c>
      <c r="R12" t="s">
        <v>136</v>
      </c>
      <c r="S12" t="b">
        <v>1</v>
      </c>
      <c r="T12">
        <v>6</v>
      </c>
      <c r="U12" s="2">
        <v>3.6839465568270703E-2</v>
      </c>
      <c r="V12" s="2">
        <v>1.5699187234158501E-2</v>
      </c>
    </row>
    <row r="13" spans="1:22" x14ac:dyDescent="0.25">
      <c r="A13" t="s">
        <v>26</v>
      </c>
      <c r="B13" t="s">
        <v>13</v>
      </c>
      <c r="C13">
        <v>12</v>
      </c>
      <c r="D13" s="1">
        <v>17.670066334169199</v>
      </c>
      <c r="E13">
        <v>20</v>
      </c>
      <c r="F13">
        <v>2584.90435889316</v>
      </c>
      <c r="G13">
        <v>4.6018471267336797E-2</v>
      </c>
      <c r="H13">
        <v>8.9647512838540902E-2</v>
      </c>
      <c r="I13">
        <v>17.663770963710999</v>
      </c>
      <c r="J13">
        <v>5.4836957157475696</v>
      </c>
      <c r="K13">
        <v>17.643683500000002</v>
      </c>
      <c r="L13">
        <v>2.00715000000002E-2</v>
      </c>
      <c r="M13">
        <v>5.0178750000000598E-2</v>
      </c>
      <c r="N13">
        <v>0.76771740020465995</v>
      </c>
      <c r="O13">
        <v>0.75</v>
      </c>
      <c r="P13">
        <v>0.54836957157475696</v>
      </c>
      <c r="Q13" t="s">
        <v>135</v>
      </c>
      <c r="R13" t="s">
        <v>136</v>
      </c>
      <c r="S13" t="b">
        <v>1</v>
      </c>
      <c r="T13">
        <v>6</v>
      </c>
      <c r="U13" s="2">
        <v>2.6382834169222501E-2</v>
      </c>
      <c r="V13" s="2">
        <v>6.29537045822204E-3</v>
      </c>
    </row>
    <row r="14" spans="1:22" x14ac:dyDescent="0.25">
      <c r="A14" t="s">
        <v>27</v>
      </c>
      <c r="B14" t="s">
        <v>13</v>
      </c>
      <c r="C14">
        <v>13</v>
      </c>
      <c r="D14" s="1">
        <v>18.965383746784699</v>
      </c>
      <c r="E14">
        <v>20</v>
      </c>
      <c r="F14">
        <v>2113.2295698365801</v>
      </c>
      <c r="G14">
        <v>8.3226235469801693E-2</v>
      </c>
      <c r="H14">
        <v>0.19607303088325601</v>
      </c>
      <c r="I14">
        <v>18.9723892584054</v>
      </c>
      <c r="J14">
        <v>4.5263337178218102</v>
      </c>
      <c r="K14">
        <v>18.943350500000001</v>
      </c>
      <c r="L14">
        <v>3.09662499999988E-2</v>
      </c>
      <c r="M14">
        <v>7.7415624999996893E-2</v>
      </c>
      <c r="N14">
        <v>0.63368672049505304</v>
      </c>
      <c r="O14">
        <v>0.6</v>
      </c>
      <c r="P14">
        <v>0.45263337178218099</v>
      </c>
      <c r="Q14" t="s">
        <v>138</v>
      </c>
      <c r="R14" t="s">
        <v>136</v>
      </c>
      <c r="S14" t="b">
        <v>1</v>
      </c>
      <c r="T14">
        <v>6</v>
      </c>
      <c r="U14" s="2">
        <v>2.2033246784694399E-2</v>
      </c>
      <c r="V14" s="2">
        <v>-7.00551162071861E-3</v>
      </c>
    </row>
    <row r="15" spans="1:22" x14ac:dyDescent="0.25">
      <c r="A15" t="s">
        <v>28</v>
      </c>
      <c r="B15" t="s">
        <v>13</v>
      </c>
      <c r="C15">
        <v>14</v>
      </c>
      <c r="D15" s="1">
        <v>20.262619068349501</v>
      </c>
      <c r="E15">
        <v>20</v>
      </c>
      <c r="F15">
        <v>2665.2158265055</v>
      </c>
      <c r="G15">
        <v>7.2525390282101698E-2</v>
      </c>
      <c r="H15">
        <v>0.100269766051568</v>
      </c>
      <c r="I15">
        <v>20.267123710578201</v>
      </c>
      <c r="J15">
        <v>5.1120167485829304</v>
      </c>
      <c r="K15">
        <v>20.243604999999999</v>
      </c>
      <c r="L15">
        <v>1.40157500000022E-2</v>
      </c>
      <c r="M15">
        <v>3.50393750000055E-2</v>
      </c>
      <c r="N15">
        <v>0.71568234480160997</v>
      </c>
      <c r="O15">
        <v>0.7</v>
      </c>
      <c r="P15">
        <v>0.51120167485829304</v>
      </c>
      <c r="Q15" t="s">
        <v>135</v>
      </c>
      <c r="R15" t="s">
        <v>136</v>
      </c>
      <c r="S15" t="b">
        <v>1</v>
      </c>
      <c r="T15">
        <v>6</v>
      </c>
      <c r="U15" s="2">
        <v>1.90140683494988E-2</v>
      </c>
      <c r="V15" s="2">
        <v>-4.5046422286958397E-3</v>
      </c>
    </row>
    <row r="16" spans="1:22" x14ac:dyDescent="0.25">
      <c r="A16" t="s">
        <v>29</v>
      </c>
      <c r="B16" t="s">
        <v>13</v>
      </c>
      <c r="C16">
        <v>15</v>
      </c>
      <c r="D16" s="1">
        <v>21.567247815232498</v>
      </c>
      <c r="E16">
        <v>20</v>
      </c>
      <c r="F16">
        <v>2543.7717275468199</v>
      </c>
      <c r="G16">
        <v>4.9522575687659998E-2</v>
      </c>
      <c r="H16">
        <v>9.34410694849067E-2</v>
      </c>
      <c r="I16">
        <v>21.556446816145101</v>
      </c>
      <c r="J16">
        <v>5.2470137592914803</v>
      </c>
      <c r="K16">
        <v>21.540012999999998</v>
      </c>
      <c r="L16">
        <v>1.6580500000001702E-2</v>
      </c>
      <c r="M16">
        <v>4.14512500000042E-2</v>
      </c>
      <c r="N16">
        <v>0.73458192630080699</v>
      </c>
      <c r="O16">
        <v>0.7</v>
      </c>
      <c r="P16">
        <v>0.52470137592914801</v>
      </c>
      <c r="Q16" t="s">
        <v>135</v>
      </c>
      <c r="R16" t="s">
        <v>136</v>
      </c>
      <c r="S16" t="b">
        <v>1</v>
      </c>
      <c r="T16">
        <v>6</v>
      </c>
      <c r="U16" s="2">
        <v>2.7234815232493E-2</v>
      </c>
      <c r="V16" s="2">
        <v>1.0800999087429399E-2</v>
      </c>
    </row>
    <row r="17" spans="1:22" x14ac:dyDescent="0.25">
      <c r="A17" t="s">
        <v>30</v>
      </c>
      <c r="B17" t="s">
        <v>13</v>
      </c>
      <c r="C17">
        <v>16</v>
      </c>
      <c r="D17" s="1">
        <v>22.882399691107199</v>
      </c>
      <c r="E17">
        <v>20</v>
      </c>
      <c r="F17">
        <v>2470.91770984702</v>
      </c>
      <c r="G17">
        <v>8.4840103277861206E-2</v>
      </c>
      <c r="H17">
        <v>0.165777708855498</v>
      </c>
      <c r="I17">
        <v>22.882667016514599</v>
      </c>
      <c r="J17">
        <v>5.0328999921952899</v>
      </c>
      <c r="K17">
        <v>22.875431500000001</v>
      </c>
      <c r="L17">
        <v>3.1961500000001301E-2</v>
      </c>
      <c r="M17">
        <v>7.9903750000003299E-2</v>
      </c>
      <c r="N17">
        <v>0.70460599890734099</v>
      </c>
      <c r="O17">
        <v>0.65</v>
      </c>
      <c r="P17">
        <v>0.50328999921952899</v>
      </c>
      <c r="Q17" t="s">
        <v>135</v>
      </c>
      <c r="R17" t="s">
        <v>136</v>
      </c>
      <c r="S17" t="b">
        <v>1</v>
      </c>
      <c r="T17">
        <v>6</v>
      </c>
      <c r="U17" s="2">
        <v>6.9681911072443396E-3</v>
      </c>
      <c r="V17" s="2">
        <v>-2.6732540737128802E-4</v>
      </c>
    </row>
    <row r="18" spans="1:22" x14ac:dyDescent="0.25">
      <c r="A18" t="s">
        <v>31</v>
      </c>
      <c r="B18" t="s">
        <v>32</v>
      </c>
      <c r="C18">
        <v>1</v>
      </c>
      <c r="D18" s="1">
        <v>1.2756386986353201</v>
      </c>
      <c r="E18">
        <v>20</v>
      </c>
      <c r="F18">
        <v>2824.1568359973999</v>
      </c>
      <c r="G18">
        <v>7.5423515087303494E-2</v>
      </c>
      <c r="H18">
        <v>0.17073026274971201</v>
      </c>
      <c r="I18">
        <v>1.2728540876266801</v>
      </c>
      <c r="J18">
        <v>5.3594446718509898</v>
      </c>
      <c r="K18">
        <v>1.2426379999999999</v>
      </c>
      <c r="L18">
        <v>2.0446999999999001E-2</v>
      </c>
      <c r="M18">
        <v>5.1117499999997498E-2</v>
      </c>
      <c r="N18">
        <v>0.75032225405913899</v>
      </c>
      <c r="O18">
        <v>0.7</v>
      </c>
      <c r="P18">
        <v>0.53594446718509903</v>
      </c>
      <c r="Q18" t="s">
        <v>135</v>
      </c>
      <c r="R18" t="s">
        <v>136</v>
      </c>
      <c r="S18" t="b">
        <v>1</v>
      </c>
      <c r="T18">
        <v>6</v>
      </c>
      <c r="U18" s="2">
        <v>3.3000698635322602E-2</v>
      </c>
      <c r="V18" s="2">
        <v>2.7846110086449101E-3</v>
      </c>
    </row>
    <row r="19" spans="1:22" x14ac:dyDescent="0.25">
      <c r="A19" t="s">
        <v>33</v>
      </c>
      <c r="B19" t="s">
        <v>32</v>
      </c>
      <c r="C19">
        <v>2</v>
      </c>
      <c r="D19" s="1">
        <v>3.9123578000713799</v>
      </c>
      <c r="E19">
        <v>20</v>
      </c>
      <c r="F19">
        <v>2962.9064911677601</v>
      </c>
      <c r="G19">
        <v>9.2372622946251495E-2</v>
      </c>
      <c r="H19">
        <v>0.15356611220924099</v>
      </c>
      <c r="I19">
        <v>3.8915824997509101</v>
      </c>
      <c r="J19">
        <v>6.3503761838344799</v>
      </c>
      <c r="K19">
        <v>3.8517920000000001</v>
      </c>
      <c r="L19">
        <v>4.4275000000000703E-2</v>
      </c>
      <c r="M19">
        <v>0.11068750000000201</v>
      </c>
      <c r="N19">
        <v>0.88905266573682695</v>
      </c>
      <c r="O19">
        <v>0.9</v>
      </c>
      <c r="P19">
        <v>0.63503761838344797</v>
      </c>
      <c r="Q19" t="s">
        <v>135</v>
      </c>
      <c r="R19" t="s">
        <v>136</v>
      </c>
      <c r="S19" t="b">
        <v>1</v>
      </c>
      <c r="T19">
        <v>6</v>
      </c>
      <c r="U19" s="2">
        <v>6.0565800071383798E-2</v>
      </c>
      <c r="V19" s="2">
        <v>2.0775300320479102E-2</v>
      </c>
    </row>
    <row r="20" spans="1:22" x14ac:dyDescent="0.25">
      <c r="A20" t="s">
        <v>34</v>
      </c>
      <c r="B20" t="s">
        <v>32</v>
      </c>
      <c r="C20">
        <v>3</v>
      </c>
      <c r="D20" s="1">
        <v>6.6074046386588101</v>
      </c>
      <c r="E20">
        <v>20</v>
      </c>
      <c r="F20">
        <v>2701.42934948936</v>
      </c>
      <c r="G20">
        <v>7.5455039153354803E-2</v>
      </c>
      <c r="H20">
        <v>0.12603330880286601</v>
      </c>
      <c r="I20">
        <v>6.6123357138066199</v>
      </c>
      <c r="J20">
        <v>5.6467538349270496</v>
      </c>
      <c r="K20">
        <v>6.5702619999999996</v>
      </c>
      <c r="L20">
        <v>2.1176750000006201E-2</v>
      </c>
      <c r="M20">
        <v>5.2941875000015501E-2</v>
      </c>
      <c r="N20">
        <v>0.79054553688978701</v>
      </c>
      <c r="O20">
        <v>0.75</v>
      </c>
      <c r="P20">
        <v>0.56467538349270496</v>
      </c>
      <c r="Q20" t="s">
        <v>135</v>
      </c>
      <c r="R20" t="s">
        <v>136</v>
      </c>
      <c r="S20" t="b">
        <v>1</v>
      </c>
      <c r="T20">
        <v>6</v>
      </c>
      <c r="U20" s="2">
        <v>3.7142638658813197E-2</v>
      </c>
      <c r="V20" s="2">
        <v>-4.9310751478062204E-3</v>
      </c>
    </row>
    <row r="21" spans="1:22" x14ac:dyDescent="0.25">
      <c r="A21" t="s">
        <v>35</v>
      </c>
      <c r="B21" t="s">
        <v>32</v>
      </c>
      <c r="C21">
        <v>4</v>
      </c>
      <c r="D21" s="1">
        <v>9.2071446475716598</v>
      </c>
      <c r="E21">
        <v>20</v>
      </c>
      <c r="F21">
        <v>3019.7193169759798</v>
      </c>
      <c r="G21">
        <v>0.146393112045311</v>
      </c>
      <c r="H21">
        <v>0.23234075654854899</v>
      </c>
      <c r="I21">
        <v>9.1979725190211106</v>
      </c>
      <c r="J21">
        <v>5.4032888366183602</v>
      </c>
      <c r="K21">
        <v>9.154026</v>
      </c>
      <c r="L21">
        <v>7.1979000000000695E-2</v>
      </c>
      <c r="M21">
        <v>0.17994750000000201</v>
      </c>
      <c r="N21">
        <v>0.75646043712656996</v>
      </c>
      <c r="O21">
        <v>0.75</v>
      </c>
      <c r="P21">
        <v>0.54032888366183596</v>
      </c>
      <c r="Q21" t="s">
        <v>135</v>
      </c>
      <c r="R21" t="s">
        <v>136</v>
      </c>
      <c r="S21" t="b">
        <v>1</v>
      </c>
      <c r="T21">
        <v>6</v>
      </c>
      <c r="U21" s="2">
        <v>5.3118647571661598E-2</v>
      </c>
      <c r="V21" s="2">
        <v>9.1721285505528306E-3</v>
      </c>
    </row>
    <row r="22" spans="1:22" x14ac:dyDescent="0.25">
      <c r="A22" t="s">
        <v>36</v>
      </c>
      <c r="B22" t="s">
        <v>32</v>
      </c>
      <c r="C22">
        <v>5</v>
      </c>
      <c r="D22" s="1">
        <v>11.615877358092501</v>
      </c>
      <c r="E22">
        <v>20</v>
      </c>
      <c r="F22">
        <v>2468.1514353254202</v>
      </c>
      <c r="G22">
        <v>0.11259290388835801</v>
      </c>
      <c r="H22">
        <v>0.23492104302150499</v>
      </c>
      <c r="I22">
        <v>11.6205440605208</v>
      </c>
      <c r="J22">
        <v>4.63671884216952</v>
      </c>
      <c r="K22">
        <v>11.597098000000001</v>
      </c>
      <c r="L22">
        <v>3.76592500000026E-2</v>
      </c>
      <c r="M22">
        <v>9.4148125000006494E-2</v>
      </c>
      <c r="N22">
        <v>0.649140637903733</v>
      </c>
      <c r="O22">
        <v>0.6</v>
      </c>
      <c r="P22">
        <v>0.46367188421695199</v>
      </c>
      <c r="Q22" t="s">
        <v>138</v>
      </c>
      <c r="R22" t="s">
        <v>136</v>
      </c>
      <c r="S22" t="b">
        <v>1</v>
      </c>
      <c r="T22">
        <v>6</v>
      </c>
      <c r="U22" s="2">
        <v>1.8779358092540801E-2</v>
      </c>
      <c r="V22" s="2">
        <v>-4.6667024282616197E-3</v>
      </c>
    </row>
    <row r="23" spans="1:22" x14ac:dyDescent="0.25">
      <c r="A23" t="s">
        <v>37</v>
      </c>
      <c r="B23" t="s">
        <v>38</v>
      </c>
      <c r="C23">
        <v>1</v>
      </c>
      <c r="D23" s="1">
        <v>1.1617892303602</v>
      </c>
      <c r="E23">
        <v>19</v>
      </c>
      <c r="F23">
        <v>2818.3696803152502</v>
      </c>
      <c r="G23">
        <v>9.0029979850597006E-2</v>
      </c>
      <c r="H23">
        <v>0.14921008887239501</v>
      </c>
      <c r="I23">
        <v>1.1587610991481201</v>
      </c>
      <c r="J23">
        <v>6.8403376651508001</v>
      </c>
      <c r="K23">
        <v>1.134361</v>
      </c>
      <c r="L23">
        <v>7.3140999999998998E-2</v>
      </c>
      <c r="M23">
        <v>0.182852499999998</v>
      </c>
      <c r="N23">
        <v>0.95764727312111197</v>
      </c>
      <c r="O23">
        <v>0.94736842105263197</v>
      </c>
      <c r="P23">
        <v>0.68403376651507997</v>
      </c>
      <c r="Q23" t="s">
        <v>135</v>
      </c>
      <c r="R23" t="s">
        <v>136</v>
      </c>
      <c r="S23" t="b">
        <v>1</v>
      </c>
      <c r="T23">
        <v>6</v>
      </c>
      <c r="U23" s="2">
        <v>2.7428230360203601E-2</v>
      </c>
      <c r="V23" s="2">
        <v>3.0281312120816798E-3</v>
      </c>
    </row>
    <row r="24" spans="1:22" x14ac:dyDescent="0.25">
      <c r="A24" t="s">
        <v>39</v>
      </c>
      <c r="B24" t="s">
        <v>38</v>
      </c>
      <c r="C24">
        <v>2</v>
      </c>
      <c r="D24" s="1">
        <v>2.47044805454258</v>
      </c>
      <c r="E24">
        <v>20</v>
      </c>
      <c r="F24">
        <v>2676.0687994863001</v>
      </c>
      <c r="G24">
        <v>6.4368375166949904E-2</v>
      </c>
      <c r="H24">
        <v>9.3278362642330304E-2</v>
      </c>
      <c r="I24">
        <v>2.4603232968459401</v>
      </c>
      <c r="J24">
        <v>6.32909811721614</v>
      </c>
      <c r="K24">
        <v>2.4416000000000002</v>
      </c>
      <c r="L24">
        <v>2.42569999999982E-2</v>
      </c>
      <c r="M24">
        <v>6.0642499999995499E-2</v>
      </c>
      <c r="N24">
        <v>0.88607373641025999</v>
      </c>
      <c r="O24">
        <v>0.85</v>
      </c>
      <c r="P24">
        <v>0.63290981172161398</v>
      </c>
      <c r="Q24" t="s">
        <v>135</v>
      </c>
      <c r="R24" t="s">
        <v>136</v>
      </c>
      <c r="S24" t="b">
        <v>1</v>
      </c>
      <c r="T24">
        <v>6</v>
      </c>
      <c r="U24" s="2">
        <v>2.88480545425784E-2</v>
      </c>
      <c r="V24" s="2">
        <v>1.0124757696638099E-2</v>
      </c>
    </row>
    <row r="25" spans="1:22" x14ac:dyDescent="0.25">
      <c r="A25" t="s">
        <v>40</v>
      </c>
      <c r="B25" t="s">
        <v>38</v>
      </c>
      <c r="C25">
        <v>3</v>
      </c>
      <c r="D25" s="1">
        <v>3.8059519435565701</v>
      </c>
      <c r="E25">
        <v>20</v>
      </c>
      <c r="F25">
        <v>2191.18748070233</v>
      </c>
      <c r="G25">
        <v>8.4196811506721106E-2</v>
      </c>
      <c r="H25">
        <v>9.6369041666733199E-2</v>
      </c>
      <c r="I25">
        <v>3.8127298907009801</v>
      </c>
      <c r="J25">
        <v>5.02597514402773</v>
      </c>
      <c r="K25">
        <v>3.7837200000000002</v>
      </c>
      <c r="L25">
        <v>1.55332500000003E-2</v>
      </c>
      <c r="M25">
        <v>3.8833125000000697E-2</v>
      </c>
      <c r="N25">
        <v>0.70363652016388301</v>
      </c>
      <c r="O25">
        <v>0.7</v>
      </c>
      <c r="P25">
        <v>0.502597514402773</v>
      </c>
      <c r="Q25" t="s">
        <v>135</v>
      </c>
      <c r="R25" t="s">
        <v>136</v>
      </c>
      <c r="S25" t="b">
        <v>1</v>
      </c>
      <c r="T25">
        <v>6</v>
      </c>
      <c r="U25" s="2">
        <v>2.2231943556567699E-2</v>
      </c>
      <c r="V25" s="2">
        <v>-6.7779471444078298E-3</v>
      </c>
    </row>
    <row r="26" spans="1:22" x14ac:dyDescent="0.25">
      <c r="A26" t="s">
        <v>41</v>
      </c>
      <c r="B26" t="s">
        <v>38</v>
      </c>
      <c r="C26">
        <v>4</v>
      </c>
      <c r="D26" s="1">
        <v>5.0174881615147902</v>
      </c>
      <c r="E26">
        <v>20</v>
      </c>
      <c r="F26">
        <v>2633.2214066103902</v>
      </c>
      <c r="G26">
        <v>7.6409088994817395E-2</v>
      </c>
      <c r="H26">
        <v>9.4550039523576296E-2</v>
      </c>
      <c r="I26">
        <v>5.0172379703159198</v>
      </c>
      <c r="J26">
        <v>5.3594446718509898</v>
      </c>
      <c r="K26">
        <v>4.9979209999999998</v>
      </c>
      <c r="L26">
        <v>2.3199250000001101E-2</v>
      </c>
      <c r="M26">
        <v>5.7998125000002801E-2</v>
      </c>
      <c r="N26">
        <v>0.75032225405913899</v>
      </c>
      <c r="O26">
        <v>0.7</v>
      </c>
      <c r="P26">
        <v>0.53594446718509903</v>
      </c>
      <c r="Q26" t="s">
        <v>135</v>
      </c>
      <c r="R26" t="s">
        <v>136</v>
      </c>
      <c r="S26" t="b">
        <v>1</v>
      </c>
      <c r="T26">
        <v>6</v>
      </c>
      <c r="U26" s="2">
        <v>1.95671615147885E-2</v>
      </c>
      <c r="V26" s="2">
        <v>2.5019119887392799E-4</v>
      </c>
    </row>
    <row r="27" spans="1:22" x14ac:dyDescent="0.25">
      <c r="A27" t="s">
        <v>42</v>
      </c>
      <c r="B27" t="s">
        <v>38</v>
      </c>
      <c r="C27">
        <v>5</v>
      </c>
      <c r="D27" s="1">
        <v>6.3300391929751498</v>
      </c>
      <c r="E27">
        <v>20</v>
      </c>
      <c r="F27">
        <v>2770.42853146671</v>
      </c>
      <c r="G27">
        <v>5.88219712673363E-2</v>
      </c>
      <c r="H27">
        <v>0.14039816998681201</v>
      </c>
      <c r="I27">
        <v>6.3246682447447</v>
      </c>
      <c r="J27">
        <v>5.9079379742442697</v>
      </c>
      <c r="K27">
        <v>6.3075095000000001</v>
      </c>
      <c r="L27">
        <v>2.36892500000008E-2</v>
      </c>
      <c r="M27">
        <v>5.9223125000001903E-2</v>
      </c>
      <c r="N27">
        <v>0.82711131639419799</v>
      </c>
      <c r="O27">
        <v>0.8</v>
      </c>
      <c r="P27">
        <v>0.59079379742442695</v>
      </c>
      <c r="Q27" t="s">
        <v>135</v>
      </c>
      <c r="R27" t="s">
        <v>136</v>
      </c>
      <c r="S27" t="b">
        <v>1</v>
      </c>
      <c r="T27">
        <v>6</v>
      </c>
      <c r="U27" s="2">
        <v>2.25296929751462E-2</v>
      </c>
      <c r="V27" s="2">
        <v>5.3709482304506997E-3</v>
      </c>
    </row>
    <row r="28" spans="1:22" x14ac:dyDescent="0.25">
      <c r="A28" t="s">
        <v>43</v>
      </c>
      <c r="B28" t="s">
        <v>38</v>
      </c>
      <c r="C28">
        <v>6</v>
      </c>
      <c r="D28" s="1">
        <v>7.7176749155535704</v>
      </c>
      <c r="E28">
        <v>16</v>
      </c>
      <c r="F28">
        <v>2354.8619866240401</v>
      </c>
      <c r="G28">
        <v>5.5484391397162103E-2</v>
      </c>
      <c r="H28">
        <v>9.5427607559858296E-2</v>
      </c>
      <c r="I28">
        <v>7.7106070799460902</v>
      </c>
      <c r="J28">
        <v>6.2028588830804603</v>
      </c>
      <c r="K28">
        <v>7.6930965000000002</v>
      </c>
      <c r="L28">
        <v>2.42482500000007E-2</v>
      </c>
      <c r="M28">
        <v>6.0620625000001899E-2</v>
      </c>
      <c r="N28">
        <v>0.868400243631265</v>
      </c>
      <c r="O28">
        <v>0.8125</v>
      </c>
      <c r="P28">
        <v>0.62028588830804599</v>
      </c>
      <c r="Q28" t="s">
        <v>135</v>
      </c>
      <c r="R28" t="s">
        <v>136</v>
      </c>
      <c r="S28" t="b">
        <v>1</v>
      </c>
      <c r="T28">
        <v>6</v>
      </c>
      <c r="U28" s="2">
        <v>2.4578415553569301E-2</v>
      </c>
      <c r="V28" s="2">
        <v>7.0678356074766998E-3</v>
      </c>
    </row>
    <row r="29" spans="1:22" x14ac:dyDescent="0.25">
      <c r="A29" t="s">
        <v>44</v>
      </c>
      <c r="B29" t="s">
        <v>38</v>
      </c>
      <c r="C29">
        <v>7</v>
      </c>
      <c r="D29" s="1">
        <v>8.9661099514213998</v>
      </c>
      <c r="E29">
        <v>20</v>
      </c>
      <c r="F29">
        <v>3226.2790368362698</v>
      </c>
      <c r="G29">
        <v>6.7710351915943198E-2</v>
      </c>
      <c r="H29">
        <v>0.15667545855555701</v>
      </c>
      <c r="I29">
        <v>8.9637558903328696</v>
      </c>
      <c r="J29">
        <v>5.7988286693523099</v>
      </c>
      <c r="K29">
        <v>8.9473280000000006</v>
      </c>
      <c r="L29">
        <v>4.3946250000000298E-2</v>
      </c>
      <c r="M29">
        <v>0.10986562500000099</v>
      </c>
      <c r="N29">
        <v>0.81183601370932401</v>
      </c>
      <c r="O29">
        <v>0.8</v>
      </c>
      <c r="P29">
        <v>0.57988286693523095</v>
      </c>
      <c r="Q29" t="s">
        <v>135</v>
      </c>
      <c r="R29" t="s">
        <v>136</v>
      </c>
      <c r="S29" t="b">
        <v>1</v>
      </c>
      <c r="T29">
        <v>6</v>
      </c>
      <c r="U29" s="2">
        <v>1.8781951421395601E-2</v>
      </c>
      <c r="V29" s="2">
        <v>2.35406108852843E-3</v>
      </c>
    </row>
    <row r="30" spans="1:22" x14ac:dyDescent="0.25">
      <c r="A30" t="s">
        <v>45</v>
      </c>
      <c r="B30" t="s">
        <v>38</v>
      </c>
      <c r="C30">
        <v>8</v>
      </c>
      <c r="D30" s="1">
        <v>10.2778094072406</v>
      </c>
      <c r="E30">
        <v>20</v>
      </c>
      <c r="F30">
        <v>2874.2879658581201</v>
      </c>
      <c r="G30">
        <v>4.80475976342436E-2</v>
      </c>
      <c r="H30">
        <v>0.10723878120550399</v>
      </c>
      <c r="I30">
        <v>10.261186769263601</v>
      </c>
      <c r="J30">
        <v>5.7203532302564897</v>
      </c>
      <c r="K30">
        <v>10.245630999999999</v>
      </c>
      <c r="L30">
        <v>2.5467500000001302E-2</v>
      </c>
      <c r="M30">
        <v>6.3668750000003299E-2</v>
      </c>
      <c r="N30">
        <v>0.80084945223590798</v>
      </c>
      <c r="O30">
        <v>0.75</v>
      </c>
      <c r="P30">
        <v>0.57203532302564897</v>
      </c>
      <c r="Q30" t="s">
        <v>135</v>
      </c>
      <c r="R30" t="s">
        <v>136</v>
      </c>
      <c r="S30" t="b">
        <v>1</v>
      </c>
      <c r="T30">
        <v>6</v>
      </c>
      <c r="U30" s="2">
        <v>3.21784072406128E-2</v>
      </c>
      <c r="V30" s="2">
        <v>1.6622637976970701E-2</v>
      </c>
    </row>
    <row r="31" spans="1:22" x14ac:dyDescent="0.25">
      <c r="A31" t="s">
        <v>46</v>
      </c>
      <c r="B31" t="s">
        <v>38</v>
      </c>
      <c r="C31">
        <v>9</v>
      </c>
      <c r="D31" s="1">
        <v>11.6640392873566</v>
      </c>
      <c r="E31">
        <v>20</v>
      </c>
      <c r="F31">
        <v>2847.71624232761</v>
      </c>
      <c r="G31">
        <v>7.2364924160476796E-2</v>
      </c>
      <c r="H31">
        <v>0.105644462334608</v>
      </c>
      <c r="I31">
        <v>11.6635449592969</v>
      </c>
      <c r="J31">
        <v>6.1166530392533804</v>
      </c>
      <c r="K31">
        <v>11.6290285</v>
      </c>
      <c r="L31">
        <v>2.76485000000006E-2</v>
      </c>
      <c r="M31">
        <v>6.9121250000001605E-2</v>
      </c>
      <c r="N31">
        <v>0.85633142549547303</v>
      </c>
      <c r="O31">
        <v>0.8</v>
      </c>
      <c r="P31">
        <v>0.61166530392533802</v>
      </c>
      <c r="Q31" t="s">
        <v>135</v>
      </c>
      <c r="R31" t="s">
        <v>136</v>
      </c>
      <c r="S31" t="b">
        <v>1</v>
      </c>
      <c r="T31">
        <v>6</v>
      </c>
      <c r="U31" s="2">
        <v>3.5010787356606302E-2</v>
      </c>
      <c r="V31" s="2">
        <v>4.9432805966098702E-4</v>
      </c>
    </row>
    <row r="32" spans="1:22" x14ac:dyDescent="0.25">
      <c r="A32" t="s">
        <v>47</v>
      </c>
      <c r="B32" t="s">
        <v>38</v>
      </c>
      <c r="C32">
        <v>10</v>
      </c>
      <c r="D32" s="1">
        <v>12.976236910794601</v>
      </c>
      <c r="E32">
        <v>20</v>
      </c>
      <c r="F32">
        <v>2927.5351443395898</v>
      </c>
      <c r="G32">
        <v>5.5681014343412098E-2</v>
      </c>
      <c r="H32">
        <v>9.8948809024359805E-2</v>
      </c>
      <c r="I32">
        <v>12.964801961926399</v>
      </c>
      <c r="J32">
        <v>6.2538526097420899</v>
      </c>
      <c r="K32">
        <v>12.939035000000001</v>
      </c>
      <c r="L32">
        <v>2.46685000000006E-2</v>
      </c>
      <c r="M32">
        <v>6.16712500000016E-2</v>
      </c>
      <c r="N32">
        <v>0.87553936536389299</v>
      </c>
      <c r="O32">
        <v>0.85</v>
      </c>
      <c r="P32">
        <v>0.62538526097420899</v>
      </c>
      <c r="Q32" t="s">
        <v>135</v>
      </c>
      <c r="R32" t="s">
        <v>136</v>
      </c>
      <c r="S32" t="b">
        <v>1</v>
      </c>
      <c r="T32">
        <v>6</v>
      </c>
      <c r="U32" s="2">
        <v>3.72019107946144E-2</v>
      </c>
      <c r="V32" s="2">
        <v>1.1434948868201299E-2</v>
      </c>
    </row>
    <row r="33" spans="1:22" x14ac:dyDescent="0.25">
      <c r="A33" t="s">
        <v>48</v>
      </c>
      <c r="B33" t="s">
        <v>38</v>
      </c>
      <c r="C33">
        <v>11</v>
      </c>
      <c r="D33" s="1">
        <v>14.4318405861904</v>
      </c>
      <c r="E33">
        <v>20</v>
      </c>
      <c r="F33">
        <v>3155.4838940283598</v>
      </c>
      <c r="G33">
        <v>5.9711742721419499E-2</v>
      </c>
      <c r="H33">
        <v>0.108620445898096</v>
      </c>
      <c r="I33">
        <v>14.4367335405001</v>
      </c>
      <c r="J33">
        <v>6.2570487520490099</v>
      </c>
      <c r="K33">
        <v>14.391220000000001</v>
      </c>
      <c r="L33">
        <v>4.3295750000000403E-2</v>
      </c>
      <c r="M33">
        <v>0.108239375000001</v>
      </c>
      <c r="N33">
        <v>0.875986825286861</v>
      </c>
      <c r="O33">
        <v>0.85</v>
      </c>
      <c r="P33">
        <v>0.62570487520490103</v>
      </c>
      <c r="Q33" t="s">
        <v>135</v>
      </c>
      <c r="R33" t="s">
        <v>136</v>
      </c>
      <c r="S33" t="b">
        <v>1</v>
      </c>
      <c r="T33">
        <v>6</v>
      </c>
      <c r="U33" s="2">
        <v>4.06205861903981E-2</v>
      </c>
      <c r="V33" s="2">
        <v>-4.8929543097031604E-3</v>
      </c>
    </row>
    <row r="34" spans="1:22" x14ac:dyDescent="0.25">
      <c r="A34" t="s">
        <v>49</v>
      </c>
      <c r="B34" t="s">
        <v>38</v>
      </c>
      <c r="C34">
        <v>12</v>
      </c>
      <c r="D34" s="1">
        <v>15.6092003064118</v>
      </c>
      <c r="E34">
        <v>20</v>
      </c>
      <c r="F34">
        <v>2644.88450797727</v>
      </c>
      <c r="G34">
        <v>7.0994491623288997E-2</v>
      </c>
      <c r="H34">
        <v>0.129804506971223</v>
      </c>
      <c r="I34">
        <v>15.6369341877888</v>
      </c>
      <c r="J34">
        <v>5.1732957049909203</v>
      </c>
      <c r="K34">
        <v>15.600365500000001</v>
      </c>
      <c r="L34">
        <v>1.98209999999985E-2</v>
      </c>
      <c r="M34">
        <v>4.9552499999996301E-2</v>
      </c>
      <c r="N34">
        <v>0.72426139869872797</v>
      </c>
      <c r="O34">
        <v>0.7</v>
      </c>
      <c r="P34">
        <v>0.51732957049909201</v>
      </c>
      <c r="Q34" t="s">
        <v>135</v>
      </c>
      <c r="R34" t="s">
        <v>136</v>
      </c>
      <c r="S34" t="b">
        <v>1</v>
      </c>
      <c r="T34">
        <v>6</v>
      </c>
      <c r="U34" s="2">
        <v>8.8348064118211108E-3</v>
      </c>
      <c r="V34" s="2">
        <v>-2.77338813770278E-2</v>
      </c>
    </row>
    <row r="35" spans="1:22" x14ac:dyDescent="0.25">
      <c r="A35" t="s">
        <v>50</v>
      </c>
      <c r="B35" t="s">
        <v>38</v>
      </c>
      <c r="C35">
        <v>13</v>
      </c>
      <c r="D35" s="1">
        <v>16.930138554275999</v>
      </c>
      <c r="E35">
        <v>20</v>
      </c>
      <c r="F35">
        <v>3019.7945189390298</v>
      </c>
      <c r="G35">
        <v>6.2239966713653297E-2</v>
      </c>
      <c r="H35">
        <v>0.10570392436281099</v>
      </c>
      <c r="I35">
        <v>16.930114165119299</v>
      </c>
      <c r="J35">
        <v>6.0075437343614198</v>
      </c>
      <c r="K35">
        <v>16.905670000000001</v>
      </c>
      <c r="L35">
        <v>3.5195749999997999E-2</v>
      </c>
      <c r="M35">
        <v>8.7989374999994902E-2</v>
      </c>
      <c r="N35">
        <v>0.84105612281059905</v>
      </c>
      <c r="O35">
        <v>0.8</v>
      </c>
      <c r="P35">
        <v>0.60075437343614202</v>
      </c>
      <c r="Q35" t="s">
        <v>135</v>
      </c>
      <c r="R35" t="s">
        <v>136</v>
      </c>
      <c r="S35" t="b">
        <v>1</v>
      </c>
      <c r="T35">
        <v>6</v>
      </c>
      <c r="U35" s="2">
        <v>2.4468554275969698E-2</v>
      </c>
      <c r="V35" s="2">
        <v>2.43891566320542E-5</v>
      </c>
    </row>
    <row r="36" spans="1:22" x14ac:dyDescent="0.25">
      <c r="A36" t="s">
        <v>51</v>
      </c>
      <c r="B36" t="s">
        <v>52</v>
      </c>
      <c r="C36">
        <v>1</v>
      </c>
      <c r="D36" s="1">
        <v>0.98482772946691399</v>
      </c>
      <c r="E36">
        <v>18</v>
      </c>
      <c r="F36">
        <v>2290.1439159594702</v>
      </c>
      <c r="G36">
        <v>7.3233424160476596E-2</v>
      </c>
      <c r="H36">
        <v>0.115666013727537</v>
      </c>
      <c r="I36">
        <v>0.99017369284647105</v>
      </c>
      <c r="J36">
        <v>6.1535991682609303</v>
      </c>
      <c r="K36">
        <v>0.95643449999999897</v>
      </c>
      <c r="L36">
        <v>3.6150499999999398E-2</v>
      </c>
      <c r="M36">
        <v>9.0376249999998506E-2</v>
      </c>
      <c r="N36">
        <v>0.86150388355653096</v>
      </c>
      <c r="O36">
        <v>0.83333333333333304</v>
      </c>
      <c r="P36">
        <v>0.61535991682609303</v>
      </c>
      <c r="Q36" t="s">
        <v>135</v>
      </c>
      <c r="R36" t="s">
        <v>136</v>
      </c>
      <c r="S36" t="b">
        <v>1</v>
      </c>
      <c r="T36">
        <v>6</v>
      </c>
      <c r="U36" s="2">
        <v>2.8393229466915099E-2</v>
      </c>
      <c r="V36" s="2">
        <v>-5.3459633795566201E-3</v>
      </c>
    </row>
    <row r="37" spans="1:22" x14ac:dyDescent="0.25">
      <c r="A37" t="s">
        <v>53</v>
      </c>
      <c r="B37" t="s">
        <v>52</v>
      </c>
      <c r="C37">
        <v>2</v>
      </c>
      <c r="D37" s="1">
        <v>2.0034608729464201</v>
      </c>
      <c r="E37">
        <v>20</v>
      </c>
      <c r="F37">
        <v>2927.6117342294301</v>
      </c>
      <c r="G37">
        <v>7.0672584596783994E-2</v>
      </c>
      <c r="H37">
        <v>0.10295366470891899</v>
      </c>
      <c r="I37">
        <v>2.0039568587736101</v>
      </c>
      <c r="J37">
        <v>6.9169455951602004</v>
      </c>
      <c r="K37">
        <v>1.9712829999999999</v>
      </c>
      <c r="L37">
        <v>3.2341000000000099E-2</v>
      </c>
      <c r="M37">
        <v>8.0852500000000202E-2</v>
      </c>
      <c r="N37">
        <v>0.96837238332242703</v>
      </c>
      <c r="O37">
        <v>0.95</v>
      </c>
      <c r="P37">
        <v>0.69169455951601999</v>
      </c>
      <c r="Q37" t="s">
        <v>135</v>
      </c>
      <c r="R37" t="s">
        <v>136</v>
      </c>
      <c r="S37" t="b">
        <v>1</v>
      </c>
      <c r="T37">
        <v>6</v>
      </c>
      <c r="U37" s="2">
        <v>3.2177872946418197E-2</v>
      </c>
      <c r="V37" s="2">
        <v>-4.9598582718690697E-4</v>
      </c>
    </row>
    <row r="38" spans="1:22" x14ac:dyDescent="0.25">
      <c r="A38" t="s">
        <v>54</v>
      </c>
      <c r="B38" t="s">
        <v>52</v>
      </c>
      <c r="C38">
        <v>3</v>
      </c>
      <c r="D38" s="1">
        <v>2.8694007271885398</v>
      </c>
      <c r="E38">
        <v>20</v>
      </c>
      <c r="F38">
        <v>2592.74397353533</v>
      </c>
      <c r="G38">
        <v>6.4504438838904499E-2</v>
      </c>
      <c r="H38">
        <v>9.8800195075138902E-2</v>
      </c>
      <c r="I38">
        <v>2.8616704069505299</v>
      </c>
      <c r="J38">
        <v>6.0429349849528204</v>
      </c>
      <c r="K38">
        <v>2.8353169999999999</v>
      </c>
      <c r="L38">
        <v>1.7520750000001601E-2</v>
      </c>
      <c r="M38">
        <v>4.3801875000004098E-2</v>
      </c>
      <c r="N38">
        <v>0.84601089789339501</v>
      </c>
      <c r="O38">
        <v>0.8</v>
      </c>
      <c r="P38">
        <v>0.60429349849528202</v>
      </c>
      <c r="Q38" t="s">
        <v>135</v>
      </c>
      <c r="R38" t="s">
        <v>136</v>
      </c>
      <c r="S38" t="b">
        <v>1</v>
      </c>
      <c r="T38">
        <v>6</v>
      </c>
      <c r="U38" s="2">
        <v>3.4083727188537701E-2</v>
      </c>
      <c r="V38" s="2">
        <v>7.7303202380125703E-3</v>
      </c>
    </row>
    <row r="39" spans="1:22" x14ac:dyDescent="0.25">
      <c r="A39" t="s">
        <v>55</v>
      </c>
      <c r="B39" t="s">
        <v>52</v>
      </c>
      <c r="C39">
        <v>4</v>
      </c>
      <c r="D39" s="1">
        <v>3.7670741148332101</v>
      </c>
      <c r="E39">
        <v>18</v>
      </c>
      <c r="F39">
        <v>2410.5059851036499</v>
      </c>
      <c r="G39">
        <v>4.7263015698930197E-2</v>
      </c>
      <c r="H39">
        <v>0.10345199269496499</v>
      </c>
      <c r="I39">
        <v>3.7595681155432201</v>
      </c>
      <c r="J39">
        <v>5.9123085565732998</v>
      </c>
      <c r="K39">
        <v>3.7473405</v>
      </c>
      <c r="L39">
        <v>2.1868500000001199E-2</v>
      </c>
      <c r="M39">
        <v>5.4671250000002898E-2</v>
      </c>
      <c r="N39">
        <v>0.82772319792026205</v>
      </c>
      <c r="O39">
        <v>0.77777777777777801</v>
      </c>
      <c r="P39">
        <v>0.59123085565733002</v>
      </c>
      <c r="Q39" t="s">
        <v>135</v>
      </c>
      <c r="R39" t="s">
        <v>136</v>
      </c>
      <c r="S39" t="b">
        <v>1</v>
      </c>
      <c r="T39">
        <v>6</v>
      </c>
      <c r="U39" s="2">
        <v>1.9733614833213699E-2</v>
      </c>
      <c r="V39" s="2">
        <v>7.5059992899899602E-3</v>
      </c>
    </row>
    <row r="40" spans="1:22" x14ac:dyDescent="0.25">
      <c r="A40" t="s">
        <v>56</v>
      </c>
      <c r="B40" t="s">
        <v>52</v>
      </c>
      <c r="C40">
        <v>5</v>
      </c>
      <c r="D40" s="1">
        <v>6.5233496350501099</v>
      </c>
      <c r="E40">
        <v>18</v>
      </c>
      <c r="F40">
        <v>2192.1699366521402</v>
      </c>
      <c r="G40">
        <v>6.7484466713654004E-2</v>
      </c>
      <c r="H40">
        <v>0.150244254874116</v>
      </c>
      <c r="I40">
        <v>6.5224385469742696</v>
      </c>
      <c r="J40">
        <v>5.7612793410182102</v>
      </c>
      <c r="K40">
        <v>6.5211540000000001</v>
      </c>
      <c r="L40">
        <v>2.4150999999999801E-2</v>
      </c>
      <c r="M40">
        <v>6.0377499999999501E-2</v>
      </c>
      <c r="N40">
        <v>0.80657910774255004</v>
      </c>
      <c r="O40">
        <v>0.77777777777777801</v>
      </c>
      <c r="P40">
        <v>0.57612793410182095</v>
      </c>
      <c r="Q40" t="s">
        <v>135</v>
      </c>
      <c r="R40" t="s">
        <v>136</v>
      </c>
      <c r="S40" t="b">
        <v>1</v>
      </c>
      <c r="T40">
        <v>6</v>
      </c>
      <c r="U40" s="2">
        <v>2.1956350501079998E-3</v>
      </c>
      <c r="V40" s="2">
        <v>9.1108807583673002E-4</v>
      </c>
    </row>
    <row r="41" spans="1:22" x14ac:dyDescent="0.25">
      <c r="A41" t="s">
        <v>57</v>
      </c>
      <c r="B41" t="s">
        <v>52</v>
      </c>
      <c r="C41">
        <v>6</v>
      </c>
      <c r="D41" s="1">
        <v>7.5049044770613902</v>
      </c>
      <c r="E41">
        <v>20</v>
      </c>
      <c r="F41">
        <v>2364.1666251115398</v>
      </c>
      <c r="G41">
        <v>5.54614053694054E-2</v>
      </c>
      <c r="H41">
        <v>0.12835541064105199</v>
      </c>
      <c r="I41">
        <v>7.5054654188032996</v>
      </c>
      <c r="J41">
        <v>5.5933144493390898</v>
      </c>
      <c r="K41">
        <v>7.4859555000000002</v>
      </c>
      <c r="L41">
        <v>1.9532500000000799E-2</v>
      </c>
      <c r="M41">
        <v>4.8831250000002102E-2</v>
      </c>
      <c r="N41">
        <v>0.78306402290747201</v>
      </c>
      <c r="O41">
        <v>0.75</v>
      </c>
      <c r="P41">
        <v>0.55933144493390896</v>
      </c>
      <c r="Q41" t="s">
        <v>135</v>
      </c>
      <c r="R41" t="s">
        <v>136</v>
      </c>
      <c r="S41" t="b">
        <v>1</v>
      </c>
      <c r="T41">
        <v>6</v>
      </c>
      <c r="U41" s="2">
        <v>1.89489770613855E-2</v>
      </c>
      <c r="V41" s="2">
        <v>-5.6094174191478896E-4</v>
      </c>
    </row>
    <row r="42" spans="1:22" x14ac:dyDescent="0.25">
      <c r="A42" t="s">
        <v>58</v>
      </c>
      <c r="B42" t="s">
        <v>52</v>
      </c>
      <c r="C42">
        <v>7</v>
      </c>
      <c r="D42" s="1">
        <v>8.3344298952433995</v>
      </c>
      <c r="E42">
        <v>20</v>
      </c>
      <c r="F42">
        <v>2471.6926780952899</v>
      </c>
      <c r="G42">
        <v>5.8200063576126303E-2</v>
      </c>
      <c r="H42">
        <v>0.14625771560057399</v>
      </c>
      <c r="I42">
        <v>8.3457871321732604</v>
      </c>
      <c r="J42">
        <v>5.54600204399717</v>
      </c>
      <c r="K42">
        <v>8.3212200000000003</v>
      </c>
      <c r="L42">
        <v>1.71460000000003E-2</v>
      </c>
      <c r="M42">
        <v>4.2865000000000798E-2</v>
      </c>
      <c r="N42">
        <v>0.77644028615960403</v>
      </c>
      <c r="O42">
        <v>0.75</v>
      </c>
      <c r="P42">
        <v>0.55460020439971702</v>
      </c>
      <c r="Q42" t="s">
        <v>135</v>
      </c>
      <c r="R42" t="s">
        <v>136</v>
      </c>
      <c r="S42" t="b">
        <v>1</v>
      </c>
      <c r="T42">
        <v>6</v>
      </c>
      <c r="U42" s="2">
        <v>1.3209895243399199E-2</v>
      </c>
      <c r="V42" s="2">
        <v>-1.13572369298627E-2</v>
      </c>
    </row>
    <row r="43" spans="1:22" x14ac:dyDescent="0.25">
      <c r="A43" t="s">
        <v>59</v>
      </c>
      <c r="B43" t="s">
        <v>52</v>
      </c>
      <c r="C43">
        <v>8</v>
      </c>
      <c r="D43" s="1">
        <v>9.5417065930276799</v>
      </c>
      <c r="E43">
        <v>15</v>
      </c>
      <c r="F43">
        <v>2039.9759159252501</v>
      </c>
      <c r="G43">
        <v>0.18238666658929101</v>
      </c>
      <c r="H43">
        <v>0.21081567420174399</v>
      </c>
      <c r="I43">
        <v>9.5380813082722895</v>
      </c>
      <c r="J43">
        <v>7.1428571428571397</v>
      </c>
      <c r="K43">
        <v>9.4332049999999992</v>
      </c>
      <c r="L43">
        <v>0.15421199999999899</v>
      </c>
      <c r="M43">
        <v>0.38552999999999799</v>
      </c>
      <c r="N43">
        <v>1</v>
      </c>
      <c r="O43">
        <v>1</v>
      </c>
      <c r="P43">
        <v>0.71428571428571397</v>
      </c>
      <c r="Q43" t="s">
        <v>137</v>
      </c>
      <c r="R43" t="s">
        <v>136</v>
      </c>
      <c r="S43" t="b">
        <v>1</v>
      </c>
      <c r="T43">
        <v>6</v>
      </c>
      <c r="U43" s="2">
        <v>0.10850159302767901</v>
      </c>
      <c r="V43" s="2">
        <v>3.6252847553921398E-3</v>
      </c>
    </row>
    <row r="44" spans="1:22" x14ac:dyDescent="0.25">
      <c r="A44" t="s">
        <v>60</v>
      </c>
      <c r="B44" t="s">
        <v>52</v>
      </c>
      <c r="C44">
        <v>9</v>
      </c>
      <c r="D44" s="1">
        <v>12.0691327934207</v>
      </c>
      <c r="E44">
        <v>20</v>
      </c>
      <c r="F44">
        <v>2818.5045975630201</v>
      </c>
      <c r="G44">
        <v>6.7190042911112302E-2</v>
      </c>
      <c r="H44">
        <v>0.11914606651174001</v>
      </c>
      <c r="I44">
        <v>12.070647695368001</v>
      </c>
      <c r="J44">
        <v>4.6676197453895796</v>
      </c>
      <c r="K44">
        <v>12.036028999999999</v>
      </c>
      <c r="L44">
        <v>3.2802000000000199E-2</v>
      </c>
      <c r="M44">
        <v>8.2005000000000494E-2</v>
      </c>
      <c r="N44">
        <v>0.65346676435454198</v>
      </c>
      <c r="O44">
        <v>0.65</v>
      </c>
      <c r="P44">
        <v>0.46676197453895801</v>
      </c>
      <c r="Q44" t="s">
        <v>138</v>
      </c>
      <c r="R44" t="s">
        <v>136</v>
      </c>
      <c r="S44" t="b">
        <v>1</v>
      </c>
      <c r="T44">
        <v>6</v>
      </c>
      <c r="U44" s="2">
        <v>3.3103793420718099E-2</v>
      </c>
      <c r="V44" s="2">
        <v>-1.51490194730286E-3</v>
      </c>
    </row>
    <row r="45" spans="1:22" x14ac:dyDescent="0.25">
      <c r="A45" t="s">
        <v>61</v>
      </c>
      <c r="B45" t="s">
        <v>52</v>
      </c>
      <c r="C45">
        <v>10</v>
      </c>
      <c r="D45" s="1">
        <v>12.943529976173</v>
      </c>
      <c r="E45">
        <v>20</v>
      </c>
      <c r="F45">
        <v>2421.1236670987801</v>
      </c>
      <c r="G45">
        <v>8.1196300800137594E-2</v>
      </c>
      <c r="H45">
        <v>0.13021456323834801</v>
      </c>
      <c r="I45">
        <v>12.949098536442399</v>
      </c>
      <c r="J45">
        <v>4.5133988618797298</v>
      </c>
      <c r="K45">
        <v>12.939916999999999</v>
      </c>
      <c r="L45">
        <v>1.7344999999999701E-2</v>
      </c>
      <c r="M45">
        <v>4.3362499999999297E-2</v>
      </c>
      <c r="N45">
        <v>0.63187584066316205</v>
      </c>
      <c r="O45">
        <v>0.6</v>
      </c>
      <c r="P45">
        <v>0.45133988618797299</v>
      </c>
      <c r="Q45" t="s">
        <v>138</v>
      </c>
      <c r="R45" t="s">
        <v>136</v>
      </c>
      <c r="S45" t="b">
        <v>1</v>
      </c>
      <c r="T45">
        <v>6</v>
      </c>
      <c r="U45" s="2">
        <v>3.6129761730201398E-3</v>
      </c>
      <c r="V45" s="2">
        <v>-5.5685602693369401E-3</v>
      </c>
    </row>
    <row r="46" spans="1:22" x14ac:dyDescent="0.25">
      <c r="A46" t="s">
        <v>62</v>
      </c>
      <c r="B46" t="s">
        <v>52</v>
      </c>
      <c r="C46">
        <v>11</v>
      </c>
      <c r="D46" s="1">
        <v>13.840770520291599</v>
      </c>
      <c r="E46">
        <v>20</v>
      </c>
      <c r="F46">
        <v>2685.49204181701</v>
      </c>
      <c r="G46">
        <v>8.3249563576127006E-2</v>
      </c>
      <c r="H46">
        <v>0.133526952478698</v>
      </c>
      <c r="I46">
        <v>13.8427721391843</v>
      </c>
      <c r="J46">
        <v>5.6207474701393396</v>
      </c>
      <c r="K46">
        <v>13.827309</v>
      </c>
      <c r="L46">
        <v>2.9227500000001998E-2</v>
      </c>
      <c r="M46">
        <v>7.3068750000004901E-2</v>
      </c>
      <c r="N46">
        <v>0.78690464581950803</v>
      </c>
      <c r="O46">
        <v>0.75</v>
      </c>
      <c r="P46">
        <v>0.56207474701393401</v>
      </c>
      <c r="Q46" t="s">
        <v>135</v>
      </c>
      <c r="R46" t="s">
        <v>136</v>
      </c>
      <c r="S46" t="b">
        <v>1</v>
      </c>
      <c r="T46">
        <v>6</v>
      </c>
      <c r="U46" s="2">
        <v>1.3461520291549799E-2</v>
      </c>
      <c r="V46" s="2">
        <v>-2.0016188927236599E-3</v>
      </c>
    </row>
    <row r="47" spans="1:22" x14ac:dyDescent="0.25">
      <c r="A47" t="s">
        <v>63</v>
      </c>
      <c r="B47" t="s">
        <v>52</v>
      </c>
      <c r="C47">
        <v>12</v>
      </c>
      <c r="D47" s="1">
        <v>14.803290101198099</v>
      </c>
      <c r="E47">
        <v>20</v>
      </c>
      <c r="F47">
        <v>2347.7738071619301</v>
      </c>
      <c r="G47">
        <v>6.3281905369404701E-2</v>
      </c>
      <c r="H47">
        <v>0.16623659225356099</v>
      </c>
      <c r="I47">
        <v>14.7993000903006</v>
      </c>
      <c r="J47">
        <v>4.6366001831983903</v>
      </c>
      <c r="K47">
        <v>14.794332000000001</v>
      </c>
      <c r="L47">
        <v>1.99274999999988E-2</v>
      </c>
      <c r="M47">
        <v>4.98187499999969E-2</v>
      </c>
      <c r="N47">
        <v>0.64912402564777505</v>
      </c>
      <c r="O47">
        <v>0.6</v>
      </c>
      <c r="P47">
        <v>0.463660018319839</v>
      </c>
      <c r="Q47" t="s">
        <v>138</v>
      </c>
      <c r="R47" t="s">
        <v>136</v>
      </c>
      <c r="S47" t="b">
        <v>1</v>
      </c>
      <c r="T47">
        <v>6</v>
      </c>
      <c r="U47" s="2">
        <v>8.9581011980897109E-3</v>
      </c>
      <c r="V47" s="2">
        <v>3.9900108975139403E-3</v>
      </c>
    </row>
    <row r="48" spans="1:22" x14ac:dyDescent="0.25">
      <c r="A48" t="s">
        <v>64</v>
      </c>
      <c r="B48" t="s">
        <v>52</v>
      </c>
      <c r="C48">
        <v>13</v>
      </c>
      <c r="D48" s="1">
        <v>17.5956244807813</v>
      </c>
      <c r="E48">
        <v>20</v>
      </c>
      <c r="F48">
        <v>2984.2990053165499</v>
      </c>
      <c r="G48">
        <v>8.6778593527719397E-2</v>
      </c>
      <c r="H48">
        <v>0.13105948562967301</v>
      </c>
      <c r="I48">
        <v>17.578660001315001</v>
      </c>
      <c r="J48">
        <v>6.3425645869503304</v>
      </c>
      <c r="K48">
        <v>17.5669225</v>
      </c>
      <c r="L48">
        <v>3.49500000000003E-2</v>
      </c>
      <c r="M48">
        <v>8.7375000000000605E-2</v>
      </c>
      <c r="N48">
        <v>0.887959042173046</v>
      </c>
      <c r="O48">
        <v>0.85</v>
      </c>
      <c r="P48">
        <v>0.634256458695033</v>
      </c>
      <c r="Q48" t="s">
        <v>135</v>
      </c>
      <c r="R48" t="s">
        <v>136</v>
      </c>
      <c r="S48" t="b">
        <v>1</v>
      </c>
      <c r="T48">
        <v>6</v>
      </c>
      <c r="U48" s="2">
        <v>2.8701980781303101E-2</v>
      </c>
      <c r="V48" s="2">
        <v>1.6964479466345501E-2</v>
      </c>
    </row>
    <row r="49" spans="1:22" x14ac:dyDescent="0.25">
      <c r="A49" t="s">
        <v>65</v>
      </c>
      <c r="B49" t="s">
        <v>52</v>
      </c>
      <c r="C49">
        <v>14</v>
      </c>
      <c r="D49" s="1">
        <v>18.497520993544601</v>
      </c>
      <c r="E49">
        <v>20</v>
      </c>
      <c r="F49">
        <v>2258.2352557906902</v>
      </c>
      <c r="G49">
        <v>7.6798178756079902E-2</v>
      </c>
      <c r="H49">
        <v>0.112687504960649</v>
      </c>
      <c r="I49">
        <v>18.5194414878363</v>
      </c>
      <c r="J49">
        <v>4.6591662813474297</v>
      </c>
      <c r="K49">
        <v>18.494873999999999</v>
      </c>
      <c r="L49">
        <v>1.78482500000001E-2</v>
      </c>
      <c r="M49">
        <v>4.4620625000000302E-2</v>
      </c>
      <c r="N49">
        <v>0.65228327938863995</v>
      </c>
      <c r="O49">
        <v>0.6</v>
      </c>
      <c r="P49">
        <v>0.46591662813474299</v>
      </c>
      <c r="Q49" t="s">
        <v>138</v>
      </c>
      <c r="R49" t="s">
        <v>136</v>
      </c>
      <c r="S49" t="b">
        <v>1</v>
      </c>
      <c r="T49">
        <v>6</v>
      </c>
      <c r="U49" s="2">
        <v>2.64699354461229E-3</v>
      </c>
      <c r="V49" s="2">
        <v>-2.1920494291674E-2</v>
      </c>
    </row>
    <row r="50" spans="1:22" x14ac:dyDescent="0.25">
      <c r="A50" t="s">
        <v>66</v>
      </c>
      <c r="B50" t="s">
        <v>52</v>
      </c>
      <c r="C50">
        <v>15</v>
      </c>
      <c r="D50" s="1">
        <v>19.408794338626102</v>
      </c>
      <c r="E50">
        <v>20</v>
      </c>
      <c r="F50">
        <v>2636.9641012443599</v>
      </c>
      <c r="G50">
        <v>6.6298630517786006E-2</v>
      </c>
      <c r="H50">
        <v>0.109384230216946</v>
      </c>
      <c r="I50">
        <v>19.424675851742901</v>
      </c>
      <c r="J50">
        <v>5.8961401936435198</v>
      </c>
      <c r="K50">
        <v>19.388335999999999</v>
      </c>
      <c r="L50">
        <v>1.9800500000000599E-2</v>
      </c>
      <c r="M50">
        <v>4.9501250000001398E-2</v>
      </c>
      <c r="N50">
        <v>0.82545962711009202</v>
      </c>
      <c r="O50">
        <v>0.8</v>
      </c>
      <c r="P50">
        <v>0.58961401936435198</v>
      </c>
      <c r="Q50" t="s">
        <v>135</v>
      </c>
      <c r="R50" t="s">
        <v>136</v>
      </c>
      <c r="S50" t="b">
        <v>1</v>
      </c>
      <c r="T50">
        <v>6</v>
      </c>
      <c r="U50" s="2">
        <v>2.04583386260744E-2</v>
      </c>
      <c r="V50" s="2">
        <v>-1.5881513116859501E-2</v>
      </c>
    </row>
    <row r="51" spans="1:22" x14ac:dyDescent="0.25">
      <c r="A51" t="s">
        <v>67</v>
      </c>
      <c r="B51" t="s">
        <v>52</v>
      </c>
      <c r="C51">
        <v>16</v>
      </c>
      <c r="D51" s="1">
        <v>20.332865575428201</v>
      </c>
      <c r="E51">
        <v>17</v>
      </c>
      <c r="F51">
        <v>2189.0663636109002</v>
      </c>
      <c r="G51">
        <v>6.6654900055276897E-2</v>
      </c>
      <c r="H51">
        <v>9.1123745494969599E-2</v>
      </c>
      <c r="I51">
        <v>20.3458314143808</v>
      </c>
      <c r="J51">
        <v>4.9949536293767496</v>
      </c>
      <c r="K51">
        <v>20.332564999999999</v>
      </c>
      <c r="L51">
        <v>1.9550999999996301E-2</v>
      </c>
      <c r="M51">
        <v>4.8877499999990803E-2</v>
      </c>
      <c r="N51">
        <v>0.69929350811274404</v>
      </c>
      <c r="O51">
        <v>0.64705882352941202</v>
      </c>
      <c r="P51">
        <v>0.49949536293767399</v>
      </c>
      <c r="Q51" t="s">
        <v>138</v>
      </c>
      <c r="R51" t="s">
        <v>136</v>
      </c>
      <c r="S51" t="b">
        <v>1</v>
      </c>
      <c r="T51">
        <v>6</v>
      </c>
      <c r="U51" s="2">
        <v>3.0057542815597999E-4</v>
      </c>
      <c r="V51" s="2">
        <v>-1.2965838952609899E-2</v>
      </c>
    </row>
    <row r="52" spans="1:22" x14ac:dyDescent="0.25">
      <c r="A52" t="s">
        <v>68</v>
      </c>
      <c r="B52" t="s">
        <v>69</v>
      </c>
      <c r="C52">
        <v>1</v>
      </c>
      <c r="D52" s="1">
        <v>0.72702738729557204</v>
      </c>
      <c r="E52">
        <v>19</v>
      </c>
      <c r="F52">
        <v>2518.297972584</v>
      </c>
      <c r="G52">
        <v>9.7995415229563801E-2</v>
      </c>
      <c r="H52">
        <v>0.125287652472478</v>
      </c>
      <c r="I52">
        <v>0.74291754536679599</v>
      </c>
      <c r="J52">
        <v>5.8420233877068704</v>
      </c>
      <c r="K52">
        <v>0.70300100000000099</v>
      </c>
      <c r="L52">
        <v>4.3063999999998798E-2</v>
      </c>
      <c r="M52">
        <v>0.10765999999999699</v>
      </c>
      <c r="N52">
        <v>0.81788327427896201</v>
      </c>
      <c r="O52">
        <v>0.78947368421052599</v>
      </c>
      <c r="P52">
        <v>0.58420233877068795</v>
      </c>
      <c r="Q52" t="s">
        <v>135</v>
      </c>
      <c r="R52" t="s">
        <v>136</v>
      </c>
      <c r="S52" t="b">
        <v>1</v>
      </c>
      <c r="T52">
        <v>6</v>
      </c>
      <c r="U52" s="2">
        <v>2.40263872955719E-2</v>
      </c>
      <c r="V52" s="2">
        <v>-1.5890158071223501E-2</v>
      </c>
    </row>
    <row r="53" spans="1:22" x14ac:dyDescent="0.25">
      <c r="A53" t="s">
        <v>70</v>
      </c>
      <c r="B53" t="s">
        <v>69</v>
      </c>
      <c r="C53">
        <v>2</v>
      </c>
      <c r="D53" s="1">
        <v>1.7885446284316899</v>
      </c>
      <c r="E53">
        <v>20</v>
      </c>
      <c r="F53">
        <v>2634.6460041641399</v>
      </c>
      <c r="G53">
        <v>5.1147075687661497E-2</v>
      </c>
      <c r="H53">
        <v>9.3892710608054306E-2</v>
      </c>
      <c r="I53">
        <v>1.7959282011687301</v>
      </c>
      <c r="J53">
        <v>6.0429349849528204</v>
      </c>
      <c r="K53">
        <v>1.766486</v>
      </c>
      <c r="L53">
        <v>1.5188749999999401E-2</v>
      </c>
      <c r="M53">
        <v>3.7971874999998503E-2</v>
      </c>
      <c r="N53">
        <v>0.84601089789339501</v>
      </c>
      <c r="O53">
        <v>0.8</v>
      </c>
      <c r="P53">
        <v>0.60429349849528202</v>
      </c>
      <c r="Q53" t="s">
        <v>135</v>
      </c>
      <c r="R53" t="s">
        <v>136</v>
      </c>
      <c r="S53" t="b">
        <v>1</v>
      </c>
      <c r="T53">
        <v>6</v>
      </c>
      <c r="U53" s="2">
        <v>2.20586284316877E-2</v>
      </c>
      <c r="V53" s="2">
        <v>-7.3835727370419298E-3</v>
      </c>
    </row>
    <row r="54" spans="1:22" x14ac:dyDescent="0.25">
      <c r="A54" t="s">
        <v>71</v>
      </c>
      <c r="B54" t="s">
        <v>69</v>
      </c>
      <c r="C54">
        <v>3</v>
      </c>
      <c r="D54" s="1">
        <v>2.1555030644554898</v>
      </c>
      <c r="E54">
        <v>20</v>
      </c>
      <c r="F54">
        <v>2847.89338410853</v>
      </c>
      <c r="G54">
        <v>5.2903351695426301E-2</v>
      </c>
      <c r="H54">
        <v>9.0819833249357398E-2</v>
      </c>
      <c r="I54">
        <v>2.1557505750834798</v>
      </c>
      <c r="J54">
        <v>6.0279410620451399</v>
      </c>
      <c r="K54">
        <v>2.125175</v>
      </c>
      <c r="L54">
        <v>2.4721500000000101E-2</v>
      </c>
      <c r="M54">
        <v>6.1803750000000199E-2</v>
      </c>
      <c r="N54">
        <v>0.84391174868632002</v>
      </c>
      <c r="O54">
        <v>0.8</v>
      </c>
      <c r="P54">
        <v>0.60279410620451401</v>
      </c>
      <c r="Q54" t="s">
        <v>135</v>
      </c>
      <c r="R54" t="s">
        <v>136</v>
      </c>
      <c r="S54" t="b">
        <v>1</v>
      </c>
      <c r="T54">
        <v>6</v>
      </c>
      <c r="U54" s="2">
        <v>3.0328064455492E-2</v>
      </c>
      <c r="V54" s="2">
        <v>-2.4751062798733498E-4</v>
      </c>
    </row>
    <row r="55" spans="1:22" x14ac:dyDescent="0.25">
      <c r="A55" t="s">
        <v>72</v>
      </c>
      <c r="B55" t="s">
        <v>69</v>
      </c>
      <c r="C55">
        <v>4</v>
      </c>
      <c r="D55" s="1">
        <v>2.4732176240005499</v>
      </c>
      <c r="E55">
        <v>20</v>
      </c>
      <c r="F55">
        <v>2537.8264789007699</v>
      </c>
      <c r="G55">
        <v>5.8103402516819003E-2</v>
      </c>
      <c r="H55">
        <v>7.2228126314882998E-2</v>
      </c>
      <c r="I55">
        <v>2.47927904067084</v>
      </c>
      <c r="J55">
        <v>5.5104810047627497</v>
      </c>
      <c r="K55">
        <v>2.46122</v>
      </c>
      <c r="L55">
        <v>1.64740000000019E-2</v>
      </c>
      <c r="M55">
        <v>4.1185000000004697E-2</v>
      </c>
      <c r="N55">
        <v>0.77146734066678602</v>
      </c>
      <c r="O55">
        <v>0.75</v>
      </c>
      <c r="P55">
        <v>0.55104810047627495</v>
      </c>
      <c r="Q55" t="s">
        <v>135</v>
      </c>
      <c r="R55" t="s">
        <v>136</v>
      </c>
      <c r="S55" t="b">
        <v>1</v>
      </c>
      <c r="T55">
        <v>6</v>
      </c>
      <c r="U55" s="2">
        <v>1.19976240005513E-2</v>
      </c>
      <c r="V55" s="2">
        <v>-6.0614166702888097E-3</v>
      </c>
    </row>
    <row r="56" spans="1:22" x14ac:dyDescent="0.25">
      <c r="A56" t="s">
        <v>73</v>
      </c>
      <c r="B56" t="s">
        <v>69</v>
      </c>
      <c r="C56">
        <v>5</v>
      </c>
      <c r="D56" s="1">
        <v>2.9022937793580401</v>
      </c>
      <c r="E56">
        <v>20</v>
      </c>
      <c r="F56">
        <v>2530.2083642511202</v>
      </c>
      <c r="G56">
        <v>6.49402831304495E-2</v>
      </c>
      <c r="H56">
        <v>0.102460825352312</v>
      </c>
      <c r="I56">
        <v>2.9068550286786898</v>
      </c>
      <c r="J56">
        <v>5.6072810004051599</v>
      </c>
      <c r="K56">
        <v>2.8956884999999999</v>
      </c>
      <c r="L56">
        <v>3.2329999999999998E-2</v>
      </c>
      <c r="M56">
        <v>8.0824999999999897E-2</v>
      </c>
      <c r="N56">
        <v>0.78501934005672203</v>
      </c>
      <c r="O56">
        <v>0.75</v>
      </c>
      <c r="P56">
        <v>0.56072810004051599</v>
      </c>
      <c r="Q56" t="s">
        <v>135</v>
      </c>
      <c r="R56" t="s">
        <v>136</v>
      </c>
      <c r="S56" t="b">
        <v>1</v>
      </c>
      <c r="T56">
        <v>6</v>
      </c>
      <c r="U56" s="2">
        <v>6.6052793580397796E-3</v>
      </c>
      <c r="V56" s="2">
        <v>-4.5612493206501599E-3</v>
      </c>
    </row>
    <row r="57" spans="1:22" x14ac:dyDescent="0.25">
      <c r="A57" t="s">
        <v>74</v>
      </c>
      <c r="B57" t="s">
        <v>69</v>
      </c>
      <c r="C57">
        <v>6</v>
      </c>
      <c r="D57" s="1">
        <v>4.0214144362196</v>
      </c>
      <c r="E57">
        <v>20</v>
      </c>
      <c r="F57">
        <v>2236.5810452799201</v>
      </c>
      <c r="G57">
        <v>5.5135337085319799E-2</v>
      </c>
      <c r="H57">
        <v>0.109782469088226</v>
      </c>
      <c r="I57">
        <v>4.0286596758598403</v>
      </c>
      <c r="J57">
        <v>4.8829090585790604</v>
      </c>
      <c r="K57">
        <v>4.011844</v>
      </c>
      <c r="L57">
        <v>1.5670750000000001E-2</v>
      </c>
      <c r="M57">
        <v>3.9176874999999903E-2</v>
      </c>
      <c r="N57">
        <v>0.68360726820106898</v>
      </c>
      <c r="O57">
        <v>0.65</v>
      </c>
      <c r="P57">
        <v>0.48829090585790602</v>
      </c>
      <c r="Q57" t="s">
        <v>138</v>
      </c>
      <c r="R57" t="s">
        <v>136</v>
      </c>
      <c r="S57" t="b">
        <v>1</v>
      </c>
      <c r="T57">
        <v>6</v>
      </c>
      <c r="U57" s="2">
        <v>9.5704362196036303E-3</v>
      </c>
      <c r="V57" s="2">
        <v>-7.2452396402411497E-3</v>
      </c>
    </row>
    <row r="58" spans="1:22" x14ac:dyDescent="0.25">
      <c r="A58" t="s">
        <v>75</v>
      </c>
      <c r="B58" t="s">
        <v>69</v>
      </c>
      <c r="C58">
        <v>7</v>
      </c>
      <c r="D58" s="1">
        <v>4.4339459689030098</v>
      </c>
      <c r="E58">
        <v>20</v>
      </c>
      <c r="F58">
        <v>2932.05857969403</v>
      </c>
      <c r="G58">
        <v>7.6863680553375099E-2</v>
      </c>
      <c r="H58">
        <v>9.3829339560491998E-2</v>
      </c>
      <c r="I58">
        <v>4.4418556322235503</v>
      </c>
      <c r="J58">
        <v>6.6297550910552596</v>
      </c>
      <c r="K58">
        <v>4.3913000000000002</v>
      </c>
      <c r="L58">
        <v>3.2255999999999403E-2</v>
      </c>
      <c r="M58">
        <v>8.0639999999998505E-2</v>
      </c>
      <c r="N58">
        <v>0.92816571274773696</v>
      </c>
      <c r="O58">
        <v>0.9</v>
      </c>
      <c r="P58">
        <v>0.66297550910552605</v>
      </c>
      <c r="Q58" t="s">
        <v>135</v>
      </c>
      <c r="R58" t="s">
        <v>136</v>
      </c>
      <c r="S58" t="b">
        <v>1</v>
      </c>
      <c r="T58">
        <v>6</v>
      </c>
      <c r="U58" s="2">
        <v>4.2645968903009597E-2</v>
      </c>
      <c r="V58" s="2">
        <v>-7.9096633205377707E-3</v>
      </c>
    </row>
    <row r="59" spans="1:22" x14ac:dyDescent="0.25">
      <c r="A59" t="s">
        <v>76</v>
      </c>
      <c r="B59" t="s">
        <v>69</v>
      </c>
      <c r="C59">
        <v>8</v>
      </c>
      <c r="D59" s="1">
        <v>4.7452195398369996</v>
      </c>
      <c r="E59">
        <v>20</v>
      </c>
      <c r="F59">
        <v>2838.08586709768</v>
      </c>
      <c r="G59">
        <v>6.1694831728706302E-2</v>
      </c>
      <c r="H59">
        <v>9.1495492396853298E-2</v>
      </c>
      <c r="I59">
        <v>4.7432310032069998</v>
      </c>
      <c r="J59">
        <v>6.4038435433583096</v>
      </c>
      <c r="K59">
        <v>4.7125355000000004</v>
      </c>
      <c r="L59">
        <v>1.8841499999999699E-2</v>
      </c>
      <c r="M59">
        <v>4.7103749999999299E-2</v>
      </c>
      <c r="N59">
        <v>0.89653809607016399</v>
      </c>
      <c r="O59">
        <v>0.85</v>
      </c>
      <c r="P59">
        <v>0.64038435433583196</v>
      </c>
      <c r="Q59" t="s">
        <v>135</v>
      </c>
      <c r="R59" t="s">
        <v>136</v>
      </c>
      <c r="S59" t="b">
        <v>1</v>
      </c>
      <c r="T59">
        <v>6</v>
      </c>
      <c r="U59" s="2">
        <v>3.2684039836996498E-2</v>
      </c>
      <c r="V59" s="2">
        <v>1.9885366299927701E-3</v>
      </c>
    </row>
    <row r="60" spans="1:22" x14ac:dyDescent="0.25">
      <c r="A60" t="s">
        <v>77</v>
      </c>
      <c r="B60" t="s">
        <v>69</v>
      </c>
      <c r="C60">
        <v>9</v>
      </c>
      <c r="D60" s="1">
        <v>5.1428953681057603</v>
      </c>
      <c r="E60">
        <v>20</v>
      </c>
      <c r="F60">
        <v>2514.3896788328002</v>
      </c>
      <c r="G60">
        <v>6.3081514343412207E-2</v>
      </c>
      <c r="H60">
        <v>0.107425606317754</v>
      </c>
      <c r="I60">
        <v>5.1538393267049996</v>
      </c>
      <c r="J60">
        <v>5.9079379742442697</v>
      </c>
      <c r="K60">
        <v>5.1285340000000001</v>
      </c>
      <c r="L60">
        <v>1.77119999999991E-2</v>
      </c>
      <c r="M60">
        <v>4.4279999999997703E-2</v>
      </c>
      <c r="N60">
        <v>0.82711131639419799</v>
      </c>
      <c r="O60">
        <v>0.8</v>
      </c>
      <c r="P60">
        <v>0.59079379742442695</v>
      </c>
      <c r="Q60" t="s">
        <v>135</v>
      </c>
      <c r="R60" t="s">
        <v>136</v>
      </c>
      <c r="S60" t="b">
        <v>1</v>
      </c>
      <c r="T60">
        <v>6</v>
      </c>
      <c r="U60" s="2">
        <v>1.43613681057557E-2</v>
      </c>
      <c r="V60" s="2">
        <v>-1.0943958599245501E-2</v>
      </c>
    </row>
    <row r="61" spans="1:22" x14ac:dyDescent="0.25">
      <c r="A61" t="s">
        <v>78</v>
      </c>
      <c r="B61" t="s">
        <v>69</v>
      </c>
      <c r="C61">
        <v>10</v>
      </c>
      <c r="D61" s="1">
        <v>5.8980295153819897</v>
      </c>
      <c r="E61">
        <v>20</v>
      </c>
      <c r="F61">
        <v>2876.0952373361101</v>
      </c>
      <c r="G61">
        <v>5.0517351695426302E-2</v>
      </c>
      <c r="H61">
        <v>0.109800400787569</v>
      </c>
      <c r="I61">
        <v>5.8952437765428396</v>
      </c>
      <c r="J61">
        <v>5.8961401936435198</v>
      </c>
      <c r="K61">
        <v>5.8810510000000003</v>
      </c>
      <c r="L61">
        <v>1.4769000000000299E-2</v>
      </c>
      <c r="M61">
        <v>3.6922500000000601E-2</v>
      </c>
      <c r="N61">
        <v>0.82545962711009202</v>
      </c>
      <c r="O61">
        <v>0.8</v>
      </c>
      <c r="P61">
        <v>0.58961401936435198</v>
      </c>
      <c r="Q61" t="s">
        <v>135</v>
      </c>
      <c r="R61" t="s">
        <v>136</v>
      </c>
      <c r="S61" t="b">
        <v>1</v>
      </c>
      <c r="T61">
        <v>6</v>
      </c>
      <c r="U61" s="2">
        <v>1.6978515381986799E-2</v>
      </c>
      <c r="V61" s="2">
        <v>2.7857388391465702E-3</v>
      </c>
    </row>
    <row r="62" spans="1:22" x14ac:dyDescent="0.25">
      <c r="A62" t="s">
        <v>79</v>
      </c>
      <c r="B62" t="s">
        <v>69</v>
      </c>
      <c r="C62">
        <v>11</v>
      </c>
      <c r="D62" s="1">
        <v>6.26126158888726</v>
      </c>
      <c r="E62">
        <v>20</v>
      </c>
      <c r="F62">
        <v>3012.2236478806599</v>
      </c>
      <c r="G62">
        <v>5.1650424160476799E-2</v>
      </c>
      <c r="H62">
        <v>9.4392628218218297E-2</v>
      </c>
      <c r="I62">
        <v>6.2609606827712003</v>
      </c>
      <c r="J62">
        <v>6.6297550910552596</v>
      </c>
      <c r="K62">
        <v>6.2258060000000004</v>
      </c>
      <c r="L62">
        <v>3.4275749999999099E-2</v>
      </c>
      <c r="M62">
        <v>8.5689374999997597E-2</v>
      </c>
      <c r="N62">
        <v>0.92816571274773696</v>
      </c>
      <c r="O62">
        <v>0.9</v>
      </c>
      <c r="P62">
        <v>0.66297550910552605</v>
      </c>
      <c r="Q62" t="s">
        <v>135</v>
      </c>
      <c r="R62" t="s">
        <v>136</v>
      </c>
      <c r="S62" t="b">
        <v>1</v>
      </c>
      <c r="T62">
        <v>6</v>
      </c>
      <c r="U62" s="2">
        <v>3.5455588887257E-2</v>
      </c>
      <c r="V62" s="2">
        <v>3.0090611605793099E-4</v>
      </c>
    </row>
    <row r="63" spans="1:22" x14ac:dyDescent="0.25">
      <c r="A63" t="s">
        <v>80</v>
      </c>
      <c r="B63" t="s">
        <v>69</v>
      </c>
      <c r="C63">
        <v>12</v>
      </c>
      <c r="D63" s="1">
        <v>6.6026774326625697</v>
      </c>
      <c r="E63">
        <v>20</v>
      </c>
      <c r="F63">
        <v>2428.9002134837401</v>
      </c>
      <c r="G63">
        <v>7.9277761056468096E-2</v>
      </c>
      <c r="H63">
        <v>8.2095274363335594E-2</v>
      </c>
      <c r="I63">
        <v>6.6248760171205001</v>
      </c>
      <c r="J63">
        <v>5.0635509269453696</v>
      </c>
      <c r="K63">
        <v>6.5892590000000002</v>
      </c>
      <c r="L63">
        <v>1.9289000000000101E-2</v>
      </c>
      <c r="M63">
        <v>4.82225000000003E-2</v>
      </c>
      <c r="N63">
        <v>0.70889712977235197</v>
      </c>
      <c r="O63">
        <v>0.7</v>
      </c>
      <c r="P63">
        <v>0.50635509269453705</v>
      </c>
      <c r="Q63" t="s">
        <v>135</v>
      </c>
      <c r="R63" t="s">
        <v>136</v>
      </c>
      <c r="S63" t="b">
        <v>1</v>
      </c>
      <c r="T63">
        <v>6</v>
      </c>
      <c r="U63" s="2">
        <v>1.3418432662571299E-2</v>
      </c>
      <c r="V63" s="2">
        <v>-2.2198584457926E-2</v>
      </c>
    </row>
    <row r="64" spans="1:22" x14ac:dyDescent="0.25">
      <c r="A64" t="s">
        <v>81</v>
      </c>
      <c r="B64" t="s">
        <v>69</v>
      </c>
      <c r="C64">
        <v>13</v>
      </c>
      <c r="D64" s="1">
        <v>6.9780285354349099</v>
      </c>
      <c r="E64">
        <v>20</v>
      </c>
      <c r="F64">
        <v>2320.2981100857801</v>
      </c>
      <c r="G64">
        <v>5.68977021040959E-2</v>
      </c>
      <c r="H64">
        <v>0.108955990626645</v>
      </c>
      <c r="I64">
        <v>7.0079904199568501</v>
      </c>
      <c r="J64">
        <v>4.91186311805955</v>
      </c>
      <c r="K64">
        <v>6.9686405000000002</v>
      </c>
      <c r="L64">
        <v>2.3303000000000299E-2</v>
      </c>
      <c r="M64">
        <v>5.8257500000000698E-2</v>
      </c>
      <c r="N64">
        <v>0.68766083652833798</v>
      </c>
      <c r="O64">
        <v>0.65</v>
      </c>
      <c r="P64">
        <v>0.49118631180595501</v>
      </c>
      <c r="Q64" t="s">
        <v>138</v>
      </c>
      <c r="R64" t="s">
        <v>136</v>
      </c>
      <c r="S64" t="b">
        <v>1</v>
      </c>
      <c r="T64">
        <v>6</v>
      </c>
      <c r="U64" s="2">
        <v>9.3880354349105098E-3</v>
      </c>
      <c r="V64" s="2">
        <v>-2.9961884521940301E-2</v>
      </c>
    </row>
    <row r="65" spans="1:22" x14ac:dyDescent="0.25">
      <c r="A65" t="s">
        <v>82</v>
      </c>
      <c r="B65" t="s">
        <v>69</v>
      </c>
      <c r="C65">
        <v>14</v>
      </c>
      <c r="D65" s="1">
        <v>7.3771321344473701</v>
      </c>
      <c r="E65">
        <v>20</v>
      </c>
      <c r="F65">
        <v>2529.6302814809701</v>
      </c>
      <c r="G65">
        <v>7.0482563576126298E-2</v>
      </c>
      <c r="H65">
        <v>0.11455780506705</v>
      </c>
      <c r="I65">
        <v>7.4060087810973396</v>
      </c>
      <c r="J65">
        <v>5.32009049630022</v>
      </c>
      <c r="K65">
        <v>7.3708914999999999</v>
      </c>
      <c r="L65">
        <v>1.88232500000001E-2</v>
      </c>
      <c r="M65">
        <v>4.70581250000002E-2</v>
      </c>
      <c r="N65">
        <v>0.74481266948203095</v>
      </c>
      <c r="O65">
        <v>0.7</v>
      </c>
      <c r="P65">
        <v>0.53200904963002205</v>
      </c>
      <c r="Q65" t="s">
        <v>135</v>
      </c>
      <c r="R65" t="s">
        <v>136</v>
      </c>
      <c r="S65" t="b">
        <v>1</v>
      </c>
      <c r="T65">
        <v>6</v>
      </c>
      <c r="U65" s="2">
        <v>6.2406344473719998E-3</v>
      </c>
      <c r="V65" s="2">
        <v>-2.8876646649964099E-2</v>
      </c>
    </row>
    <row r="66" spans="1:22" x14ac:dyDescent="0.25">
      <c r="A66" t="s">
        <v>83</v>
      </c>
      <c r="B66" t="s">
        <v>69</v>
      </c>
      <c r="C66">
        <v>15</v>
      </c>
      <c r="D66" s="1">
        <v>8.4898612298451894</v>
      </c>
      <c r="E66">
        <v>20</v>
      </c>
      <c r="F66">
        <v>2696.6483952723001</v>
      </c>
      <c r="G66">
        <v>4.7330021736895302E-2</v>
      </c>
      <c r="H66">
        <v>8.8086219227451204E-2</v>
      </c>
      <c r="I66">
        <v>8.4897848651317496</v>
      </c>
      <c r="J66">
        <v>6.0311372043520599</v>
      </c>
      <c r="K66">
        <v>8.4613545000000006</v>
      </c>
      <c r="L66">
        <v>1.64430000000007E-2</v>
      </c>
      <c r="M66">
        <v>4.1107500000001601E-2</v>
      </c>
      <c r="N66">
        <v>0.84435920860928904</v>
      </c>
      <c r="O66">
        <v>0.8</v>
      </c>
      <c r="P66">
        <v>0.60311372043520595</v>
      </c>
      <c r="Q66" t="s">
        <v>135</v>
      </c>
      <c r="R66" t="s">
        <v>136</v>
      </c>
      <c r="S66" t="b">
        <v>1</v>
      </c>
      <c r="T66">
        <v>6</v>
      </c>
      <c r="U66" s="2">
        <v>2.8506729845185302E-2</v>
      </c>
      <c r="V66" s="2">
        <v>7.6364713438081794E-5</v>
      </c>
    </row>
    <row r="67" spans="1:22" x14ac:dyDescent="0.25">
      <c r="A67" t="s">
        <v>84</v>
      </c>
      <c r="B67" t="s">
        <v>69</v>
      </c>
      <c r="C67">
        <v>16</v>
      </c>
      <c r="D67" s="1">
        <v>8.8675278600366596</v>
      </c>
      <c r="E67">
        <v>20</v>
      </c>
      <c r="F67">
        <v>2883.6623234510398</v>
      </c>
      <c r="G67">
        <v>6.03996519283665E-2</v>
      </c>
      <c r="H67">
        <v>8.5224129849109695E-2</v>
      </c>
      <c r="I67">
        <v>8.8651152586456092</v>
      </c>
      <c r="J67">
        <v>6.4038435433583096</v>
      </c>
      <c r="K67">
        <v>8.8415949999999999</v>
      </c>
      <c r="L67">
        <v>1.8609500000000199E-2</v>
      </c>
      <c r="M67">
        <v>4.6523750000000398E-2</v>
      </c>
      <c r="N67">
        <v>0.89653809607016399</v>
      </c>
      <c r="O67">
        <v>0.85</v>
      </c>
      <c r="P67">
        <v>0.64038435433583196</v>
      </c>
      <c r="Q67" t="s">
        <v>135</v>
      </c>
      <c r="R67" t="s">
        <v>136</v>
      </c>
      <c r="S67" t="b">
        <v>1</v>
      </c>
      <c r="T67">
        <v>6</v>
      </c>
      <c r="U67" s="2">
        <v>2.5932860036658002E-2</v>
      </c>
      <c r="V67" s="2">
        <v>2.4126013910468198E-3</v>
      </c>
    </row>
    <row r="68" spans="1:22" x14ac:dyDescent="0.25">
      <c r="A68" t="s">
        <v>85</v>
      </c>
      <c r="B68" t="s">
        <v>69</v>
      </c>
      <c r="C68">
        <v>17</v>
      </c>
      <c r="D68" s="1">
        <v>9.2064866652229096</v>
      </c>
      <c r="E68">
        <v>20</v>
      </c>
      <c r="F68">
        <v>2581.0183497545499</v>
      </c>
      <c r="G68">
        <v>3.9673014343411903E-2</v>
      </c>
      <c r="H68">
        <v>6.06234672124751E-2</v>
      </c>
      <c r="I68">
        <v>9.2081373515600191</v>
      </c>
      <c r="J68">
        <v>5.5320354929311</v>
      </c>
      <c r="K68">
        <v>9.1889350000000007</v>
      </c>
      <c r="L68">
        <v>1.4627000000000801E-2</v>
      </c>
      <c r="M68">
        <v>3.6567500000002098E-2</v>
      </c>
      <c r="N68">
        <v>0.77448496901035402</v>
      </c>
      <c r="O68">
        <v>0.75</v>
      </c>
      <c r="P68">
        <v>0.55320354929311</v>
      </c>
      <c r="Q68" t="s">
        <v>135</v>
      </c>
      <c r="R68" t="s">
        <v>136</v>
      </c>
      <c r="S68" t="b">
        <v>1</v>
      </c>
      <c r="T68">
        <v>6</v>
      </c>
      <c r="U68" s="2">
        <v>1.75516652229071E-2</v>
      </c>
      <c r="V68" s="2">
        <v>-1.6506863371148501E-3</v>
      </c>
    </row>
    <row r="69" spans="1:22" x14ac:dyDescent="0.25">
      <c r="A69" t="s">
        <v>86</v>
      </c>
      <c r="B69" t="s">
        <v>69</v>
      </c>
      <c r="C69">
        <v>18</v>
      </c>
      <c r="D69" s="1">
        <v>9.5749980385405706</v>
      </c>
      <c r="E69">
        <v>20</v>
      </c>
      <c r="F69">
        <v>2748.3086268336701</v>
      </c>
      <c r="G69">
        <v>4.8984150624786303E-2</v>
      </c>
      <c r="H69">
        <v>7.3474592652478604E-2</v>
      </c>
      <c r="I69">
        <v>9.5866968417626097</v>
      </c>
      <c r="J69">
        <v>5.9079379742442697</v>
      </c>
      <c r="K69">
        <v>9.5539240000000003</v>
      </c>
      <c r="L69">
        <v>2.3926000000002098E-2</v>
      </c>
      <c r="M69">
        <v>5.9815000000005301E-2</v>
      </c>
      <c r="N69">
        <v>0.82711131639419799</v>
      </c>
      <c r="O69">
        <v>0.8</v>
      </c>
      <c r="P69">
        <v>0.59079379742442695</v>
      </c>
      <c r="Q69" t="s">
        <v>135</v>
      </c>
      <c r="R69" t="s">
        <v>136</v>
      </c>
      <c r="S69" t="b">
        <v>1</v>
      </c>
      <c r="T69">
        <v>6</v>
      </c>
      <c r="U69" s="2">
        <v>2.1074038540572101E-2</v>
      </c>
      <c r="V69" s="2">
        <v>-1.16988032220391E-2</v>
      </c>
    </row>
    <row r="70" spans="1:22" x14ac:dyDescent="0.25">
      <c r="A70" t="s">
        <v>87</v>
      </c>
      <c r="B70" t="s">
        <v>69</v>
      </c>
      <c r="C70">
        <v>19</v>
      </c>
      <c r="D70" s="1">
        <v>10.8021000415334</v>
      </c>
      <c r="E70">
        <v>20</v>
      </c>
      <c r="F70">
        <v>2696.6490073874302</v>
      </c>
      <c r="G70">
        <v>4.8040575687661603E-2</v>
      </c>
      <c r="H70">
        <v>0.18953807296080499</v>
      </c>
      <c r="I70">
        <v>10.785982930211</v>
      </c>
      <c r="J70">
        <v>5.4967629013108299</v>
      </c>
      <c r="K70">
        <v>10.778677999999999</v>
      </c>
      <c r="L70">
        <v>1.40185000000006E-2</v>
      </c>
      <c r="M70">
        <v>3.50462500000015E-2</v>
      </c>
      <c r="N70">
        <v>0.76954680618351601</v>
      </c>
      <c r="O70">
        <v>0.75</v>
      </c>
      <c r="P70">
        <v>0.54967629013108299</v>
      </c>
      <c r="Q70" t="s">
        <v>135</v>
      </c>
      <c r="R70" t="s">
        <v>136</v>
      </c>
      <c r="S70" t="b">
        <v>1</v>
      </c>
      <c r="T70">
        <v>6</v>
      </c>
      <c r="U70" s="2">
        <v>2.34220415333883E-2</v>
      </c>
      <c r="V70" s="2">
        <v>1.6117111322419199E-2</v>
      </c>
    </row>
    <row r="71" spans="1:22" x14ac:dyDescent="0.25">
      <c r="A71" t="s">
        <v>88</v>
      </c>
      <c r="B71" t="s">
        <v>69</v>
      </c>
      <c r="C71">
        <v>20</v>
      </c>
      <c r="D71" s="1">
        <v>11.1572780846108</v>
      </c>
      <c r="E71">
        <v>20</v>
      </c>
      <c r="F71">
        <v>2357.5951847418</v>
      </c>
      <c r="G71">
        <v>6.7393787568361396E-2</v>
      </c>
      <c r="H71">
        <v>0.12873617651298699</v>
      </c>
      <c r="I71">
        <v>11.156748362229999</v>
      </c>
      <c r="J71">
        <v>5.5320354929311</v>
      </c>
      <c r="K71">
        <v>11.147026500000001</v>
      </c>
      <c r="L71">
        <v>1.6476500000000401E-2</v>
      </c>
      <c r="M71">
        <v>4.1191250000001102E-2</v>
      </c>
      <c r="N71">
        <v>0.77448496901035402</v>
      </c>
      <c r="O71">
        <v>0.75</v>
      </c>
      <c r="P71">
        <v>0.55320354929311</v>
      </c>
      <c r="Q71" t="s">
        <v>135</v>
      </c>
      <c r="R71" t="s">
        <v>136</v>
      </c>
      <c r="S71" t="b">
        <v>1</v>
      </c>
      <c r="T71">
        <v>6</v>
      </c>
      <c r="U71" s="2">
        <v>1.02515846108293E-2</v>
      </c>
      <c r="V71" s="2">
        <v>5.2972238080428702E-4</v>
      </c>
    </row>
    <row r="72" spans="1:22" x14ac:dyDescent="0.25">
      <c r="A72" t="s">
        <v>89</v>
      </c>
      <c r="B72" t="s">
        <v>69</v>
      </c>
      <c r="C72">
        <v>21</v>
      </c>
      <c r="D72" s="1">
        <v>11.5092608502512</v>
      </c>
      <c r="E72">
        <v>20</v>
      </c>
      <c r="F72">
        <v>2636.1801278910998</v>
      </c>
      <c r="G72">
        <v>6.5483471267336196E-2</v>
      </c>
      <c r="H72">
        <v>9.7878174861244505E-2</v>
      </c>
      <c r="I72">
        <v>11.507199004135799</v>
      </c>
      <c r="J72">
        <v>5.8929440513365998</v>
      </c>
      <c r="K72">
        <v>11.479191</v>
      </c>
      <c r="L72">
        <v>2.31049999999993E-2</v>
      </c>
      <c r="M72">
        <v>5.7762499999998197E-2</v>
      </c>
      <c r="N72">
        <v>0.825012167187123</v>
      </c>
      <c r="O72">
        <v>0.8</v>
      </c>
      <c r="P72">
        <v>0.58929440513366005</v>
      </c>
      <c r="Q72" t="s">
        <v>135</v>
      </c>
      <c r="R72" t="s">
        <v>136</v>
      </c>
      <c r="S72" t="b">
        <v>1</v>
      </c>
      <c r="T72">
        <v>6</v>
      </c>
      <c r="U72" s="2">
        <v>3.00698502511541E-2</v>
      </c>
      <c r="V72" s="2">
        <v>2.0618461153159E-3</v>
      </c>
    </row>
    <row r="73" spans="1:22" x14ac:dyDescent="0.25">
      <c r="A73" t="s">
        <v>90</v>
      </c>
      <c r="B73" t="s">
        <v>69</v>
      </c>
      <c r="C73">
        <v>22</v>
      </c>
      <c r="D73" s="1">
        <v>11.899162598924599</v>
      </c>
      <c r="E73">
        <v>20</v>
      </c>
      <c r="F73">
        <v>2466.5369420663101</v>
      </c>
      <c r="G73">
        <v>5.1571971848237301E-2</v>
      </c>
      <c r="H73">
        <v>0.115349417581195</v>
      </c>
      <c r="I73">
        <v>11.8930292037151</v>
      </c>
      <c r="J73">
        <v>5.5320354929311</v>
      </c>
      <c r="K73">
        <v>11.893546000000001</v>
      </c>
      <c r="L73">
        <v>1.7475000000001E-2</v>
      </c>
      <c r="M73">
        <v>4.3687500000002502E-2</v>
      </c>
      <c r="N73">
        <v>0.77448496901035402</v>
      </c>
      <c r="O73">
        <v>0.75</v>
      </c>
      <c r="P73">
        <v>0.55320354929311</v>
      </c>
      <c r="Q73" t="s">
        <v>135</v>
      </c>
      <c r="R73" t="s">
        <v>136</v>
      </c>
      <c r="S73" t="b">
        <v>1</v>
      </c>
      <c r="T73">
        <v>6</v>
      </c>
      <c r="U73" s="2">
        <v>5.6165989245506899E-3</v>
      </c>
      <c r="V73" s="2">
        <v>6.13339520940315E-3</v>
      </c>
    </row>
    <row r="74" spans="1:22" x14ac:dyDescent="0.25">
      <c r="A74" t="s">
        <v>91</v>
      </c>
      <c r="B74" t="s">
        <v>69</v>
      </c>
      <c r="C74">
        <v>23</v>
      </c>
      <c r="D74" s="1">
        <v>12.237016982725301</v>
      </c>
      <c r="E74">
        <v>20</v>
      </c>
      <c r="F74">
        <v>2691.1546990000602</v>
      </c>
      <c r="G74">
        <v>6.8430772337979506E-2</v>
      </c>
      <c r="H74">
        <v>0.118481300842988</v>
      </c>
      <c r="I74">
        <v>12.2267946433617</v>
      </c>
      <c r="J74">
        <v>5.60575354723166</v>
      </c>
      <c r="K74">
        <v>12.2095225</v>
      </c>
      <c r="L74">
        <v>1.4079999999999E-2</v>
      </c>
      <c r="M74">
        <v>3.5199999999997497E-2</v>
      </c>
      <c r="N74">
        <v>0.78480549661243304</v>
      </c>
      <c r="O74">
        <v>0.75</v>
      </c>
      <c r="P74">
        <v>0.560575354723166</v>
      </c>
      <c r="Q74" t="s">
        <v>135</v>
      </c>
      <c r="R74" t="s">
        <v>136</v>
      </c>
      <c r="S74" t="b">
        <v>1</v>
      </c>
      <c r="T74">
        <v>6</v>
      </c>
      <c r="U74" s="2">
        <v>2.7494482725311201E-2</v>
      </c>
      <c r="V74" s="2">
        <v>1.022233936364E-2</v>
      </c>
    </row>
    <row r="75" spans="1:22" x14ac:dyDescent="0.25">
      <c r="A75" t="s">
        <v>92</v>
      </c>
      <c r="B75" t="s">
        <v>69</v>
      </c>
      <c r="C75">
        <v>24</v>
      </c>
      <c r="D75" s="1">
        <v>12.610184259789101</v>
      </c>
      <c r="E75">
        <v>19</v>
      </c>
      <c r="F75">
        <v>2588.4392239478502</v>
      </c>
      <c r="G75">
        <v>5.7422377860506003E-2</v>
      </c>
      <c r="H75">
        <v>0.110450542966848</v>
      </c>
      <c r="I75">
        <v>12.598002070727199</v>
      </c>
      <c r="J75">
        <v>6.1266555789260897</v>
      </c>
      <c r="K75">
        <v>12.584279</v>
      </c>
      <c r="L75">
        <v>1.8948E-2</v>
      </c>
      <c r="M75">
        <v>4.7369999999999898E-2</v>
      </c>
      <c r="N75">
        <v>0.85773178104965198</v>
      </c>
      <c r="O75">
        <v>0.84210526315789502</v>
      </c>
      <c r="P75">
        <v>0.61266555789260901</v>
      </c>
      <c r="Q75" t="s">
        <v>135</v>
      </c>
      <c r="R75" t="s">
        <v>136</v>
      </c>
      <c r="S75" t="b">
        <v>1</v>
      </c>
      <c r="T75">
        <v>6</v>
      </c>
      <c r="U75" s="2">
        <v>2.5905259789112699E-2</v>
      </c>
      <c r="V75" s="2">
        <v>1.21821890618801E-2</v>
      </c>
    </row>
    <row r="76" spans="1:22" x14ac:dyDescent="0.25">
      <c r="A76" t="s">
        <v>93</v>
      </c>
      <c r="B76" t="s">
        <v>69</v>
      </c>
      <c r="C76">
        <v>25</v>
      </c>
      <c r="D76" s="1">
        <v>12.968534192152299</v>
      </c>
      <c r="E76">
        <v>20</v>
      </c>
      <c r="F76">
        <v>2675.8155613805998</v>
      </c>
      <c r="G76">
        <v>4.4620484044008299E-2</v>
      </c>
      <c r="H76">
        <v>8.1637190299921794E-2</v>
      </c>
      <c r="I76">
        <v>12.9870897696697</v>
      </c>
      <c r="J76">
        <v>5.7557444808478904</v>
      </c>
      <c r="K76">
        <v>12.946044499999999</v>
      </c>
      <c r="L76">
        <v>1.43700000000004E-2</v>
      </c>
      <c r="M76">
        <v>3.5925000000001102E-2</v>
      </c>
      <c r="N76">
        <v>0.80580422731870405</v>
      </c>
      <c r="O76">
        <v>0.75</v>
      </c>
      <c r="P76">
        <v>0.57557444808478897</v>
      </c>
      <c r="Q76" t="s">
        <v>135</v>
      </c>
      <c r="R76" t="s">
        <v>136</v>
      </c>
      <c r="S76" t="b">
        <v>1</v>
      </c>
      <c r="T76">
        <v>6</v>
      </c>
      <c r="U76" s="2">
        <v>2.2489692152298301E-2</v>
      </c>
      <c r="V76" s="2">
        <v>-1.855557751745E-2</v>
      </c>
    </row>
    <row r="77" spans="1:22" x14ac:dyDescent="0.25">
      <c r="A77" t="s">
        <v>94</v>
      </c>
      <c r="B77" t="s">
        <v>69</v>
      </c>
      <c r="C77">
        <v>26</v>
      </c>
      <c r="D77" s="1">
        <v>13.340930873149199</v>
      </c>
      <c r="E77">
        <v>20</v>
      </c>
      <c r="F77">
        <v>3011.2518695910098</v>
      </c>
      <c r="G77">
        <v>4.9376742721419099E-2</v>
      </c>
      <c r="H77">
        <v>7.34128398790483E-2</v>
      </c>
      <c r="I77">
        <v>13.353392120207401</v>
      </c>
      <c r="J77">
        <v>6.4038435433583096</v>
      </c>
      <c r="K77">
        <v>13.317185</v>
      </c>
      <c r="L77">
        <v>2.1429750000000199E-2</v>
      </c>
      <c r="M77">
        <v>5.3574375000000597E-2</v>
      </c>
      <c r="N77">
        <v>0.89653809607016399</v>
      </c>
      <c r="O77">
        <v>0.85</v>
      </c>
      <c r="P77">
        <v>0.64038435433583196</v>
      </c>
      <c r="Q77" t="s">
        <v>135</v>
      </c>
      <c r="R77" t="s">
        <v>136</v>
      </c>
      <c r="S77" t="b">
        <v>1</v>
      </c>
      <c r="T77">
        <v>6</v>
      </c>
      <c r="U77" s="2">
        <v>2.37458731492293E-2</v>
      </c>
      <c r="V77" s="2">
        <v>-1.24612470581322E-2</v>
      </c>
    </row>
    <row r="78" spans="1:22" x14ac:dyDescent="0.25">
      <c r="A78" t="s">
        <v>95</v>
      </c>
      <c r="B78" t="s">
        <v>69</v>
      </c>
      <c r="C78">
        <v>27</v>
      </c>
      <c r="D78" s="1">
        <v>13.6877257746839</v>
      </c>
      <c r="E78">
        <v>20</v>
      </c>
      <c r="F78">
        <v>2766.3774246829098</v>
      </c>
      <c r="G78">
        <v>5.7248311155817598E-2</v>
      </c>
      <c r="H78">
        <v>6.5134575049503193E-2</v>
      </c>
      <c r="I78">
        <v>13.702350151589</v>
      </c>
      <c r="J78">
        <v>5.6820264265473304</v>
      </c>
      <c r="K78">
        <v>13.683448</v>
      </c>
      <c r="L78">
        <v>2.0796749999999701E-2</v>
      </c>
      <c r="M78">
        <v>5.1991874999999202E-2</v>
      </c>
      <c r="N78">
        <v>0.79548369971662602</v>
      </c>
      <c r="O78">
        <v>0.75</v>
      </c>
      <c r="P78">
        <v>0.56820264265473297</v>
      </c>
      <c r="Q78" t="s">
        <v>135</v>
      </c>
      <c r="R78" t="s">
        <v>136</v>
      </c>
      <c r="S78" t="b">
        <v>1</v>
      </c>
      <c r="T78">
        <v>6</v>
      </c>
      <c r="U78" s="2">
        <v>4.2777746839259799E-3</v>
      </c>
      <c r="V78" s="2">
        <v>-1.4624376905072E-2</v>
      </c>
    </row>
    <row r="79" spans="1:22" x14ac:dyDescent="0.25">
      <c r="A79" t="s">
        <v>96</v>
      </c>
      <c r="B79" t="s">
        <v>69</v>
      </c>
      <c r="C79">
        <v>28</v>
      </c>
      <c r="D79" s="1">
        <v>14.110999313034201</v>
      </c>
      <c r="E79">
        <v>20</v>
      </c>
      <c r="F79">
        <v>2691.1264645095798</v>
      </c>
      <c r="G79">
        <v>5.6786242721418703E-2</v>
      </c>
      <c r="H79">
        <v>0.11240161646227501</v>
      </c>
      <c r="I79">
        <v>14.1084390307</v>
      </c>
      <c r="J79">
        <v>5.40264751932654</v>
      </c>
      <c r="K79">
        <v>14.0890795</v>
      </c>
      <c r="L79">
        <v>3.0597499999998098E-2</v>
      </c>
      <c r="M79">
        <v>7.64937499999951E-2</v>
      </c>
      <c r="N79">
        <v>0.75637065270571602</v>
      </c>
      <c r="O79">
        <v>0.75</v>
      </c>
      <c r="P79">
        <v>0.540264751932654</v>
      </c>
      <c r="Q79" t="s">
        <v>135</v>
      </c>
      <c r="R79" t="s">
        <v>136</v>
      </c>
      <c r="S79" t="b">
        <v>1</v>
      </c>
      <c r="T79">
        <v>6</v>
      </c>
      <c r="U79" s="2">
        <v>2.19198130341773E-2</v>
      </c>
      <c r="V79" s="2">
        <v>2.5602823341763798E-3</v>
      </c>
    </row>
    <row r="80" spans="1:22" x14ac:dyDescent="0.25">
      <c r="A80" t="s">
        <v>97</v>
      </c>
      <c r="B80" t="s">
        <v>69</v>
      </c>
      <c r="C80">
        <v>29</v>
      </c>
      <c r="D80" s="1">
        <v>15.2717935863083</v>
      </c>
      <c r="E80">
        <v>20</v>
      </c>
      <c r="F80">
        <v>2762.1480834572999</v>
      </c>
      <c r="G80">
        <v>6.3010575687661496E-2</v>
      </c>
      <c r="H80">
        <v>8.1291428491639298E-2</v>
      </c>
      <c r="I80">
        <v>15.277497293358399</v>
      </c>
      <c r="J80">
        <v>6.0279410620451399</v>
      </c>
      <c r="K80">
        <v>15.247077000000001</v>
      </c>
      <c r="L80">
        <v>2.2932500000000501E-2</v>
      </c>
      <c r="M80">
        <v>5.7331250000001201E-2</v>
      </c>
      <c r="N80">
        <v>0.84391174868632002</v>
      </c>
      <c r="O80">
        <v>0.8</v>
      </c>
      <c r="P80">
        <v>0.60279410620451401</v>
      </c>
      <c r="Q80" t="s">
        <v>135</v>
      </c>
      <c r="R80" t="s">
        <v>136</v>
      </c>
      <c r="S80" t="b">
        <v>1</v>
      </c>
      <c r="T80">
        <v>6</v>
      </c>
      <c r="U80" s="2">
        <v>2.4716586308308301E-2</v>
      </c>
      <c r="V80" s="2">
        <v>-5.7037070500616203E-3</v>
      </c>
    </row>
    <row r="81" spans="1:22" x14ac:dyDescent="0.25">
      <c r="A81" t="s">
        <v>98</v>
      </c>
      <c r="B81" t="s">
        <v>69</v>
      </c>
      <c r="C81">
        <v>30</v>
      </c>
      <c r="D81" s="1">
        <v>15.6386224934236</v>
      </c>
      <c r="E81">
        <v>18</v>
      </c>
      <c r="F81">
        <v>2172.4773143481898</v>
      </c>
      <c r="G81">
        <v>7.8837525928707505E-2</v>
      </c>
      <c r="H81">
        <v>0.18502452291944699</v>
      </c>
      <c r="I81">
        <v>15.626256633432501</v>
      </c>
      <c r="J81">
        <v>5.0192262609397904</v>
      </c>
      <c r="K81">
        <v>15.633432000000001</v>
      </c>
      <c r="L81">
        <v>2.4075250000000999E-2</v>
      </c>
      <c r="M81">
        <v>6.01881250000025E-2</v>
      </c>
      <c r="N81">
        <v>0.70269167653157005</v>
      </c>
      <c r="O81">
        <v>0.66666666666666696</v>
      </c>
      <c r="P81">
        <v>0.50192262609397897</v>
      </c>
      <c r="Q81" t="s">
        <v>135</v>
      </c>
      <c r="R81" t="s">
        <v>136</v>
      </c>
      <c r="S81" t="b">
        <v>1</v>
      </c>
      <c r="T81">
        <v>6</v>
      </c>
      <c r="U81" s="2">
        <v>5.1904934236333099E-3</v>
      </c>
      <c r="V81" s="2">
        <v>1.23658599911813E-2</v>
      </c>
    </row>
    <row r="82" spans="1:22" x14ac:dyDescent="0.25">
      <c r="A82" t="s">
        <v>99</v>
      </c>
      <c r="B82" t="s">
        <v>69</v>
      </c>
      <c r="C82">
        <v>31</v>
      </c>
      <c r="D82" s="1">
        <v>16.486323119282101</v>
      </c>
      <c r="E82">
        <v>19</v>
      </c>
      <c r="F82">
        <v>2393.11055629466</v>
      </c>
      <c r="G82">
        <v>6.1338165077876303E-2</v>
      </c>
      <c r="H82">
        <v>0.118909454656312</v>
      </c>
      <c r="I82">
        <v>16.491690225588702</v>
      </c>
      <c r="J82">
        <v>5.2921553341820502</v>
      </c>
      <c r="K82">
        <v>16.4710325</v>
      </c>
      <c r="L82">
        <v>2.5673499999999901E-2</v>
      </c>
      <c r="M82">
        <v>6.4183749999999803E-2</v>
      </c>
      <c r="N82">
        <v>0.74090174678548704</v>
      </c>
      <c r="O82">
        <v>0.68421052631578905</v>
      </c>
      <c r="P82">
        <v>0.52921553341820504</v>
      </c>
      <c r="Q82" t="s">
        <v>135</v>
      </c>
      <c r="R82" t="s">
        <v>136</v>
      </c>
      <c r="S82" t="b">
        <v>1</v>
      </c>
      <c r="T82">
        <v>6</v>
      </c>
      <c r="U82" s="2">
        <v>1.52906192820588E-2</v>
      </c>
      <c r="V82" s="2">
        <v>-5.3671063066609301E-3</v>
      </c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86"/>
  <sheetViews>
    <sheetView topLeftCell="A61" workbookViewId="0">
      <pane xSplit="1" topLeftCell="G1" activePane="topRight" state="frozen"/>
      <selection pane="topRight" activeCell="AB24" sqref="AB24"/>
    </sheetView>
  </sheetViews>
  <sheetFormatPr defaultColWidth="11.42578125" defaultRowHeight="15" x14ac:dyDescent="0.25"/>
  <cols>
    <col min="26" max="27" width="11.42578125" style="3"/>
  </cols>
  <sheetData>
    <row r="1" spans="1:27" x14ac:dyDescent="0.25">
      <c r="A1" t="s">
        <v>0</v>
      </c>
      <c r="B1" t="s">
        <v>1</v>
      </c>
      <c r="C1" t="s">
        <v>2</v>
      </c>
      <c r="D1" s="6" t="s">
        <v>126</v>
      </c>
      <c r="E1" s="6" t="s">
        <v>127</v>
      </c>
      <c r="F1" s="6" t="s">
        <v>150</v>
      </c>
      <c r="G1" s="6" t="s">
        <v>151</v>
      </c>
      <c r="H1" s="6" t="s">
        <v>152</v>
      </c>
      <c r="I1" s="6" t="s">
        <v>153</v>
      </c>
      <c r="J1" s="6" t="s">
        <v>128</v>
      </c>
      <c r="K1" s="6" t="s">
        <v>129</v>
      </c>
      <c r="L1" s="6" t="s">
        <v>130</v>
      </c>
      <c r="M1" s="6" t="s">
        <v>144</v>
      </c>
      <c r="N1" s="6" t="s">
        <v>131</v>
      </c>
      <c r="O1" s="6" t="s">
        <v>132</v>
      </c>
      <c r="P1" s="4" t="s">
        <v>3</v>
      </c>
      <c r="Q1" s="4" t="s">
        <v>6</v>
      </c>
      <c r="R1" s="4" t="s">
        <v>7</v>
      </c>
      <c r="S1" s="4" t="s">
        <v>133</v>
      </c>
      <c r="T1" s="4" t="s">
        <v>124</v>
      </c>
      <c r="U1" s="4" t="s">
        <v>134</v>
      </c>
      <c r="V1" s="4" t="s">
        <v>4</v>
      </c>
      <c r="W1" s="4" t="s">
        <v>5</v>
      </c>
      <c r="X1" s="7" t="s">
        <v>154</v>
      </c>
      <c r="Y1" s="7" t="s">
        <v>155</v>
      </c>
      <c r="Z1" s="3" t="s">
        <v>156</v>
      </c>
      <c r="AA1" s="3" t="s">
        <v>157</v>
      </c>
    </row>
    <row r="2" spans="1:27" x14ac:dyDescent="0.25">
      <c r="D2" s="10" t="s">
        <v>158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 t="s">
        <v>159</v>
      </c>
      <c r="Q2" s="10"/>
      <c r="R2" s="10"/>
      <c r="S2" s="10"/>
      <c r="T2" s="10"/>
      <c r="U2" s="10"/>
      <c r="V2" s="10"/>
      <c r="W2" s="10"/>
      <c r="X2" s="10" t="s">
        <v>160</v>
      </c>
      <c r="Y2" s="10"/>
    </row>
    <row r="4" spans="1:27" s="8" customFormat="1" x14ac:dyDescent="0.25">
      <c r="A4" s="8" t="s">
        <v>12</v>
      </c>
      <c r="B4" s="8" t="s">
        <v>13</v>
      </c>
      <c r="C4" s="8">
        <v>1</v>
      </c>
      <c r="D4" s="8">
        <v>1.72681</v>
      </c>
      <c r="E4" s="8">
        <v>6.5474999999999603E-2</v>
      </c>
      <c r="F4" s="8">
        <v>0.126112999999998</v>
      </c>
      <c r="G4" s="8">
        <v>18</v>
      </c>
      <c r="H4" s="8">
        <v>17.9731587906162</v>
      </c>
      <c r="I4" s="8">
        <v>6.5474999999999603E-2</v>
      </c>
      <c r="J4" s="8">
        <v>0.16368749999999899</v>
      </c>
      <c r="K4" s="8">
        <v>0.76968256086721498</v>
      </c>
      <c r="L4" s="8">
        <v>0.77777777777777801</v>
      </c>
      <c r="M4" s="8">
        <v>5.5555555555555601E-2</v>
      </c>
      <c r="N4" s="8">
        <v>0.54977325776229602</v>
      </c>
      <c r="O4" s="8" t="s">
        <v>135</v>
      </c>
      <c r="P4" s="8">
        <v>1.7990217170728999</v>
      </c>
      <c r="Q4" s="8">
        <v>9.6206733756806995E-2</v>
      </c>
      <c r="R4" s="8">
        <v>0.19909389901791</v>
      </c>
      <c r="S4" s="8">
        <v>7.2211717072902401E-2</v>
      </c>
      <c r="T4" s="8">
        <v>1.8057511779981399</v>
      </c>
      <c r="U4" s="8">
        <v>-6.7294609252419599E-3</v>
      </c>
      <c r="V4" s="8">
        <v>18</v>
      </c>
      <c r="W4" s="8">
        <v>2065.0501729551602</v>
      </c>
      <c r="X4" s="8">
        <v>1.82670779907977</v>
      </c>
      <c r="Y4" s="8">
        <v>1.8001381405067201</v>
      </c>
      <c r="Z4" s="9">
        <v>1.7990217170728999</v>
      </c>
      <c r="AA4" s="9">
        <v>0.16368749999999899</v>
      </c>
    </row>
    <row r="5" spans="1:27" x14ac:dyDescent="0.25">
      <c r="A5" t="s">
        <v>16</v>
      </c>
      <c r="B5" t="s">
        <v>13</v>
      </c>
      <c r="C5">
        <v>2</v>
      </c>
      <c r="D5">
        <v>3.0512199999999998</v>
      </c>
      <c r="E5">
        <v>3.1029249999999099E-2</v>
      </c>
      <c r="F5">
        <v>6.5692250000000604E-2</v>
      </c>
      <c r="G5">
        <v>20</v>
      </c>
      <c r="H5">
        <v>20</v>
      </c>
      <c r="I5">
        <v>3.1029249999999099E-2</v>
      </c>
      <c r="J5">
        <v>7.75731249999978E-2</v>
      </c>
      <c r="K5">
        <v>0.84601089789339501</v>
      </c>
      <c r="L5">
        <v>0.8</v>
      </c>
      <c r="M5">
        <v>0</v>
      </c>
      <c r="N5">
        <v>0.60429349849528202</v>
      </c>
      <c r="O5" t="s">
        <v>135</v>
      </c>
      <c r="P5">
        <v>3.0783759194513198</v>
      </c>
      <c r="Q5">
        <v>5.9732742721418902E-2</v>
      </c>
      <c r="R5">
        <v>0.119143824228998</v>
      </c>
      <c r="S5">
        <v>2.71559194513178E-2</v>
      </c>
      <c r="T5">
        <v>3.0865902063083301</v>
      </c>
      <c r="U5">
        <v>-8.2142868570098705E-3</v>
      </c>
      <c r="V5">
        <v>20</v>
      </c>
      <c r="W5">
        <v>2694.1578965777899</v>
      </c>
      <c r="X5">
        <v>3.0886158838356299</v>
      </c>
      <c r="Y5">
        <v>3.0828496924322502</v>
      </c>
      <c r="Z5" s="3">
        <v>3.0783759194513198</v>
      </c>
      <c r="AA5" s="3">
        <v>7.75731249999978E-2</v>
      </c>
    </row>
    <row r="6" spans="1:27" x14ac:dyDescent="0.25">
      <c r="A6" t="s">
        <v>17</v>
      </c>
      <c r="B6" t="s">
        <v>13</v>
      </c>
      <c r="C6">
        <v>3</v>
      </c>
      <c r="D6">
        <v>4.3903410000000003</v>
      </c>
      <c r="E6">
        <v>2.71017499999999E-2</v>
      </c>
      <c r="F6">
        <v>5.4651249999998298E-2</v>
      </c>
      <c r="G6">
        <v>20</v>
      </c>
      <c r="H6">
        <v>20</v>
      </c>
      <c r="I6">
        <v>2.71017499999999E-2</v>
      </c>
      <c r="J6">
        <v>6.7754374999999797E-2</v>
      </c>
      <c r="K6">
        <v>0.80325695981220602</v>
      </c>
      <c r="L6">
        <v>0.8</v>
      </c>
      <c r="M6">
        <v>0.1</v>
      </c>
      <c r="N6">
        <v>0.57375497129443298</v>
      </c>
      <c r="O6" t="s">
        <v>135</v>
      </c>
      <c r="P6">
        <v>4.4155807146085602</v>
      </c>
      <c r="Q6">
        <v>5.8145742721419098E-2</v>
      </c>
      <c r="R6">
        <v>7.7590798577244602E-2</v>
      </c>
      <c r="S6">
        <v>2.5239714608563401E-2</v>
      </c>
      <c r="T6">
        <v>4.4216145621793403</v>
      </c>
      <c r="U6">
        <v>-6.03384757077752E-3</v>
      </c>
      <c r="V6">
        <v>20</v>
      </c>
      <c r="W6">
        <v>2788.6247359838599</v>
      </c>
      <c r="X6">
        <v>4.4427224519903596</v>
      </c>
      <c r="Y6">
        <v>4.4146307253159298</v>
      </c>
      <c r="Z6" s="3">
        <v>4.4155807146085602</v>
      </c>
      <c r="AA6" s="3">
        <v>6.7754374999999797E-2</v>
      </c>
    </row>
    <row r="7" spans="1:27" x14ac:dyDescent="0.25">
      <c r="A7" t="s">
        <v>18</v>
      </c>
      <c r="B7" t="s">
        <v>13</v>
      </c>
      <c r="C7">
        <v>4</v>
      </c>
      <c r="D7">
        <v>5.6583350000000001</v>
      </c>
      <c r="E7">
        <v>3.3195000000000502E-2</v>
      </c>
      <c r="F7">
        <v>6.6870500000001207E-2</v>
      </c>
      <c r="G7">
        <v>20</v>
      </c>
      <c r="H7">
        <v>20</v>
      </c>
      <c r="I7">
        <v>3.3195000000000502E-2</v>
      </c>
      <c r="J7">
        <v>8.2987500000001296E-2</v>
      </c>
      <c r="K7">
        <v>0.86905946067384998</v>
      </c>
      <c r="L7">
        <v>0.85</v>
      </c>
      <c r="M7">
        <v>0.05</v>
      </c>
      <c r="N7">
        <v>0.62075675762417803</v>
      </c>
      <c r="O7" t="s">
        <v>135</v>
      </c>
      <c r="P7">
        <v>5.6887538192443499</v>
      </c>
      <c r="Q7">
        <v>4.3056211826702599E-2</v>
      </c>
      <c r="R7">
        <v>0.120272826750708</v>
      </c>
      <c r="S7">
        <v>3.0418819244352399E-2</v>
      </c>
      <c r="T7">
        <v>5.6754491417431501</v>
      </c>
      <c r="U7">
        <v>1.33046775012007E-2</v>
      </c>
      <c r="V7">
        <v>20</v>
      </c>
      <c r="W7">
        <v>2964.2226416826602</v>
      </c>
      <c r="X7">
        <v>5.7187624569102304</v>
      </c>
      <c r="Y7">
        <v>5.6705582090298403</v>
      </c>
      <c r="Z7" s="3">
        <v>5.6887538192443499</v>
      </c>
      <c r="AA7" s="3">
        <v>8.2987500000001296E-2</v>
      </c>
    </row>
    <row r="8" spans="1:27" x14ac:dyDescent="0.25">
      <c r="A8" t="s">
        <v>19</v>
      </c>
      <c r="B8" t="s">
        <v>13</v>
      </c>
      <c r="C8">
        <v>5</v>
      </c>
      <c r="D8">
        <v>7.0779284999999996</v>
      </c>
      <c r="E8">
        <v>4.5352249999998297E-2</v>
      </c>
      <c r="F8">
        <v>9.5810749999999195E-2</v>
      </c>
      <c r="G8">
        <v>20</v>
      </c>
      <c r="H8">
        <v>20</v>
      </c>
      <c r="I8">
        <v>4.5352249999998297E-2</v>
      </c>
      <c r="J8">
        <v>0.113380624999996</v>
      </c>
      <c r="K8">
        <v>0.76288828676966802</v>
      </c>
      <c r="L8">
        <v>0.75</v>
      </c>
      <c r="M8">
        <v>0.05</v>
      </c>
      <c r="N8">
        <v>0.54492020483547698</v>
      </c>
      <c r="O8" t="s">
        <v>135</v>
      </c>
      <c r="P8">
        <v>7.0975304996606896</v>
      </c>
      <c r="Q8">
        <v>5.6900424160476498E-2</v>
      </c>
      <c r="R8">
        <v>0.16951840498316401</v>
      </c>
      <c r="S8">
        <v>1.9601999660693498E-2</v>
      </c>
      <c r="T8">
        <v>7.0968741125200703</v>
      </c>
      <c r="U8">
        <v>6.5638714062021797E-4</v>
      </c>
      <c r="V8">
        <v>20</v>
      </c>
      <c r="W8">
        <v>2708.59528657283</v>
      </c>
      <c r="X8">
        <v>7.1251416876642404</v>
      </c>
      <c r="Y8">
        <v>7.0931404751808902</v>
      </c>
      <c r="Z8" s="3">
        <v>7.0975304996606896</v>
      </c>
      <c r="AA8" s="3">
        <v>0.113380624999996</v>
      </c>
    </row>
    <row r="9" spans="1:27" x14ac:dyDescent="0.25">
      <c r="A9" t="s">
        <v>20</v>
      </c>
      <c r="B9" t="s">
        <v>13</v>
      </c>
      <c r="C9">
        <v>6</v>
      </c>
      <c r="D9">
        <v>8.3173110000000001</v>
      </c>
      <c r="E9">
        <v>2.9761749999999601E-2</v>
      </c>
      <c r="F9">
        <v>5.4924124999999401E-2</v>
      </c>
      <c r="G9">
        <v>20</v>
      </c>
      <c r="H9">
        <v>20</v>
      </c>
      <c r="I9">
        <v>2.9761749999999601E-2</v>
      </c>
      <c r="J9">
        <v>7.4404374999998996E-2</v>
      </c>
      <c r="K9">
        <v>0.80325695981220602</v>
      </c>
      <c r="L9">
        <v>0.8</v>
      </c>
      <c r="M9">
        <v>0.2</v>
      </c>
      <c r="N9">
        <v>0.57375497129443298</v>
      </c>
      <c r="O9" t="s">
        <v>135</v>
      </c>
      <c r="P9">
        <v>8.3411814257107899</v>
      </c>
      <c r="Q9">
        <v>6.8318890282102099E-2</v>
      </c>
      <c r="R9">
        <v>0.14488657648125899</v>
      </c>
      <c r="S9">
        <v>2.3870425710789799E-2</v>
      </c>
      <c r="T9">
        <v>8.3393192071814699</v>
      </c>
      <c r="U9">
        <v>1.8622185293235599E-3</v>
      </c>
      <c r="V9">
        <v>20</v>
      </c>
      <c r="W9">
        <v>2744.0397314574998</v>
      </c>
      <c r="X9">
        <v>8.3569209257344692</v>
      </c>
      <c r="Y9">
        <v>8.3372206688164603</v>
      </c>
      <c r="Z9" s="3">
        <v>8.3411814257107899</v>
      </c>
      <c r="AA9" s="3">
        <v>7.4404374999998996E-2</v>
      </c>
    </row>
    <row r="10" spans="1:27" x14ac:dyDescent="0.25">
      <c r="A10" t="s">
        <v>21</v>
      </c>
      <c r="B10" t="s">
        <v>13</v>
      </c>
      <c r="C10">
        <v>7</v>
      </c>
      <c r="D10">
        <v>9.5746210000000005</v>
      </c>
      <c r="E10">
        <v>2.4867500000000001E-2</v>
      </c>
      <c r="F10">
        <v>4.9367750000000002E-2</v>
      </c>
      <c r="G10">
        <v>20</v>
      </c>
      <c r="H10">
        <v>20</v>
      </c>
      <c r="I10">
        <v>2.4867500000000001E-2</v>
      </c>
      <c r="J10">
        <v>6.2168750000000099E-2</v>
      </c>
      <c r="K10">
        <v>0.77644028615960403</v>
      </c>
      <c r="L10">
        <v>0.75</v>
      </c>
      <c r="M10">
        <v>0.1</v>
      </c>
      <c r="N10">
        <v>0.55460020439971702</v>
      </c>
      <c r="O10" t="s">
        <v>135</v>
      </c>
      <c r="P10">
        <v>9.5839365288527993</v>
      </c>
      <c r="Q10">
        <v>4.0465240503165398E-2</v>
      </c>
      <c r="R10">
        <v>0.15291390331955901</v>
      </c>
      <c r="S10">
        <v>9.3155288527988506E-3</v>
      </c>
      <c r="T10">
        <v>9.5846726968805704</v>
      </c>
      <c r="U10">
        <v>-7.3616802776754796E-4</v>
      </c>
      <c r="V10">
        <v>20</v>
      </c>
      <c r="W10">
        <v>2504.8834304550601</v>
      </c>
      <c r="X10">
        <v>9.6092060184508998</v>
      </c>
      <c r="Y10">
        <v>9.5809043946509398</v>
      </c>
      <c r="Z10" s="3">
        <v>9.5839365288527993</v>
      </c>
      <c r="AA10" s="3">
        <v>6.2168750000000099E-2</v>
      </c>
    </row>
    <row r="11" spans="1:27" x14ac:dyDescent="0.25">
      <c r="A11" t="s">
        <v>22</v>
      </c>
      <c r="B11" t="s">
        <v>13</v>
      </c>
      <c r="C11">
        <v>8</v>
      </c>
      <c r="D11">
        <v>12.327937</v>
      </c>
      <c r="E11">
        <v>0.12523599999999899</v>
      </c>
      <c r="F11">
        <v>0.24881500000000001</v>
      </c>
      <c r="G11">
        <v>20</v>
      </c>
      <c r="H11">
        <v>20</v>
      </c>
      <c r="I11">
        <v>0.12523599999999899</v>
      </c>
      <c r="J11">
        <v>0.31308999999999798</v>
      </c>
      <c r="K11">
        <v>1</v>
      </c>
      <c r="L11">
        <v>1</v>
      </c>
      <c r="M11">
        <v>0</v>
      </c>
      <c r="N11">
        <v>0.71428571428571397</v>
      </c>
      <c r="O11" t="s">
        <v>137</v>
      </c>
      <c r="P11">
        <v>12.368206414692001</v>
      </c>
      <c r="Q11">
        <v>0.166057391397162</v>
      </c>
      <c r="R11">
        <v>0.20706919703880999</v>
      </c>
      <c r="S11">
        <v>4.0269414691978901E-2</v>
      </c>
      <c r="T11">
        <v>12.375129669085799</v>
      </c>
      <c r="U11">
        <v>-6.9232543938006997E-3</v>
      </c>
      <c r="V11">
        <v>20</v>
      </c>
      <c r="W11">
        <v>2997.6145903008901</v>
      </c>
      <c r="X11">
        <v>12.374663051008</v>
      </c>
      <c r="Y11">
        <v>12.376118208147201</v>
      </c>
      <c r="Z11" s="3">
        <v>12.368206414692001</v>
      </c>
      <c r="AA11" s="3">
        <v>0.31308999999999798</v>
      </c>
    </row>
    <row r="12" spans="1:27" x14ac:dyDescent="0.25">
      <c r="A12" t="s">
        <v>23</v>
      </c>
      <c r="B12" t="s">
        <v>13</v>
      </c>
      <c r="C12">
        <v>9</v>
      </c>
      <c r="D12">
        <v>13.648125</v>
      </c>
      <c r="E12">
        <v>2.6534250000001001E-2</v>
      </c>
      <c r="F12">
        <v>7.3643000000000597E-2</v>
      </c>
      <c r="G12">
        <v>20</v>
      </c>
      <c r="H12">
        <v>20</v>
      </c>
      <c r="I12">
        <v>2.6534250000001001E-2</v>
      </c>
      <c r="J12">
        <v>6.6335625000002493E-2</v>
      </c>
      <c r="K12">
        <v>0.80302416151287803</v>
      </c>
      <c r="L12">
        <v>0.8</v>
      </c>
      <c r="M12">
        <v>0.05</v>
      </c>
      <c r="N12">
        <v>0.57358868679491304</v>
      </c>
      <c r="O12" t="s">
        <v>135</v>
      </c>
      <c r="P12">
        <v>13.680665692348001</v>
      </c>
      <c r="Q12">
        <v>9.2447471267335796E-2</v>
      </c>
      <c r="R12">
        <v>0.11869027424431899</v>
      </c>
      <c r="S12">
        <v>3.2540692347996697E-2</v>
      </c>
      <c r="T12">
        <v>13.6694458883715</v>
      </c>
      <c r="U12">
        <v>1.1219803976478799E-2</v>
      </c>
      <c r="V12">
        <v>20</v>
      </c>
      <c r="W12">
        <v>2513.4021542784799</v>
      </c>
      <c r="X12">
        <v>13.6667814661661</v>
      </c>
      <c r="Y12">
        <v>13.6718918358845</v>
      </c>
      <c r="Z12" s="3">
        <v>13.680665692348001</v>
      </c>
      <c r="AA12" s="3">
        <v>6.6335625000002493E-2</v>
      </c>
    </row>
    <row r="13" spans="1:27" x14ac:dyDescent="0.25">
      <c r="A13" t="s">
        <v>24</v>
      </c>
      <c r="B13" t="s">
        <v>13</v>
      </c>
      <c r="C13">
        <v>10</v>
      </c>
      <c r="D13">
        <v>15.1230665</v>
      </c>
      <c r="E13">
        <v>2.58760000000011E-2</v>
      </c>
      <c r="F13">
        <v>5.4248250000000602E-2</v>
      </c>
      <c r="G13">
        <v>20</v>
      </c>
      <c r="H13">
        <v>20</v>
      </c>
      <c r="I13">
        <v>2.58760000000011E-2</v>
      </c>
      <c r="J13">
        <v>6.4690000000002801E-2</v>
      </c>
      <c r="K13">
        <v>0.72960898080798897</v>
      </c>
      <c r="L13">
        <v>0.7</v>
      </c>
      <c r="M13">
        <v>0.05</v>
      </c>
      <c r="N13">
        <v>0.52114927200570604</v>
      </c>
      <c r="O13" t="s">
        <v>135</v>
      </c>
      <c r="P13">
        <v>15.150197976715701</v>
      </c>
      <c r="Q13">
        <v>7.4007405369405102E-2</v>
      </c>
      <c r="R13">
        <v>0.111950276835036</v>
      </c>
      <c r="S13">
        <v>2.7131476715702301E-2</v>
      </c>
      <c r="T13">
        <v>15.139703748139601</v>
      </c>
      <c r="U13">
        <v>1.04942285760838E-2</v>
      </c>
      <c r="V13">
        <v>20</v>
      </c>
      <c r="W13">
        <v>2550.4630209247898</v>
      </c>
      <c r="X13">
        <v>15.163125396783601</v>
      </c>
      <c r="Y13">
        <v>15.1284428035012</v>
      </c>
      <c r="Z13" s="3">
        <v>15.150197976715701</v>
      </c>
      <c r="AA13" s="3">
        <v>6.4690000000002801E-2</v>
      </c>
    </row>
    <row r="14" spans="1:27" x14ac:dyDescent="0.25">
      <c r="A14" t="s">
        <v>25</v>
      </c>
      <c r="B14" t="s">
        <v>13</v>
      </c>
      <c r="C14">
        <v>11</v>
      </c>
      <c r="D14">
        <v>16.36486</v>
      </c>
      <c r="E14">
        <v>2.2188249999999202E-2</v>
      </c>
      <c r="F14">
        <v>4.2174124999995399E-2</v>
      </c>
      <c r="G14">
        <v>20</v>
      </c>
      <c r="H14">
        <v>20</v>
      </c>
      <c r="I14">
        <v>2.2188249999999202E-2</v>
      </c>
      <c r="J14">
        <v>5.5470624999998101E-2</v>
      </c>
      <c r="K14">
        <v>0.86905946067384998</v>
      </c>
      <c r="L14">
        <v>0.85</v>
      </c>
      <c r="M14">
        <v>0.05</v>
      </c>
      <c r="N14">
        <v>0.62075675762417803</v>
      </c>
      <c r="O14" t="s">
        <v>135</v>
      </c>
      <c r="P14">
        <v>16.401699465568299</v>
      </c>
      <c r="Q14">
        <v>6.3346080241343E-2</v>
      </c>
      <c r="R14">
        <v>0.111573208658104</v>
      </c>
      <c r="S14">
        <v>3.6839465568270703E-2</v>
      </c>
      <c r="T14">
        <v>16.386000278334102</v>
      </c>
      <c r="U14">
        <v>1.5699187234158501E-2</v>
      </c>
      <c r="V14">
        <v>20</v>
      </c>
      <c r="W14">
        <v>3089.4935775692402</v>
      </c>
      <c r="X14">
        <v>16.390402129774898</v>
      </c>
      <c r="Y14">
        <v>16.383565961122901</v>
      </c>
      <c r="Z14" s="3">
        <v>16.401699465568299</v>
      </c>
      <c r="AA14" s="3">
        <v>5.5470624999998101E-2</v>
      </c>
    </row>
    <row r="15" spans="1:27" x14ac:dyDescent="0.25">
      <c r="A15" t="s">
        <v>26</v>
      </c>
      <c r="B15" t="s">
        <v>13</v>
      </c>
      <c r="C15">
        <v>12</v>
      </c>
      <c r="D15">
        <v>17.643683500000002</v>
      </c>
      <c r="E15">
        <v>2.00715000000002E-2</v>
      </c>
      <c r="F15">
        <v>4.0986874999998001E-2</v>
      </c>
      <c r="G15">
        <v>20</v>
      </c>
      <c r="H15">
        <v>20</v>
      </c>
      <c r="I15">
        <v>2.00715000000002E-2</v>
      </c>
      <c r="J15">
        <v>5.0178750000000598E-2</v>
      </c>
      <c r="K15">
        <v>0.76771740020465995</v>
      </c>
      <c r="L15">
        <v>0.75</v>
      </c>
      <c r="M15">
        <v>0.05</v>
      </c>
      <c r="N15">
        <v>0.54836957157475696</v>
      </c>
      <c r="O15" t="s">
        <v>135</v>
      </c>
      <c r="P15">
        <v>17.670066334169199</v>
      </c>
      <c r="Q15">
        <v>4.6018471267336797E-2</v>
      </c>
      <c r="R15">
        <v>8.9647512838540902E-2</v>
      </c>
      <c r="S15">
        <v>2.6382834169222501E-2</v>
      </c>
      <c r="T15">
        <v>17.663770963710999</v>
      </c>
      <c r="U15">
        <v>6.29537045822204E-3</v>
      </c>
      <c r="V15">
        <v>20</v>
      </c>
      <c r="W15">
        <v>2584.90435889316</v>
      </c>
      <c r="X15">
        <v>17.671781388384499</v>
      </c>
      <c r="Y15">
        <v>17.6598894522356</v>
      </c>
      <c r="Z15" s="3">
        <v>17.670066334169199</v>
      </c>
      <c r="AA15" s="3">
        <v>5.0178750000000598E-2</v>
      </c>
    </row>
    <row r="16" spans="1:27" x14ac:dyDescent="0.25">
      <c r="A16" t="s">
        <v>27</v>
      </c>
      <c r="B16" t="s">
        <v>13</v>
      </c>
      <c r="C16">
        <v>13</v>
      </c>
      <c r="D16">
        <v>18.943350500000001</v>
      </c>
      <c r="E16">
        <v>3.09662499999988E-2</v>
      </c>
      <c r="F16">
        <v>0.114788875000002</v>
      </c>
      <c r="G16">
        <v>20</v>
      </c>
      <c r="H16">
        <v>20</v>
      </c>
      <c r="I16">
        <v>3.09662499999988E-2</v>
      </c>
      <c r="J16">
        <v>7.7415624999996893E-2</v>
      </c>
      <c r="K16">
        <v>0.63368672049505304</v>
      </c>
      <c r="L16">
        <v>0.6</v>
      </c>
      <c r="M16">
        <v>0.25</v>
      </c>
      <c r="N16">
        <v>0.45263337178218099</v>
      </c>
      <c r="O16" t="s">
        <v>138</v>
      </c>
      <c r="P16">
        <v>18.965383746784699</v>
      </c>
      <c r="Q16">
        <v>8.3226235469801693E-2</v>
      </c>
      <c r="R16">
        <v>0.19607303088325601</v>
      </c>
      <c r="S16">
        <v>2.2033246784694399E-2</v>
      </c>
      <c r="T16">
        <v>18.9723892584054</v>
      </c>
      <c r="U16">
        <v>-7.00551162071861E-3</v>
      </c>
      <c r="V16">
        <v>20</v>
      </c>
      <c r="W16">
        <v>2113.2295698365801</v>
      </c>
      <c r="X16">
        <v>18.9696715691577</v>
      </c>
      <c r="Y16">
        <v>18.9752326872966</v>
      </c>
      <c r="Z16" s="3">
        <v>18.965383746784699</v>
      </c>
      <c r="AA16" s="3">
        <v>7.7415624999996893E-2</v>
      </c>
    </row>
    <row r="17" spans="1:28" x14ac:dyDescent="0.25">
      <c r="A17" t="s">
        <v>28</v>
      </c>
      <c r="B17" t="s">
        <v>13</v>
      </c>
      <c r="C17">
        <v>14</v>
      </c>
      <c r="D17">
        <v>20.243604999999999</v>
      </c>
      <c r="E17">
        <v>1.40157500000022E-2</v>
      </c>
      <c r="F17">
        <v>2.7766624999998199E-2</v>
      </c>
      <c r="G17">
        <v>20</v>
      </c>
      <c r="H17">
        <v>20</v>
      </c>
      <c r="I17">
        <v>1.40157500000022E-2</v>
      </c>
      <c r="J17">
        <v>3.50393750000055E-2</v>
      </c>
      <c r="K17">
        <v>0.71568234480160997</v>
      </c>
      <c r="L17">
        <v>0.7</v>
      </c>
      <c r="M17">
        <v>0.2</v>
      </c>
      <c r="N17">
        <v>0.51120167485829304</v>
      </c>
      <c r="O17" t="s">
        <v>135</v>
      </c>
      <c r="P17">
        <v>20.262619068349501</v>
      </c>
      <c r="Q17">
        <v>7.2525390282101698E-2</v>
      </c>
      <c r="R17">
        <v>0.100269766051568</v>
      </c>
      <c r="S17">
        <v>1.90140683494988E-2</v>
      </c>
      <c r="T17">
        <v>20.267123710578201</v>
      </c>
      <c r="U17">
        <v>-4.5046422286958397E-3</v>
      </c>
      <c r="V17">
        <v>20</v>
      </c>
      <c r="W17">
        <v>2665.2158265055</v>
      </c>
      <c r="X17">
        <v>20.272041939916502</v>
      </c>
      <c r="Y17">
        <v>20.266001688949999</v>
      </c>
      <c r="Z17" s="3">
        <v>20.262619068349501</v>
      </c>
      <c r="AA17" s="3">
        <v>3.50393750000055E-2</v>
      </c>
    </row>
    <row r="18" spans="1:28" x14ac:dyDescent="0.25">
      <c r="A18" t="s">
        <v>29</v>
      </c>
      <c r="B18" t="s">
        <v>13</v>
      </c>
      <c r="C18">
        <v>15</v>
      </c>
      <c r="D18">
        <v>21.540012999999998</v>
      </c>
      <c r="E18">
        <v>1.6580500000001702E-2</v>
      </c>
      <c r="F18">
        <v>3.3280250000004202E-2</v>
      </c>
      <c r="G18">
        <v>20</v>
      </c>
      <c r="H18">
        <v>20</v>
      </c>
      <c r="I18">
        <v>1.6580500000001702E-2</v>
      </c>
      <c r="J18">
        <v>4.14512500000042E-2</v>
      </c>
      <c r="K18">
        <v>0.73458192630080699</v>
      </c>
      <c r="L18">
        <v>0.7</v>
      </c>
      <c r="M18">
        <v>0.1</v>
      </c>
      <c r="N18">
        <v>0.52470137592914801</v>
      </c>
      <c r="O18" t="s">
        <v>135</v>
      </c>
      <c r="P18">
        <v>21.567247815232498</v>
      </c>
      <c r="Q18">
        <v>4.9522575687659998E-2</v>
      </c>
      <c r="R18">
        <v>9.34410694849067E-2</v>
      </c>
      <c r="S18">
        <v>2.7234815232493E-2</v>
      </c>
      <c r="T18">
        <v>21.556446816145101</v>
      </c>
      <c r="U18">
        <v>1.0800999087429399E-2</v>
      </c>
      <c r="V18">
        <v>20</v>
      </c>
      <c r="W18">
        <v>2543.7717275468199</v>
      </c>
      <c r="X18">
        <v>21.569823884971498</v>
      </c>
      <c r="Y18">
        <v>21.547470793108399</v>
      </c>
      <c r="Z18" s="3">
        <v>21.567247815232498</v>
      </c>
      <c r="AA18" s="3">
        <v>4.14512500000042E-2</v>
      </c>
    </row>
    <row r="19" spans="1:28" x14ac:dyDescent="0.25">
      <c r="A19" t="s">
        <v>30</v>
      </c>
      <c r="B19" t="s">
        <v>13</v>
      </c>
      <c r="C19">
        <v>16</v>
      </c>
      <c r="D19">
        <v>22.875431500000001</v>
      </c>
      <c r="E19">
        <v>3.1961500000001301E-2</v>
      </c>
      <c r="F19">
        <v>0.10750549999999801</v>
      </c>
      <c r="G19">
        <v>20</v>
      </c>
      <c r="H19">
        <v>20</v>
      </c>
      <c r="I19">
        <v>3.1961500000001301E-2</v>
      </c>
      <c r="J19">
        <v>7.9903750000003299E-2</v>
      </c>
      <c r="K19">
        <v>0.70460599890734099</v>
      </c>
      <c r="L19">
        <v>0.65</v>
      </c>
      <c r="M19">
        <v>0.05</v>
      </c>
      <c r="N19">
        <v>0.50328999921952899</v>
      </c>
      <c r="O19" t="s">
        <v>135</v>
      </c>
      <c r="P19">
        <v>22.882399691107199</v>
      </c>
      <c r="Q19">
        <v>8.4840103277861206E-2</v>
      </c>
      <c r="R19">
        <v>0.165777708855498</v>
      </c>
      <c r="S19">
        <v>6.9681911072443396E-3</v>
      </c>
      <c r="T19">
        <v>22.882667016514599</v>
      </c>
      <c r="U19">
        <v>-2.6732540737128802E-4</v>
      </c>
      <c r="V19">
        <v>20</v>
      </c>
      <c r="W19">
        <v>2470.91770984702</v>
      </c>
      <c r="X19">
        <v>22.893306366168101</v>
      </c>
      <c r="Y19">
        <v>22.868896599016601</v>
      </c>
      <c r="Z19" s="3">
        <v>22.882399691107199</v>
      </c>
      <c r="AA19" s="3">
        <v>7.9903750000003299E-2</v>
      </c>
      <c r="AB19" s="16">
        <f xml:space="preserve"> GEOMEAN(AA4:AA19)</f>
        <v>7.6073256496026878E-2</v>
      </c>
    </row>
    <row r="20" spans="1:28" s="8" customFormat="1" x14ac:dyDescent="0.25">
      <c r="A20" s="8" t="s">
        <v>31</v>
      </c>
      <c r="B20" s="8" t="s">
        <v>32</v>
      </c>
      <c r="C20" s="8">
        <v>1</v>
      </c>
      <c r="D20" s="8">
        <v>1.2426379999999999</v>
      </c>
      <c r="E20" s="8">
        <v>2.0446999999999001E-2</v>
      </c>
      <c r="F20" s="8">
        <v>3.7486124999998698E-2</v>
      </c>
      <c r="G20" s="8">
        <v>20</v>
      </c>
      <c r="H20" s="8">
        <v>20</v>
      </c>
      <c r="I20" s="8">
        <v>2.0446999999999001E-2</v>
      </c>
      <c r="J20" s="8">
        <v>5.1117499999997498E-2</v>
      </c>
      <c r="K20" s="8">
        <v>0.75032225405913899</v>
      </c>
      <c r="L20" s="8">
        <v>0.7</v>
      </c>
      <c r="M20" s="8">
        <v>0.25</v>
      </c>
      <c r="N20" s="8">
        <v>0.53594446718509903</v>
      </c>
      <c r="O20" s="8" t="s">
        <v>135</v>
      </c>
      <c r="P20" s="8">
        <v>1.2756386986353201</v>
      </c>
      <c r="Q20" s="8">
        <v>7.5423515087303494E-2</v>
      </c>
      <c r="R20" s="8">
        <v>0.17073026274971201</v>
      </c>
      <c r="S20" s="8">
        <v>3.3000698635322602E-2</v>
      </c>
      <c r="T20" s="8">
        <v>1.2728540876266801</v>
      </c>
      <c r="U20" s="8">
        <v>2.7846110086449101E-3</v>
      </c>
      <c r="V20" s="8">
        <v>20</v>
      </c>
      <c r="W20" s="8">
        <v>2824.1568359973999</v>
      </c>
      <c r="X20" s="8">
        <v>1.27971490712589</v>
      </c>
      <c r="Y20" s="8">
        <v>1.25407614706458</v>
      </c>
      <c r="Z20" s="9">
        <v>1.2756386986353201</v>
      </c>
      <c r="AA20" s="9">
        <v>5.1117499999997498E-2</v>
      </c>
    </row>
    <row r="21" spans="1:28" x14ac:dyDescent="0.25">
      <c r="A21" t="s">
        <v>33</v>
      </c>
      <c r="B21" t="s">
        <v>32</v>
      </c>
      <c r="C21">
        <v>2</v>
      </c>
      <c r="D21">
        <v>3.8517920000000001</v>
      </c>
      <c r="E21">
        <v>4.4275000000000703E-2</v>
      </c>
      <c r="F21">
        <v>8.8673999999999295E-2</v>
      </c>
      <c r="G21">
        <v>20</v>
      </c>
      <c r="H21">
        <v>20</v>
      </c>
      <c r="I21">
        <v>4.4275000000000703E-2</v>
      </c>
      <c r="J21">
        <v>0.11068750000000201</v>
      </c>
      <c r="K21">
        <v>0.88905266573682695</v>
      </c>
      <c r="L21">
        <v>0.9</v>
      </c>
      <c r="M21">
        <v>0.05</v>
      </c>
      <c r="N21">
        <v>0.63503761838344797</v>
      </c>
      <c r="O21" t="s">
        <v>135</v>
      </c>
      <c r="P21">
        <v>3.9123578000713799</v>
      </c>
      <c r="Q21">
        <v>9.2372622946251495E-2</v>
      </c>
      <c r="R21">
        <v>0.15356611220924099</v>
      </c>
      <c r="S21">
        <v>6.0565800071383798E-2</v>
      </c>
      <c r="T21">
        <v>3.8915824997509101</v>
      </c>
      <c r="U21">
        <v>2.0775300320479102E-2</v>
      </c>
      <c r="V21">
        <v>20</v>
      </c>
      <c r="W21">
        <v>2962.9064911677601</v>
      </c>
      <c r="X21">
        <v>3.89110206040045</v>
      </c>
      <c r="Y21">
        <v>3.8920853260811801</v>
      </c>
      <c r="Z21" s="3">
        <v>3.9123578000713799</v>
      </c>
      <c r="AA21" s="3">
        <v>0.11068750000000201</v>
      </c>
    </row>
    <row r="22" spans="1:28" x14ac:dyDescent="0.25">
      <c r="A22" t="s">
        <v>34</v>
      </c>
      <c r="B22" t="s">
        <v>32</v>
      </c>
      <c r="C22">
        <v>3</v>
      </c>
      <c r="D22">
        <v>6.5702619999999996</v>
      </c>
      <c r="E22">
        <v>2.1176750000006201E-2</v>
      </c>
      <c r="F22">
        <v>4.2851500000002901E-2</v>
      </c>
      <c r="G22">
        <v>20</v>
      </c>
      <c r="H22">
        <v>20</v>
      </c>
      <c r="I22">
        <v>2.1176750000006201E-2</v>
      </c>
      <c r="J22">
        <v>5.2941875000015501E-2</v>
      </c>
      <c r="K22">
        <v>0.79054553688978701</v>
      </c>
      <c r="L22">
        <v>0.75</v>
      </c>
      <c r="M22">
        <v>0.05</v>
      </c>
      <c r="N22">
        <v>0.56467538349270496</v>
      </c>
      <c r="O22" t="s">
        <v>135</v>
      </c>
      <c r="P22">
        <v>6.6074046386588101</v>
      </c>
      <c r="Q22">
        <v>7.5455039153354803E-2</v>
      </c>
      <c r="R22">
        <v>0.12603330880286601</v>
      </c>
      <c r="S22">
        <v>3.7142638658813197E-2</v>
      </c>
      <c r="T22">
        <v>6.6123357138066199</v>
      </c>
      <c r="U22">
        <v>-4.9310751478062204E-3</v>
      </c>
      <c r="V22">
        <v>20</v>
      </c>
      <c r="W22">
        <v>2701.42934948936</v>
      </c>
      <c r="X22">
        <v>6.6154362225389196</v>
      </c>
      <c r="Y22">
        <v>6.5851691027810997</v>
      </c>
      <c r="Z22" s="3">
        <v>6.6074046386588101</v>
      </c>
      <c r="AA22" s="3">
        <v>5.2941875000015501E-2</v>
      </c>
    </row>
    <row r="23" spans="1:28" x14ac:dyDescent="0.25">
      <c r="A23" t="s">
        <v>35</v>
      </c>
      <c r="B23" t="s">
        <v>32</v>
      </c>
      <c r="C23">
        <v>4</v>
      </c>
      <c r="D23">
        <v>9.154026</v>
      </c>
      <c r="E23">
        <v>7.1979000000000695E-2</v>
      </c>
      <c r="F23">
        <v>0.13693662499999901</v>
      </c>
      <c r="G23">
        <v>20</v>
      </c>
      <c r="H23">
        <v>20</v>
      </c>
      <c r="I23">
        <v>7.1979000000000695E-2</v>
      </c>
      <c r="J23">
        <v>0.17994750000000201</v>
      </c>
      <c r="K23">
        <v>0.75646043712656996</v>
      </c>
      <c r="L23">
        <v>0.75</v>
      </c>
      <c r="M23">
        <v>0.05</v>
      </c>
      <c r="N23">
        <v>0.54032888366183596</v>
      </c>
      <c r="O23" t="s">
        <v>135</v>
      </c>
      <c r="P23">
        <v>9.2071446475716598</v>
      </c>
      <c r="Q23">
        <v>0.146393112045311</v>
      </c>
      <c r="R23">
        <v>0.23234075654854899</v>
      </c>
      <c r="S23">
        <v>5.3118647571661598E-2</v>
      </c>
      <c r="T23">
        <v>9.1979725190211106</v>
      </c>
      <c r="U23">
        <v>9.1721285505528306E-3</v>
      </c>
      <c r="V23">
        <v>20</v>
      </c>
      <c r="W23">
        <v>3019.7193169759798</v>
      </c>
      <c r="X23">
        <v>9.1772193279203904</v>
      </c>
      <c r="Y23">
        <v>9.2001439837330707</v>
      </c>
      <c r="Z23" s="3">
        <v>9.2071446475716598</v>
      </c>
      <c r="AA23" s="3">
        <v>0.17994750000000201</v>
      </c>
    </row>
    <row r="24" spans="1:28" x14ac:dyDescent="0.25">
      <c r="A24" t="s">
        <v>36</v>
      </c>
      <c r="B24" t="s">
        <v>32</v>
      </c>
      <c r="C24">
        <v>5</v>
      </c>
      <c r="D24">
        <v>11.597098000000001</v>
      </c>
      <c r="E24">
        <v>3.76592500000026E-2</v>
      </c>
      <c r="F24">
        <v>0.16094149999999999</v>
      </c>
      <c r="G24">
        <v>20</v>
      </c>
      <c r="H24">
        <v>20</v>
      </c>
      <c r="I24">
        <v>3.76592500000026E-2</v>
      </c>
      <c r="J24">
        <v>9.4148125000006494E-2</v>
      </c>
      <c r="K24">
        <v>0.649140637903733</v>
      </c>
      <c r="L24">
        <v>0.6</v>
      </c>
      <c r="M24">
        <v>0.2</v>
      </c>
      <c r="N24">
        <v>0.46367188421695199</v>
      </c>
      <c r="O24" t="s">
        <v>138</v>
      </c>
      <c r="P24">
        <v>11.615877358092501</v>
      </c>
      <c r="Q24">
        <v>0.11259290388835801</v>
      </c>
      <c r="R24">
        <v>0.23492104302150499</v>
      </c>
      <c r="S24">
        <v>1.8779358092540801E-2</v>
      </c>
      <c r="T24">
        <v>11.6205440605208</v>
      </c>
      <c r="U24">
        <v>-4.6667024282616197E-3</v>
      </c>
      <c r="V24">
        <v>20</v>
      </c>
      <c r="W24">
        <v>2468.1514353254202</v>
      </c>
      <c r="X24">
        <v>11.629864682791901</v>
      </c>
      <c r="Y24">
        <v>11.607062053227899</v>
      </c>
      <c r="Z24" s="3">
        <v>11.615877358092501</v>
      </c>
      <c r="AA24" s="3">
        <v>9.4148125000006494E-2</v>
      </c>
      <c r="AB24" s="16">
        <f xml:space="preserve"> GEOMEAN(AA21:AA24)</f>
        <v>9.9819145408685042E-2</v>
      </c>
    </row>
    <row r="25" spans="1:28" s="8" customFormat="1" x14ac:dyDescent="0.25">
      <c r="A25" s="8" t="s">
        <v>37</v>
      </c>
      <c r="B25" s="8" t="s">
        <v>38</v>
      </c>
      <c r="C25" s="8">
        <v>1</v>
      </c>
      <c r="D25" s="8">
        <v>1.134361</v>
      </c>
      <c r="E25" s="8">
        <v>7.3140999999998998E-2</v>
      </c>
      <c r="F25" s="8">
        <v>0.12748700000000099</v>
      </c>
      <c r="G25" s="8">
        <v>19</v>
      </c>
      <c r="H25" s="8">
        <v>18.986579395308102</v>
      </c>
      <c r="I25" s="8">
        <v>7.3140999999998998E-2</v>
      </c>
      <c r="J25" s="8">
        <v>0.182852499999998</v>
      </c>
      <c r="K25" s="8">
        <v>0.95764727312111197</v>
      </c>
      <c r="L25" s="8">
        <v>0.94736842105263197</v>
      </c>
      <c r="M25" s="8">
        <v>0</v>
      </c>
      <c r="N25" s="8">
        <v>0.68403376651507997</v>
      </c>
      <c r="O25" s="8" t="s">
        <v>135</v>
      </c>
      <c r="P25" s="8">
        <v>1.1617892303602</v>
      </c>
      <c r="Q25" s="8">
        <v>9.0029979850597006E-2</v>
      </c>
      <c r="R25" s="8">
        <v>0.14921008887239501</v>
      </c>
      <c r="S25" s="8">
        <v>2.7428230360203601E-2</v>
      </c>
      <c r="T25" s="8">
        <v>1.1587610991481201</v>
      </c>
      <c r="U25" s="8">
        <v>3.0281312120816798E-3</v>
      </c>
      <c r="V25" s="8">
        <v>19</v>
      </c>
      <c r="W25" s="8">
        <v>2818.3696803152502</v>
      </c>
      <c r="X25" s="8">
        <v>1.1808858541048901</v>
      </c>
      <c r="Y25" s="8">
        <v>1.1386942147756101</v>
      </c>
      <c r="Z25" s="9">
        <v>1.1617892303602</v>
      </c>
      <c r="AA25" s="9">
        <v>0.182852499999998</v>
      </c>
    </row>
    <row r="26" spans="1:28" x14ac:dyDescent="0.25">
      <c r="A26" t="s">
        <v>39</v>
      </c>
      <c r="B26" t="s">
        <v>38</v>
      </c>
      <c r="C26">
        <v>2</v>
      </c>
      <c r="D26">
        <v>2.4416000000000002</v>
      </c>
      <c r="E26">
        <v>2.42569999999982E-2</v>
      </c>
      <c r="F26">
        <v>4.19222499999998E-2</v>
      </c>
      <c r="G26">
        <v>20</v>
      </c>
      <c r="H26">
        <v>20</v>
      </c>
      <c r="I26">
        <v>2.42569999999982E-2</v>
      </c>
      <c r="J26">
        <v>6.0642499999995499E-2</v>
      </c>
      <c r="K26">
        <v>0.88607373641025999</v>
      </c>
      <c r="L26">
        <v>0.85</v>
      </c>
      <c r="M26">
        <v>0</v>
      </c>
      <c r="N26">
        <v>0.63290981172161398</v>
      </c>
      <c r="O26" t="s">
        <v>135</v>
      </c>
      <c r="P26">
        <v>2.47044805454258</v>
      </c>
      <c r="Q26">
        <v>6.4368375166949904E-2</v>
      </c>
      <c r="R26">
        <v>9.3278362642330304E-2</v>
      </c>
      <c r="S26">
        <v>2.88480545425784E-2</v>
      </c>
      <c r="T26">
        <v>2.4603232968459401</v>
      </c>
      <c r="U26">
        <v>1.0124757696638099E-2</v>
      </c>
      <c r="V26">
        <v>20</v>
      </c>
      <c r="W26">
        <v>2676.0687994863001</v>
      </c>
      <c r="X26">
        <v>2.4638598290462501</v>
      </c>
      <c r="Y26">
        <v>2.4328825833910601</v>
      </c>
      <c r="Z26" s="3">
        <v>2.47044805454258</v>
      </c>
      <c r="AA26" s="3">
        <v>6.0642499999995499E-2</v>
      </c>
    </row>
    <row r="27" spans="1:28" x14ac:dyDescent="0.25">
      <c r="A27" t="s">
        <v>40</v>
      </c>
      <c r="B27" t="s">
        <v>38</v>
      </c>
      <c r="C27">
        <v>3</v>
      </c>
      <c r="D27">
        <v>3.7837200000000002</v>
      </c>
      <c r="E27">
        <v>1.55332500000003E-2</v>
      </c>
      <c r="F27">
        <v>3.6294249999997898E-2</v>
      </c>
      <c r="G27">
        <v>20</v>
      </c>
      <c r="H27">
        <v>20</v>
      </c>
      <c r="I27">
        <v>1.55332500000003E-2</v>
      </c>
      <c r="J27">
        <v>3.8833125000000697E-2</v>
      </c>
      <c r="K27">
        <v>0.70363652016388301</v>
      </c>
      <c r="L27">
        <v>0.7</v>
      </c>
      <c r="M27">
        <v>0.15</v>
      </c>
      <c r="N27">
        <v>0.502597514402773</v>
      </c>
      <c r="O27" t="s">
        <v>135</v>
      </c>
      <c r="P27">
        <v>3.8059519435565701</v>
      </c>
      <c r="Q27">
        <v>8.4196811506721106E-2</v>
      </c>
      <c r="R27">
        <v>9.6369041666733199E-2</v>
      </c>
      <c r="S27">
        <v>2.2231943556567699E-2</v>
      </c>
      <c r="T27">
        <v>3.8127298907009801</v>
      </c>
      <c r="U27">
        <v>-6.7779471444078298E-3</v>
      </c>
      <c r="V27">
        <v>20</v>
      </c>
      <c r="W27">
        <v>2191.18748070233</v>
      </c>
      <c r="X27">
        <v>3.8184314304531202</v>
      </c>
      <c r="Y27">
        <v>3.7867374673824101</v>
      </c>
      <c r="Z27" s="3">
        <v>3.8059519435565701</v>
      </c>
      <c r="AA27" s="3">
        <v>3.8833125000000697E-2</v>
      </c>
    </row>
    <row r="28" spans="1:28" x14ac:dyDescent="0.25">
      <c r="A28" t="s">
        <v>41</v>
      </c>
      <c r="B28" t="s">
        <v>38</v>
      </c>
      <c r="C28">
        <v>4</v>
      </c>
      <c r="D28">
        <v>4.9979209999999998</v>
      </c>
      <c r="E28">
        <v>2.3199250000001101E-2</v>
      </c>
      <c r="F28">
        <v>4.5785999999999702E-2</v>
      </c>
      <c r="G28">
        <v>20</v>
      </c>
      <c r="H28">
        <v>20</v>
      </c>
      <c r="I28">
        <v>2.3199250000001101E-2</v>
      </c>
      <c r="J28">
        <v>5.7998125000002801E-2</v>
      </c>
      <c r="K28">
        <v>0.75032225405913899</v>
      </c>
      <c r="L28">
        <v>0.7</v>
      </c>
      <c r="M28">
        <v>0</v>
      </c>
      <c r="N28">
        <v>0.53594446718509903</v>
      </c>
      <c r="O28" t="s">
        <v>135</v>
      </c>
      <c r="P28">
        <v>5.0174881615147902</v>
      </c>
      <c r="Q28">
        <v>7.6409088994817395E-2</v>
      </c>
      <c r="R28">
        <v>9.4550039523576296E-2</v>
      </c>
      <c r="S28">
        <v>1.95671615147885E-2</v>
      </c>
      <c r="T28">
        <v>5.0172379703159198</v>
      </c>
      <c r="U28">
        <v>2.5019119887392799E-4</v>
      </c>
      <c r="V28">
        <v>20</v>
      </c>
      <c r="W28">
        <v>2633.2214066103902</v>
      </c>
      <c r="X28">
        <v>5.0278896595158002</v>
      </c>
      <c r="Y28">
        <v>4.9961883583044502</v>
      </c>
      <c r="Z28" s="3">
        <v>5.0174881615147902</v>
      </c>
      <c r="AA28" s="3">
        <v>5.7998125000002801E-2</v>
      </c>
    </row>
    <row r="29" spans="1:28" x14ac:dyDescent="0.25">
      <c r="A29" t="s">
        <v>42</v>
      </c>
      <c r="B29" t="s">
        <v>38</v>
      </c>
      <c r="C29">
        <v>5</v>
      </c>
      <c r="D29">
        <v>6.3075095000000001</v>
      </c>
      <c r="E29">
        <v>2.36892500000008E-2</v>
      </c>
      <c r="F29">
        <v>4.5498875000000702E-2</v>
      </c>
      <c r="G29">
        <v>20</v>
      </c>
      <c r="H29">
        <v>20</v>
      </c>
      <c r="I29">
        <v>2.36892500000008E-2</v>
      </c>
      <c r="J29">
        <v>5.9223125000001903E-2</v>
      </c>
      <c r="K29">
        <v>0.82711131639419799</v>
      </c>
      <c r="L29">
        <v>0.8</v>
      </c>
      <c r="M29">
        <v>0.1</v>
      </c>
      <c r="N29">
        <v>0.59079379742442695</v>
      </c>
      <c r="O29" t="s">
        <v>135</v>
      </c>
      <c r="P29">
        <v>6.3300391929751498</v>
      </c>
      <c r="Q29">
        <v>5.88219712673363E-2</v>
      </c>
      <c r="R29">
        <v>0.14039816998681201</v>
      </c>
      <c r="S29">
        <v>2.25296929751462E-2</v>
      </c>
      <c r="T29">
        <v>6.3246682447447</v>
      </c>
      <c r="U29">
        <v>5.3709482304506997E-3</v>
      </c>
      <c r="V29">
        <v>20</v>
      </c>
      <c r="W29">
        <v>2770.42853146671</v>
      </c>
      <c r="X29">
        <v>6.3216742425706203</v>
      </c>
      <c r="Y29">
        <v>6.3274210425455104</v>
      </c>
      <c r="Z29" s="3">
        <v>6.3300391929751498</v>
      </c>
      <c r="AA29" s="3">
        <v>5.9223125000001903E-2</v>
      </c>
    </row>
    <row r="30" spans="1:28" x14ac:dyDescent="0.25">
      <c r="A30" t="s">
        <v>43</v>
      </c>
      <c r="B30" t="s">
        <v>38</v>
      </c>
      <c r="C30">
        <v>6</v>
      </c>
      <c r="D30">
        <v>7.6930965000000002</v>
      </c>
      <c r="E30">
        <v>2.42482500000007E-2</v>
      </c>
      <c r="F30">
        <v>4.4956125000002303E-2</v>
      </c>
      <c r="G30">
        <v>16</v>
      </c>
      <c r="H30">
        <v>15.723722715708</v>
      </c>
      <c r="I30">
        <v>2.42482500000007E-2</v>
      </c>
      <c r="J30">
        <v>6.0620625000001899E-2</v>
      </c>
      <c r="K30">
        <v>0.868400243631265</v>
      </c>
      <c r="L30">
        <v>0.8125</v>
      </c>
      <c r="M30">
        <v>0</v>
      </c>
      <c r="N30">
        <v>0.62028588830804599</v>
      </c>
      <c r="O30" t="s">
        <v>135</v>
      </c>
      <c r="P30">
        <v>7.7176749155535704</v>
      </c>
      <c r="Q30">
        <v>5.5484391397162103E-2</v>
      </c>
      <c r="R30">
        <v>9.5427607559858296E-2</v>
      </c>
      <c r="S30">
        <v>2.4578415553569301E-2</v>
      </c>
      <c r="T30">
        <v>7.7106070799460902</v>
      </c>
      <c r="U30">
        <v>7.0678356074766998E-3</v>
      </c>
      <c r="V30">
        <v>16</v>
      </c>
      <c r="W30">
        <v>2354.8619866240401</v>
      </c>
      <c r="X30">
        <v>7.7182978987020503</v>
      </c>
      <c r="Y30">
        <v>7.6857825910229298</v>
      </c>
      <c r="Z30" s="3">
        <v>7.7176749155535704</v>
      </c>
      <c r="AA30" s="3">
        <v>6.0620625000001899E-2</v>
      </c>
    </row>
    <row r="31" spans="1:28" x14ac:dyDescent="0.25">
      <c r="A31" t="s">
        <v>44</v>
      </c>
      <c r="B31" t="s">
        <v>38</v>
      </c>
      <c r="C31">
        <v>7</v>
      </c>
      <c r="D31">
        <v>8.9473280000000006</v>
      </c>
      <c r="E31">
        <v>4.3946250000000298E-2</v>
      </c>
      <c r="F31">
        <v>7.2988000000000497E-2</v>
      </c>
      <c r="G31">
        <v>20</v>
      </c>
      <c r="H31">
        <v>20</v>
      </c>
      <c r="I31">
        <v>4.3946250000000298E-2</v>
      </c>
      <c r="J31">
        <v>0.10986562500000099</v>
      </c>
      <c r="K31">
        <v>0.81183601370932401</v>
      </c>
      <c r="L31">
        <v>0.8</v>
      </c>
      <c r="M31">
        <v>0</v>
      </c>
      <c r="N31">
        <v>0.57988286693523095</v>
      </c>
      <c r="O31" t="s">
        <v>135</v>
      </c>
      <c r="P31">
        <v>8.9661099514213998</v>
      </c>
      <c r="Q31">
        <v>6.7710351915943198E-2</v>
      </c>
      <c r="R31">
        <v>0.15667545855555701</v>
      </c>
      <c r="S31">
        <v>1.8781951421395601E-2</v>
      </c>
      <c r="T31">
        <v>8.9637558903328696</v>
      </c>
      <c r="U31">
        <v>2.35406108852843E-3</v>
      </c>
      <c r="V31">
        <v>20</v>
      </c>
      <c r="W31">
        <v>3226.2790368362698</v>
      </c>
      <c r="X31">
        <v>8.9699530890247292</v>
      </c>
      <c r="Y31">
        <v>8.9562030078999104</v>
      </c>
      <c r="Z31" s="3">
        <v>8.9661099514213998</v>
      </c>
      <c r="AA31" s="3">
        <v>0.10986562500000099</v>
      </c>
    </row>
    <row r="32" spans="1:28" x14ac:dyDescent="0.25">
      <c r="A32" t="s">
        <v>45</v>
      </c>
      <c r="B32" t="s">
        <v>38</v>
      </c>
      <c r="C32">
        <v>8</v>
      </c>
      <c r="D32">
        <v>10.245630999999999</v>
      </c>
      <c r="E32">
        <v>2.5467500000001302E-2</v>
      </c>
      <c r="F32">
        <v>4.8226374999998697E-2</v>
      </c>
      <c r="G32">
        <v>20</v>
      </c>
      <c r="H32">
        <v>20</v>
      </c>
      <c r="I32">
        <v>2.5467500000001302E-2</v>
      </c>
      <c r="J32">
        <v>6.3668750000003299E-2</v>
      </c>
      <c r="K32">
        <v>0.80084945223590798</v>
      </c>
      <c r="L32">
        <v>0.75</v>
      </c>
      <c r="M32">
        <v>0</v>
      </c>
      <c r="N32">
        <v>0.57203532302564897</v>
      </c>
      <c r="O32" t="s">
        <v>135</v>
      </c>
      <c r="P32">
        <v>10.2778094072406</v>
      </c>
      <c r="Q32">
        <v>4.80475976342436E-2</v>
      </c>
      <c r="R32">
        <v>0.10723878120550399</v>
      </c>
      <c r="S32">
        <v>3.21784072406128E-2</v>
      </c>
      <c r="T32">
        <v>10.261186769263601</v>
      </c>
      <c r="U32">
        <v>1.6622637976970701E-2</v>
      </c>
      <c r="V32">
        <v>20</v>
      </c>
      <c r="W32">
        <v>2874.2879658581201</v>
      </c>
      <c r="X32">
        <v>10.274128610801</v>
      </c>
      <c r="Y32">
        <v>10.2438406591318</v>
      </c>
      <c r="Z32" s="3">
        <v>10.2778094072406</v>
      </c>
      <c r="AA32" s="3">
        <v>6.3668750000003299E-2</v>
      </c>
    </row>
    <row r="33" spans="1:28" x14ac:dyDescent="0.25">
      <c r="A33" t="s">
        <v>46</v>
      </c>
      <c r="B33" t="s">
        <v>38</v>
      </c>
      <c r="C33">
        <v>9</v>
      </c>
      <c r="D33">
        <v>11.6290285</v>
      </c>
      <c r="E33">
        <v>2.76485000000006E-2</v>
      </c>
      <c r="F33">
        <v>5.3051750000001598E-2</v>
      </c>
      <c r="G33">
        <v>20</v>
      </c>
      <c r="H33">
        <v>20</v>
      </c>
      <c r="I33">
        <v>2.76485000000006E-2</v>
      </c>
      <c r="J33">
        <v>6.9121250000001605E-2</v>
      </c>
      <c r="K33">
        <v>0.85633142549547303</v>
      </c>
      <c r="L33">
        <v>0.8</v>
      </c>
      <c r="M33">
        <v>0</v>
      </c>
      <c r="N33">
        <v>0.61166530392533802</v>
      </c>
      <c r="O33" t="s">
        <v>135</v>
      </c>
      <c r="P33">
        <v>11.6640392873566</v>
      </c>
      <c r="Q33">
        <v>7.2364924160476796E-2</v>
      </c>
      <c r="R33">
        <v>0.105644462334608</v>
      </c>
      <c r="S33">
        <v>3.5010787356606302E-2</v>
      </c>
      <c r="T33">
        <v>11.6635449592969</v>
      </c>
      <c r="U33">
        <v>4.9432805966098702E-4</v>
      </c>
      <c r="V33">
        <v>20</v>
      </c>
      <c r="W33">
        <v>2847.71624232761</v>
      </c>
      <c r="X33">
        <v>11.681369349213201</v>
      </c>
      <c r="Y33">
        <v>11.6324954453278</v>
      </c>
      <c r="Z33" s="3">
        <v>11.6640392873566</v>
      </c>
      <c r="AA33" s="3">
        <v>6.9121250000001605E-2</v>
      </c>
    </row>
    <row r="34" spans="1:28" x14ac:dyDescent="0.25">
      <c r="A34" t="s">
        <v>47</v>
      </c>
      <c r="B34" t="s">
        <v>38</v>
      </c>
      <c r="C34">
        <v>10</v>
      </c>
      <c r="D34">
        <v>12.939035000000001</v>
      </c>
      <c r="E34">
        <v>2.46685000000006E-2</v>
      </c>
      <c r="F34">
        <v>3.79753749999985E-2</v>
      </c>
      <c r="G34">
        <v>20</v>
      </c>
      <c r="H34">
        <v>20</v>
      </c>
      <c r="I34">
        <v>2.46685000000006E-2</v>
      </c>
      <c r="J34">
        <v>6.16712500000016E-2</v>
      </c>
      <c r="K34">
        <v>0.87553936536389299</v>
      </c>
      <c r="L34">
        <v>0.85</v>
      </c>
      <c r="M34">
        <v>0.05</v>
      </c>
      <c r="N34">
        <v>0.62538526097420899</v>
      </c>
      <c r="O34" t="s">
        <v>135</v>
      </c>
      <c r="P34">
        <v>12.976236910794601</v>
      </c>
      <c r="Q34">
        <v>5.5681014343412098E-2</v>
      </c>
      <c r="R34">
        <v>9.8948809024359805E-2</v>
      </c>
      <c r="S34">
        <v>3.72019107946144E-2</v>
      </c>
      <c r="T34">
        <v>12.964801961926399</v>
      </c>
      <c r="U34">
        <v>1.1434948868201299E-2</v>
      </c>
      <c r="V34">
        <v>20</v>
      </c>
      <c r="W34">
        <v>2927.5351443395898</v>
      </c>
      <c r="X34">
        <v>12.966407837243599</v>
      </c>
      <c r="Y34">
        <v>12.9530159906677</v>
      </c>
      <c r="Z34" s="3">
        <v>12.976236910794601</v>
      </c>
      <c r="AA34" s="3">
        <v>6.16712500000016E-2</v>
      </c>
    </row>
    <row r="35" spans="1:28" x14ac:dyDescent="0.25">
      <c r="A35" t="s">
        <v>48</v>
      </c>
      <c r="B35" t="s">
        <v>38</v>
      </c>
      <c r="C35">
        <v>11</v>
      </c>
      <c r="D35">
        <v>14.391220000000001</v>
      </c>
      <c r="E35">
        <v>4.3295750000000403E-2</v>
      </c>
      <c r="F35">
        <v>7.2644499999999099E-2</v>
      </c>
      <c r="G35">
        <v>20</v>
      </c>
      <c r="H35">
        <v>20</v>
      </c>
      <c r="I35">
        <v>4.3295750000000403E-2</v>
      </c>
      <c r="J35">
        <v>0.108239375000001</v>
      </c>
      <c r="K35">
        <v>0.875986825286861</v>
      </c>
      <c r="L35">
        <v>0.85</v>
      </c>
      <c r="M35">
        <v>0</v>
      </c>
      <c r="N35">
        <v>0.62570487520490103</v>
      </c>
      <c r="O35" t="s">
        <v>135</v>
      </c>
      <c r="P35">
        <v>14.4318405861904</v>
      </c>
      <c r="Q35">
        <v>5.9711742721419499E-2</v>
      </c>
      <c r="R35">
        <v>0.108620445898096</v>
      </c>
      <c r="S35">
        <v>4.06205861903981E-2</v>
      </c>
      <c r="T35">
        <v>14.4367335405001</v>
      </c>
      <c r="U35">
        <v>-4.8929543097031604E-3</v>
      </c>
      <c r="V35">
        <v>20</v>
      </c>
      <c r="W35">
        <v>3155.4838940283598</v>
      </c>
      <c r="X35">
        <v>14.4587215624789</v>
      </c>
      <c r="Y35">
        <v>14.4016695960634</v>
      </c>
      <c r="Z35" s="3">
        <v>14.4318405861904</v>
      </c>
      <c r="AA35" s="3">
        <v>0.108239375000001</v>
      </c>
    </row>
    <row r="36" spans="1:28" x14ac:dyDescent="0.25">
      <c r="A36" t="s">
        <v>49</v>
      </c>
      <c r="B36" t="s">
        <v>38</v>
      </c>
      <c r="C36">
        <v>12</v>
      </c>
      <c r="D36">
        <v>15.600365500000001</v>
      </c>
      <c r="E36">
        <v>1.98209999999985E-2</v>
      </c>
      <c r="F36">
        <v>4.4421624999998202E-2</v>
      </c>
      <c r="G36">
        <v>20</v>
      </c>
      <c r="H36">
        <v>20</v>
      </c>
      <c r="I36">
        <v>1.98209999999985E-2</v>
      </c>
      <c r="J36">
        <v>4.9552499999996301E-2</v>
      </c>
      <c r="K36">
        <v>0.72426139869872797</v>
      </c>
      <c r="L36">
        <v>0.7</v>
      </c>
      <c r="M36">
        <v>0.05</v>
      </c>
      <c r="N36">
        <v>0.51732957049909201</v>
      </c>
      <c r="O36" t="s">
        <v>135</v>
      </c>
      <c r="P36">
        <v>15.6092003064118</v>
      </c>
      <c r="Q36">
        <v>7.0994491623288997E-2</v>
      </c>
      <c r="R36">
        <v>0.129804506971223</v>
      </c>
      <c r="S36">
        <v>8.8348064118211108E-3</v>
      </c>
      <c r="T36">
        <v>15.6369341877888</v>
      </c>
      <c r="U36">
        <v>-2.77338813770278E-2</v>
      </c>
      <c r="V36">
        <v>20</v>
      </c>
      <c r="W36">
        <v>2644.88450797727</v>
      </c>
      <c r="X36">
        <v>15.6488664736746</v>
      </c>
      <c r="Y36">
        <v>15.6027997983538</v>
      </c>
      <c r="Z36" s="3">
        <v>15.6092003064118</v>
      </c>
      <c r="AA36" s="3">
        <v>4.9552499999996301E-2</v>
      </c>
    </row>
    <row r="37" spans="1:28" x14ac:dyDescent="0.25">
      <c r="A37" t="s">
        <v>50</v>
      </c>
      <c r="B37" t="s">
        <v>38</v>
      </c>
      <c r="C37">
        <v>13</v>
      </c>
      <c r="D37">
        <v>16.905670000000001</v>
      </c>
      <c r="E37">
        <v>3.5195749999997999E-2</v>
      </c>
      <c r="F37">
        <v>5.76949999999989E-2</v>
      </c>
      <c r="G37">
        <v>20</v>
      </c>
      <c r="H37">
        <v>20</v>
      </c>
      <c r="I37">
        <v>3.5195749999997999E-2</v>
      </c>
      <c r="J37">
        <v>8.7989374999994902E-2</v>
      </c>
      <c r="K37">
        <v>0.84105612281059905</v>
      </c>
      <c r="L37">
        <v>0.8</v>
      </c>
      <c r="M37">
        <v>0</v>
      </c>
      <c r="N37">
        <v>0.60075437343614202</v>
      </c>
      <c r="O37" t="s">
        <v>135</v>
      </c>
      <c r="P37">
        <v>16.930138554275999</v>
      </c>
      <c r="Q37">
        <v>6.2239966713653297E-2</v>
      </c>
      <c r="R37">
        <v>0.10570392436281099</v>
      </c>
      <c r="S37">
        <v>2.4468554275969698E-2</v>
      </c>
      <c r="T37">
        <v>16.930114165119299</v>
      </c>
      <c r="U37">
        <v>2.43891566320542E-5</v>
      </c>
      <c r="V37">
        <v>20</v>
      </c>
      <c r="W37">
        <v>3019.7945189390298</v>
      </c>
      <c r="X37">
        <v>16.955780336031399</v>
      </c>
      <c r="Y37">
        <v>16.898165567676301</v>
      </c>
      <c r="Z37" s="3">
        <v>16.930138554275999</v>
      </c>
      <c r="AA37" s="3">
        <v>8.7989374999994902E-2</v>
      </c>
      <c r="AB37" s="16">
        <f xml:space="preserve"> GEOMEAN(AA21:AA37)</f>
        <v>7.7287160501019178E-2</v>
      </c>
    </row>
    <row r="38" spans="1:28" s="8" customFormat="1" x14ac:dyDescent="0.25">
      <c r="A38" s="8" t="s">
        <v>51</v>
      </c>
      <c r="B38" s="8" t="s">
        <v>52</v>
      </c>
      <c r="C38" s="8">
        <v>1</v>
      </c>
      <c r="D38" s="8">
        <v>0.95643449999999897</v>
      </c>
      <c r="E38" s="8">
        <v>3.6150499999999398E-2</v>
      </c>
      <c r="F38" s="8">
        <v>9.1359750000000406E-2</v>
      </c>
      <c r="G38" s="8">
        <v>18</v>
      </c>
      <c r="H38" s="8">
        <v>17.9731587906162</v>
      </c>
      <c r="I38" s="8">
        <v>3.6150499999999398E-2</v>
      </c>
      <c r="J38" s="8">
        <v>9.0376249999998506E-2</v>
      </c>
      <c r="K38" s="8">
        <v>0.86150388355653096</v>
      </c>
      <c r="L38" s="8">
        <v>0.83333333333333304</v>
      </c>
      <c r="M38" s="8">
        <v>0</v>
      </c>
      <c r="N38" s="8">
        <v>0.61535991682609303</v>
      </c>
      <c r="O38" s="8" t="s">
        <v>135</v>
      </c>
      <c r="P38" s="8">
        <v>0.98482772946691399</v>
      </c>
      <c r="Q38" s="8">
        <v>7.3233424160476596E-2</v>
      </c>
      <c r="R38" s="8">
        <v>0.115666013727537</v>
      </c>
      <c r="S38" s="8">
        <v>2.8393229466915099E-2</v>
      </c>
      <c r="T38" s="8">
        <v>0.99017369284647105</v>
      </c>
      <c r="U38" s="8">
        <v>-5.3459633795566201E-3</v>
      </c>
      <c r="V38" s="8">
        <v>18</v>
      </c>
      <c r="W38" s="8">
        <v>2290.1439159594702</v>
      </c>
      <c r="X38" s="8">
        <v>1.0026236517989</v>
      </c>
      <c r="Y38" s="8">
        <v>0.94828268723956599</v>
      </c>
      <c r="Z38" s="9">
        <v>0.98482772946691399</v>
      </c>
      <c r="AA38" s="9">
        <v>9.0376249999998506E-2</v>
      </c>
    </row>
    <row r="39" spans="1:28" x14ac:dyDescent="0.25">
      <c r="A39" t="s">
        <v>53</v>
      </c>
      <c r="B39" t="s">
        <v>52</v>
      </c>
      <c r="C39">
        <v>2</v>
      </c>
      <c r="D39">
        <v>1.9712829999999999</v>
      </c>
      <c r="E39">
        <v>3.2341000000000099E-2</v>
      </c>
      <c r="F39">
        <v>5.8878875000000899E-2</v>
      </c>
      <c r="G39">
        <v>20</v>
      </c>
      <c r="H39">
        <v>20</v>
      </c>
      <c r="I39">
        <v>3.2341000000000099E-2</v>
      </c>
      <c r="J39">
        <v>8.0852500000000202E-2</v>
      </c>
      <c r="K39">
        <v>0.96837238332242703</v>
      </c>
      <c r="L39">
        <v>0.95</v>
      </c>
      <c r="M39">
        <v>0</v>
      </c>
      <c r="N39">
        <v>0.69169455951601999</v>
      </c>
      <c r="O39" t="s">
        <v>135</v>
      </c>
      <c r="P39">
        <v>2.0034608729464201</v>
      </c>
      <c r="Q39">
        <v>7.0672584596783994E-2</v>
      </c>
      <c r="R39">
        <v>0.10295366470891899</v>
      </c>
      <c r="S39">
        <v>3.2177872946418197E-2</v>
      </c>
      <c r="T39">
        <v>2.0039568587736101</v>
      </c>
      <c r="U39">
        <v>-4.9598582718690697E-4</v>
      </c>
      <c r="V39">
        <v>20</v>
      </c>
      <c r="W39">
        <v>2927.6117342294301</v>
      </c>
      <c r="X39">
        <v>2.0109776061683302</v>
      </c>
      <c r="Y39">
        <v>1.9764151715537901</v>
      </c>
      <c r="Z39" s="3">
        <v>2.0034608729464201</v>
      </c>
      <c r="AA39" s="3">
        <v>8.0852500000000202E-2</v>
      </c>
    </row>
    <row r="40" spans="1:28" x14ac:dyDescent="0.25">
      <c r="A40" t="s">
        <v>54</v>
      </c>
      <c r="B40" t="s">
        <v>52</v>
      </c>
      <c r="C40">
        <v>3</v>
      </c>
      <c r="D40">
        <v>2.8353169999999999</v>
      </c>
      <c r="E40">
        <v>1.7520750000001601E-2</v>
      </c>
      <c r="F40">
        <v>3.33741249999999E-2</v>
      </c>
      <c r="G40">
        <v>20</v>
      </c>
      <c r="H40">
        <v>20</v>
      </c>
      <c r="I40">
        <v>1.7520750000001601E-2</v>
      </c>
      <c r="J40">
        <v>4.3801875000004098E-2</v>
      </c>
      <c r="K40">
        <v>0.84601089789339501</v>
      </c>
      <c r="L40">
        <v>0.8</v>
      </c>
      <c r="M40">
        <v>0.05</v>
      </c>
      <c r="N40">
        <v>0.60429349849528202</v>
      </c>
      <c r="O40" t="s">
        <v>135</v>
      </c>
      <c r="P40">
        <v>2.8694007271885398</v>
      </c>
      <c r="Q40">
        <v>6.4504438838904499E-2</v>
      </c>
      <c r="R40">
        <v>9.8800195075138902E-2</v>
      </c>
      <c r="S40">
        <v>3.4083727188537701E-2</v>
      </c>
      <c r="T40">
        <v>2.8616704069505299</v>
      </c>
      <c r="U40">
        <v>7.7303202380125703E-3</v>
      </c>
      <c r="V40">
        <v>20</v>
      </c>
      <c r="W40">
        <v>2592.74397353533</v>
      </c>
      <c r="X40">
        <v>2.8742530878622401</v>
      </c>
      <c r="Y40">
        <v>2.8433214133042299</v>
      </c>
      <c r="Z40" s="3">
        <v>2.8694007271885398</v>
      </c>
      <c r="AA40" s="3">
        <v>4.3801875000004098E-2</v>
      </c>
    </row>
    <row r="41" spans="1:28" x14ac:dyDescent="0.25">
      <c r="A41" t="s">
        <v>55</v>
      </c>
      <c r="B41" t="s">
        <v>52</v>
      </c>
      <c r="C41">
        <v>4</v>
      </c>
      <c r="D41">
        <v>3.7473405</v>
      </c>
      <c r="E41">
        <v>2.1868500000001199E-2</v>
      </c>
      <c r="F41">
        <v>3.3552125000001702E-2</v>
      </c>
      <c r="G41">
        <v>18</v>
      </c>
      <c r="H41">
        <v>17.876939930116801</v>
      </c>
      <c r="I41">
        <v>2.1868500000001199E-2</v>
      </c>
      <c r="J41">
        <v>5.4671250000002898E-2</v>
      </c>
      <c r="K41">
        <v>0.82772319792026205</v>
      </c>
      <c r="L41">
        <v>0.77777777777777801</v>
      </c>
      <c r="M41">
        <v>0</v>
      </c>
      <c r="N41">
        <v>0.59123085565733002</v>
      </c>
      <c r="O41" t="s">
        <v>135</v>
      </c>
      <c r="P41">
        <v>3.7670741148332101</v>
      </c>
      <c r="Q41">
        <v>4.7263015698930197E-2</v>
      </c>
      <c r="R41">
        <v>0.10345199269496499</v>
      </c>
      <c r="S41">
        <v>1.9733614833213699E-2</v>
      </c>
      <c r="T41">
        <v>3.7595681155432201</v>
      </c>
      <c r="U41">
        <v>7.5059992899899602E-3</v>
      </c>
      <c r="V41">
        <v>18</v>
      </c>
      <c r="W41">
        <v>2410.5059851036499</v>
      </c>
      <c r="X41">
        <v>3.7707604026502799</v>
      </c>
      <c r="Y41">
        <v>3.7276567230994302</v>
      </c>
      <c r="Z41" s="3">
        <v>3.7670741148332101</v>
      </c>
      <c r="AA41" s="3">
        <v>5.4671250000002898E-2</v>
      </c>
    </row>
    <row r="42" spans="1:28" x14ac:dyDescent="0.25">
      <c r="A42" t="s">
        <v>56</v>
      </c>
      <c r="B42" t="s">
        <v>52</v>
      </c>
      <c r="C42">
        <v>5</v>
      </c>
      <c r="D42">
        <v>6.5211540000000001</v>
      </c>
      <c r="E42">
        <v>2.4150999999999801E-2</v>
      </c>
      <c r="F42">
        <v>4.1142374999998801E-2</v>
      </c>
      <c r="G42">
        <v>18</v>
      </c>
      <c r="H42">
        <v>17.876939930116801</v>
      </c>
      <c r="I42">
        <v>2.4150999999999801E-2</v>
      </c>
      <c r="J42">
        <v>6.0377499999999501E-2</v>
      </c>
      <c r="K42">
        <v>0.80657910774255004</v>
      </c>
      <c r="L42">
        <v>0.77777777777777801</v>
      </c>
      <c r="M42">
        <v>0.11111111111111099</v>
      </c>
      <c r="N42">
        <v>0.57612793410182095</v>
      </c>
      <c r="O42" t="s">
        <v>135</v>
      </c>
      <c r="P42">
        <v>6.5233496350501099</v>
      </c>
      <c r="Q42">
        <v>6.7484466713654004E-2</v>
      </c>
      <c r="R42">
        <v>0.150244254874116</v>
      </c>
      <c r="S42">
        <v>2.1956350501079998E-3</v>
      </c>
      <c r="T42">
        <v>6.5224385469742696</v>
      </c>
      <c r="U42">
        <v>9.1108807583673002E-4</v>
      </c>
      <c r="V42">
        <v>18</v>
      </c>
      <c r="W42">
        <v>2192.1699366521402</v>
      </c>
      <c r="X42">
        <v>6.5378003121328403</v>
      </c>
      <c r="Y42">
        <v>6.5111618738534798</v>
      </c>
      <c r="Z42" s="3">
        <v>6.5233496350501099</v>
      </c>
      <c r="AA42" s="3">
        <v>6.0377499999999501E-2</v>
      </c>
    </row>
    <row r="43" spans="1:28" x14ac:dyDescent="0.25">
      <c r="A43" t="s">
        <v>57</v>
      </c>
      <c r="B43" t="s">
        <v>52</v>
      </c>
      <c r="C43">
        <v>6</v>
      </c>
      <c r="D43">
        <v>7.4859555000000002</v>
      </c>
      <c r="E43">
        <v>1.9532500000000799E-2</v>
      </c>
      <c r="F43">
        <v>4.9907999999998502E-2</v>
      </c>
      <c r="G43">
        <v>20</v>
      </c>
      <c r="H43">
        <v>20</v>
      </c>
      <c r="I43">
        <v>1.9532500000000799E-2</v>
      </c>
      <c r="J43">
        <v>4.8831250000002102E-2</v>
      </c>
      <c r="K43">
        <v>0.78306402290747201</v>
      </c>
      <c r="L43">
        <v>0.75</v>
      </c>
      <c r="M43">
        <v>0.1</v>
      </c>
      <c r="N43">
        <v>0.55933144493390896</v>
      </c>
      <c r="O43" t="s">
        <v>135</v>
      </c>
      <c r="P43">
        <v>7.5049044770613902</v>
      </c>
      <c r="Q43">
        <v>5.54614053694054E-2</v>
      </c>
      <c r="R43">
        <v>0.12835541064105199</v>
      </c>
      <c r="S43">
        <v>1.89489770613855E-2</v>
      </c>
      <c r="T43">
        <v>7.5054654188032996</v>
      </c>
      <c r="U43">
        <v>-5.6094174191478896E-4</v>
      </c>
      <c r="V43">
        <v>20</v>
      </c>
      <c r="W43">
        <v>2364.1666251115398</v>
      </c>
      <c r="X43">
        <v>7.5300611627680603</v>
      </c>
      <c r="Y43">
        <v>7.4867984888450501</v>
      </c>
      <c r="Z43" s="3">
        <v>7.5049044770613902</v>
      </c>
      <c r="AA43" s="3">
        <v>4.8831250000002102E-2</v>
      </c>
    </row>
    <row r="44" spans="1:28" x14ac:dyDescent="0.25">
      <c r="A44" t="s">
        <v>58</v>
      </c>
      <c r="B44" t="s">
        <v>52</v>
      </c>
      <c r="C44">
        <v>7</v>
      </c>
      <c r="D44">
        <v>8.3212200000000003</v>
      </c>
      <c r="E44">
        <v>1.71460000000003E-2</v>
      </c>
      <c r="F44">
        <v>5.0181124999999903E-2</v>
      </c>
      <c r="G44">
        <v>20</v>
      </c>
      <c r="H44">
        <v>20</v>
      </c>
      <c r="I44">
        <v>1.71460000000003E-2</v>
      </c>
      <c r="J44">
        <v>4.2865000000000798E-2</v>
      </c>
      <c r="K44">
        <v>0.77644028615960403</v>
      </c>
      <c r="L44">
        <v>0.75</v>
      </c>
      <c r="M44">
        <v>0.15</v>
      </c>
      <c r="N44">
        <v>0.55460020439971702</v>
      </c>
      <c r="O44" t="s">
        <v>135</v>
      </c>
      <c r="P44">
        <v>8.3344298952433995</v>
      </c>
      <c r="Q44">
        <v>5.8200063576126303E-2</v>
      </c>
      <c r="R44">
        <v>0.14625771560057399</v>
      </c>
      <c r="S44">
        <v>1.3209895243399199E-2</v>
      </c>
      <c r="T44">
        <v>8.3457871321732604</v>
      </c>
      <c r="U44">
        <v>-1.13572369298627E-2</v>
      </c>
      <c r="V44">
        <v>20</v>
      </c>
      <c r="W44">
        <v>2471.6926780952899</v>
      </c>
      <c r="X44">
        <v>8.3551160964253004</v>
      </c>
      <c r="Y44">
        <v>8.3350607244130899</v>
      </c>
      <c r="Z44" s="3">
        <v>8.3344298952433995</v>
      </c>
      <c r="AA44" s="3">
        <v>4.2865000000000798E-2</v>
      </c>
    </row>
    <row r="45" spans="1:28" x14ac:dyDescent="0.25">
      <c r="A45" t="s">
        <v>59</v>
      </c>
      <c r="B45" t="s">
        <v>52</v>
      </c>
      <c r="C45">
        <v>8</v>
      </c>
      <c r="D45">
        <v>9.4332049999999992</v>
      </c>
      <c r="E45">
        <v>0.15421199999999899</v>
      </c>
      <c r="F45">
        <v>0.30226724999999999</v>
      </c>
      <c r="G45">
        <v>15</v>
      </c>
      <c r="H45">
        <v>14.967752623269201</v>
      </c>
      <c r="I45">
        <v>0.15421199999999899</v>
      </c>
      <c r="J45">
        <v>0.38552999999999799</v>
      </c>
      <c r="K45">
        <v>1</v>
      </c>
      <c r="L45">
        <v>1</v>
      </c>
      <c r="M45">
        <v>0</v>
      </c>
      <c r="N45">
        <v>0.71428571428571397</v>
      </c>
      <c r="O45" t="s">
        <v>137</v>
      </c>
      <c r="P45">
        <v>9.5417065930276799</v>
      </c>
      <c r="Q45">
        <v>0.18238666658929101</v>
      </c>
      <c r="R45">
        <v>0.21081567420174399</v>
      </c>
      <c r="S45">
        <v>0.10850159302767901</v>
      </c>
      <c r="T45">
        <v>9.5380813082722895</v>
      </c>
      <c r="U45">
        <v>3.6252847553921398E-3</v>
      </c>
      <c r="V45">
        <v>15</v>
      </c>
      <c r="W45">
        <v>2039.9759159252501</v>
      </c>
      <c r="X45">
        <v>9.5552262735736608</v>
      </c>
      <c r="Y45">
        <v>9.48753456023565</v>
      </c>
      <c r="Z45" s="3">
        <v>9.5417065930276799</v>
      </c>
      <c r="AA45" s="3">
        <v>0.38552999999999799</v>
      </c>
    </row>
    <row r="46" spans="1:28" x14ac:dyDescent="0.25">
      <c r="A46" t="s">
        <v>60</v>
      </c>
      <c r="B46" t="s">
        <v>52</v>
      </c>
      <c r="C46">
        <v>9</v>
      </c>
      <c r="D46">
        <v>12.036028999999999</v>
      </c>
      <c r="E46">
        <v>3.2802000000000199E-2</v>
      </c>
      <c r="F46">
        <v>0.106551249999999</v>
      </c>
      <c r="G46">
        <v>20</v>
      </c>
      <c r="H46">
        <v>20</v>
      </c>
      <c r="I46">
        <v>3.2802000000000199E-2</v>
      </c>
      <c r="J46">
        <v>8.2005000000000494E-2</v>
      </c>
      <c r="K46">
        <v>0.65346676435454198</v>
      </c>
      <c r="L46">
        <v>0.65</v>
      </c>
      <c r="M46">
        <v>0</v>
      </c>
      <c r="N46">
        <v>0.46676197453895801</v>
      </c>
      <c r="O46" t="s">
        <v>138</v>
      </c>
      <c r="P46">
        <v>12.0691327934207</v>
      </c>
      <c r="Q46">
        <v>6.7190042911112302E-2</v>
      </c>
      <c r="R46">
        <v>0.11914606651174001</v>
      </c>
      <c r="S46">
        <v>3.3103793420718099E-2</v>
      </c>
      <c r="T46">
        <v>12.070647695368001</v>
      </c>
      <c r="U46">
        <v>-1.51490194730286E-3</v>
      </c>
      <c r="V46">
        <v>20</v>
      </c>
      <c r="W46">
        <v>2818.5045975630201</v>
      </c>
      <c r="X46">
        <v>12.0766250365284</v>
      </c>
      <c r="Y46">
        <v>12.0458620387352</v>
      </c>
      <c r="Z46" s="3">
        <v>12.0691327934207</v>
      </c>
      <c r="AA46" s="3">
        <v>8.2005000000000494E-2</v>
      </c>
    </row>
    <row r="47" spans="1:28" x14ac:dyDescent="0.25">
      <c r="A47" t="s">
        <v>61</v>
      </c>
      <c r="B47" t="s">
        <v>52</v>
      </c>
      <c r="C47">
        <v>10</v>
      </c>
      <c r="D47">
        <v>12.939916999999999</v>
      </c>
      <c r="E47">
        <v>1.7344999999999701E-2</v>
      </c>
      <c r="F47">
        <v>7.6196000000001304E-2</v>
      </c>
      <c r="G47">
        <v>20</v>
      </c>
      <c r="H47">
        <v>20</v>
      </c>
      <c r="I47">
        <v>1.7344999999999701E-2</v>
      </c>
      <c r="J47">
        <v>4.3362499999999297E-2</v>
      </c>
      <c r="K47">
        <v>0.63187584066316205</v>
      </c>
      <c r="L47">
        <v>0.6</v>
      </c>
      <c r="M47">
        <v>0.15</v>
      </c>
      <c r="N47">
        <v>0.45133988618797299</v>
      </c>
      <c r="O47" t="s">
        <v>138</v>
      </c>
      <c r="P47">
        <v>12.943529976173</v>
      </c>
      <c r="Q47">
        <v>8.1196300800137594E-2</v>
      </c>
      <c r="R47">
        <v>0.13021456323834801</v>
      </c>
      <c r="S47">
        <v>3.6129761730201398E-3</v>
      </c>
      <c r="T47">
        <v>12.949098536442399</v>
      </c>
      <c r="U47">
        <v>-5.5685602693369401E-3</v>
      </c>
      <c r="V47">
        <v>20</v>
      </c>
      <c r="W47">
        <v>2421.1236670987801</v>
      </c>
      <c r="X47">
        <v>12.975542609605601</v>
      </c>
      <c r="Y47">
        <v>12.9314288964718</v>
      </c>
      <c r="Z47" s="3">
        <v>12.943529976173</v>
      </c>
      <c r="AA47" s="3">
        <v>4.3362499999999297E-2</v>
      </c>
    </row>
    <row r="48" spans="1:28" x14ac:dyDescent="0.25">
      <c r="A48" t="s">
        <v>62</v>
      </c>
      <c r="B48" t="s">
        <v>52</v>
      </c>
      <c r="C48">
        <v>11</v>
      </c>
      <c r="D48">
        <v>13.827309</v>
      </c>
      <c r="E48">
        <v>2.9227500000001998E-2</v>
      </c>
      <c r="F48">
        <v>6.3174374999999103E-2</v>
      </c>
      <c r="G48">
        <v>20</v>
      </c>
      <c r="H48">
        <v>20</v>
      </c>
      <c r="I48">
        <v>2.9227500000001998E-2</v>
      </c>
      <c r="J48">
        <v>7.3068750000004901E-2</v>
      </c>
      <c r="K48">
        <v>0.78690464581950803</v>
      </c>
      <c r="L48">
        <v>0.75</v>
      </c>
      <c r="M48">
        <v>0.1</v>
      </c>
      <c r="N48">
        <v>0.56207474701393401</v>
      </c>
      <c r="O48" t="s">
        <v>135</v>
      </c>
      <c r="P48">
        <v>13.840770520291599</v>
      </c>
      <c r="Q48">
        <v>8.3249563576127006E-2</v>
      </c>
      <c r="R48">
        <v>0.133526952478698</v>
      </c>
      <c r="S48">
        <v>1.3461520291549799E-2</v>
      </c>
      <c r="T48">
        <v>13.8427721391843</v>
      </c>
      <c r="U48">
        <v>-2.0016188927236599E-3</v>
      </c>
      <c r="V48">
        <v>20</v>
      </c>
      <c r="W48">
        <v>2685.49204181701</v>
      </c>
      <c r="X48">
        <v>13.8617440646243</v>
      </c>
      <c r="Y48">
        <v>13.829669846054699</v>
      </c>
      <c r="Z48" s="3">
        <v>13.840770520291599</v>
      </c>
      <c r="AA48" s="3">
        <v>7.3068750000004901E-2</v>
      </c>
    </row>
    <row r="49" spans="1:28" x14ac:dyDescent="0.25">
      <c r="A49" t="s">
        <v>63</v>
      </c>
      <c r="B49" t="s">
        <v>52</v>
      </c>
      <c r="C49">
        <v>12</v>
      </c>
      <c r="D49">
        <v>14.794332000000001</v>
      </c>
      <c r="E49">
        <v>1.99274999999988E-2</v>
      </c>
      <c r="F49">
        <v>7.0575749999999701E-2</v>
      </c>
      <c r="G49">
        <v>20</v>
      </c>
      <c r="H49">
        <v>20</v>
      </c>
      <c r="I49">
        <v>1.99274999999988E-2</v>
      </c>
      <c r="J49">
        <v>4.98187499999969E-2</v>
      </c>
      <c r="K49">
        <v>0.64912402564777505</v>
      </c>
      <c r="L49">
        <v>0.6</v>
      </c>
      <c r="M49">
        <v>0.15</v>
      </c>
      <c r="N49">
        <v>0.463660018319839</v>
      </c>
      <c r="O49" t="s">
        <v>138</v>
      </c>
      <c r="P49">
        <v>14.803290101198099</v>
      </c>
      <c r="Q49">
        <v>6.3281905369404701E-2</v>
      </c>
      <c r="R49">
        <v>0.16623659225356099</v>
      </c>
      <c r="S49">
        <v>8.9581011980897109E-3</v>
      </c>
      <c r="T49">
        <v>14.7993000903006</v>
      </c>
      <c r="U49">
        <v>3.9900108975139403E-3</v>
      </c>
      <c r="V49">
        <v>20</v>
      </c>
      <c r="W49">
        <v>2347.7738071619301</v>
      </c>
      <c r="X49">
        <v>14.833672148400799</v>
      </c>
      <c r="Y49">
        <v>14.790300383955801</v>
      </c>
      <c r="Z49" s="3">
        <v>14.803290101198099</v>
      </c>
      <c r="AA49" s="3">
        <v>4.98187499999969E-2</v>
      </c>
    </row>
    <row r="50" spans="1:28" x14ac:dyDescent="0.25">
      <c r="A50" t="s">
        <v>64</v>
      </c>
      <c r="B50" t="s">
        <v>52</v>
      </c>
      <c r="C50">
        <v>13</v>
      </c>
      <c r="D50">
        <v>17.5669225</v>
      </c>
      <c r="E50">
        <v>3.49500000000003E-2</v>
      </c>
      <c r="F50">
        <v>6.0605999999999903E-2</v>
      </c>
      <c r="G50">
        <v>20</v>
      </c>
      <c r="H50">
        <v>20</v>
      </c>
      <c r="I50">
        <v>3.49500000000003E-2</v>
      </c>
      <c r="J50">
        <v>8.7375000000000605E-2</v>
      </c>
      <c r="K50">
        <v>0.887959042173046</v>
      </c>
      <c r="L50">
        <v>0.85</v>
      </c>
      <c r="M50">
        <v>0</v>
      </c>
      <c r="N50">
        <v>0.634256458695033</v>
      </c>
      <c r="O50" t="s">
        <v>135</v>
      </c>
      <c r="P50">
        <v>17.5956244807813</v>
      </c>
      <c r="Q50">
        <v>8.6778593527719397E-2</v>
      </c>
      <c r="R50">
        <v>0.13105948562967301</v>
      </c>
      <c r="S50">
        <v>2.8701980781303101E-2</v>
      </c>
      <c r="T50">
        <v>17.578660001315001</v>
      </c>
      <c r="U50">
        <v>1.6964479466345501E-2</v>
      </c>
      <c r="V50">
        <v>20</v>
      </c>
      <c r="W50">
        <v>2984.2990053165499</v>
      </c>
      <c r="X50">
        <v>17.584613720277599</v>
      </c>
      <c r="Y50">
        <v>17.571196256441699</v>
      </c>
      <c r="Z50" s="3">
        <v>17.5956244807813</v>
      </c>
      <c r="AA50" s="3">
        <v>8.7375000000000605E-2</v>
      </c>
    </row>
    <row r="51" spans="1:28" x14ac:dyDescent="0.25">
      <c r="A51" t="s">
        <v>65</v>
      </c>
      <c r="B51" t="s">
        <v>52</v>
      </c>
      <c r="C51">
        <v>14</v>
      </c>
      <c r="D51">
        <v>18.494873999999999</v>
      </c>
      <c r="E51">
        <v>1.78482500000001E-2</v>
      </c>
      <c r="F51">
        <v>6.5992624999992699E-2</v>
      </c>
      <c r="G51">
        <v>20</v>
      </c>
      <c r="H51">
        <v>20</v>
      </c>
      <c r="I51">
        <v>1.78482500000001E-2</v>
      </c>
      <c r="J51">
        <v>4.4620625000000302E-2</v>
      </c>
      <c r="K51">
        <v>0.65228327938863995</v>
      </c>
      <c r="L51">
        <v>0.6</v>
      </c>
      <c r="M51">
        <v>0.15</v>
      </c>
      <c r="N51">
        <v>0.46591662813474299</v>
      </c>
      <c r="O51" t="s">
        <v>138</v>
      </c>
      <c r="P51">
        <v>18.497520993544601</v>
      </c>
      <c r="Q51">
        <v>7.6798178756079902E-2</v>
      </c>
      <c r="R51">
        <v>0.112687504960649</v>
      </c>
      <c r="S51">
        <v>2.64699354461229E-3</v>
      </c>
      <c r="T51">
        <v>18.5194414878363</v>
      </c>
      <c r="U51">
        <v>-2.1920494291674E-2</v>
      </c>
      <c r="V51">
        <v>20</v>
      </c>
      <c r="W51">
        <v>2258.2352557906902</v>
      </c>
      <c r="X51">
        <v>18.528514262978</v>
      </c>
      <c r="Y51">
        <v>18.474248605801801</v>
      </c>
      <c r="Z51" s="3">
        <v>18.497520993544601</v>
      </c>
      <c r="AA51" s="3">
        <v>4.4620625000000302E-2</v>
      </c>
    </row>
    <row r="52" spans="1:28" x14ac:dyDescent="0.25">
      <c r="A52" t="s">
        <v>66</v>
      </c>
      <c r="B52" t="s">
        <v>52</v>
      </c>
      <c r="C52">
        <v>15</v>
      </c>
      <c r="D52">
        <v>19.388335999999999</v>
      </c>
      <c r="E52">
        <v>1.9800500000000599E-2</v>
      </c>
      <c r="F52">
        <v>4.1528375000002199E-2</v>
      </c>
      <c r="G52">
        <v>20</v>
      </c>
      <c r="H52">
        <v>20</v>
      </c>
      <c r="I52">
        <v>1.9800500000000599E-2</v>
      </c>
      <c r="J52">
        <v>4.9501250000001398E-2</v>
      </c>
      <c r="K52">
        <v>0.82545962711009202</v>
      </c>
      <c r="L52">
        <v>0.8</v>
      </c>
      <c r="M52">
        <v>0.05</v>
      </c>
      <c r="N52">
        <v>0.58961401936435198</v>
      </c>
      <c r="O52" t="s">
        <v>135</v>
      </c>
      <c r="P52">
        <v>19.408794338626102</v>
      </c>
      <c r="Q52">
        <v>6.6298630517786006E-2</v>
      </c>
      <c r="R52">
        <v>0.109384230216946</v>
      </c>
      <c r="S52">
        <v>2.04583386260744E-2</v>
      </c>
      <c r="T52">
        <v>19.424675851742901</v>
      </c>
      <c r="U52">
        <v>-1.5881513116859501E-2</v>
      </c>
      <c r="V52">
        <v>20</v>
      </c>
      <c r="W52">
        <v>2636.9641012443599</v>
      </c>
      <c r="X52">
        <v>19.432724481828</v>
      </c>
      <c r="Y52">
        <v>19.389941035170501</v>
      </c>
      <c r="Z52" s="3">
        <v>19.408794338626102</v>
      </c>
      <c r="AA52" s="3">
        <v>4.9501250000001398E-2</v>
      </c>
    </row>
    <row r="53" spans="1:28" x14ac:dyDescent="0.25">
      <c r="A53" t="s">
        <v>67</v>
      </c>
      <c r="B53" t="s">
        <v>52</v>
      </c>
      <c r="C53">
        <v>16</v>
      </c>
      <c r="D53">
        <v>20.332564999999999</v>
      </c>
      <c r="E53">
        <v>1.9550999999996301E-2</v>
      </c>
      <c r="F53">
        <v>4.0379000000001497E-2</v>
      </c>
      <c r="G53">
        <v>17</v>
      </c>
      <c r="H53">
        <v>17.072806518623</v>
      </c>
      <c r="I53">
        <v>1.9550999999996301E-2</v>
      </c>
      <c r="J53">
        <v>4.8877499999990803E-2</v>
      </c>
      <c r="K53">
        <v>0.69929350811274404</v>
      </c>
      <c r="L53">
        <v>0.64705882352941202</v>
      </c>
      <c r="M53">
        <v>0</v>
      </c>
      <c r="N53">
        <v>0.49949536293767399</v>
      </c>
      <c r="O53" t="s">
        <v>138</v>
      </c>
      <c r="P53">
        <v>20.332865575428201</v>
      </c>
      <c r="Q53">
        <v>6.6654900055276897E-2</v>
      </c>
      <c r="R53">
        <v>9.1123745494969599E-2</v>
      </c>
      <c r="S53">
        <v>3.0057542815597999E-4</v>
      </c>
      <c r="T53">
        <v>20.3458314143808</v>
      </c>
      <c r="U53">
        <v>-1.2965838952609899E-2</v>
      </c>
      <c r="V53">
        <v>17</v>
      </c>
      <c r="W53">
        <v>2189.0663636109002</v>
      </c>
      <c r="X53">
        <v>20.3679144537229</v>
      </c>
      <c r="Y53">
        <v>20.314656045997701</v>
      </c>
      <c r="Z53" s="3">
        <v>20.332865575428201</v>
      </c>
      <c r="AA53" s="3">
        <v>4.8877499999990803E-2</v>
      </c>
      <c r="AB53" s="16">
        <f xml:space="preserve"> GEOMEAN(AA39:AA53)</f>
        <v>6.3693300117002999E-2</v>
      </c>
    </row>
    <row r="54" spans="1:28" s="8" customFormat="1" x14ac:dyDescent="0.25">
      <c r="A54" s="8" t="s">
        <v>68</v>
      </c>
      <c r="B54" s="8" t="s">
        <v>69</v>
      </c>
      <c r="C54" s="8">
        <v>1</v>
      </c>
      <c r="D54" s="8">
        <v>0.70300100000000099</v>
      </c>
      <c r="E54" s="8">
        <v>4.3063999999998798E-2</v>
      </c>
      <c r="F54" s="8">
        <v>9.4873000000000096E-2</v>
      </c>
      <c r="G54" s="8">
        <v>19</v>
      </c>
      <c r="H54" s="8">
        <v>18.986579395308102</v>
      </c>
      <c r="I54" s="8">
        <v>4.3063999999998798E-2</v>
      </c>
      <c r="J54" s="8">
        <v>0.10765999999999699</v>
      </c>
      <c r="K54" s="8">
        <v>0.81788327427896201</v>
      </c>
      <c r="L54" s="8">
        <v>0.78947368421052599</v>
      </c>
      <c r="M54" s="8">
        <v>0</v>
      </c>
      <c r="N54" s="8">
        <v>0.58420233877068795</v>
      </c>
      <c r="O54" s="8" t="s">
        <v>135</v>
      </c>
      <c r="P54" s="8">
        <v>0.72702738729557204</v>
      </c>
      <c r="Q54" s="8">
        <v>9.7995415229563801E-2</v>
      </c>
      <c r="R54" s="8">
        <v>0.125287652472478</v>
      </c>
      <c r="S54" s="8">
        <v>2.40263872955719E-2</v>
      </c>
      <c r="T54" s="8">
        <v>0.74291754536679599</v>
      </c>
      <c r="U54" s="8">
        <v>-1.5890158071223501E-2</v>
      </c>
      <c r="V54" s="8">
        <v>19</v>
      </c>
      <c r="W54" s="8">
        <v>2518.297972584</v>
      </c>
      <c r="X54" s="8">
        <v>0.77391556803805295</v>
      </c>
      <c r="Y54" s="8">
        <v>0.71828604390308204</v>
      </c>
      <c r="Z54" s="9">
        <v>0.72702738729557204</v>
      </c>
      <c r="AA54" s="9">
        <v>0.10765999999999699</v>
      </c>
    </row>
    <row r="55" spans="1:28" x14ac:dyDescent="0.25">
      <c r="A55" t="s">
        <v>70</v>
      </c>
      <c r="B55" t="s">
        <v>69</v>
      </c>
      <c r="C55">
        <v>2</v>
      </c>
      <c r="D55">
        <v>1.766486</v>
      </c>
      <c r="E55">
        <v>1.5188749999999401E-2</v>
      </c>
      <c r="F55">
        <v>3.3294124999999397E-2</v>
      </c>
      <c r="G55">
        <v>20</v>
      </c>
      <c r="H55">
        <v>20</v>
      </c>
      <c r="I55">
        <v>1.5188749999999401E-2</v>
      </c>
      <c r="J55">
        <v>3.7971874999998503E-2</v>
      </c>
      <c r="K55">
        <v>0.84601089789339501</v>
      </c>
      <c r="L55">
        <v>0.8</v>
      </c>
      <c r="M55">
        <v>0.05</v>
      </c>
      <c r="N55">
        <v>0.60429349849528202</v>
      </c>
      <c r="O55" t="s">
        <v>135</v>
      </c>
      <c r="P55">
        <v>1.7885446284316899</v>
      </c>
      <c r="Q55">
        <v>5.1147075687661497E-2</v>
      </c>
      <c r="R55">
        <v>9.3892710608054306E-2</v>
      </c>
      <c r="S55">
        <v>2.20586284316877E-2</v>
      </c>
      <c r="T55">
        <v>1.7959282011687301</v>
      </c>
      <c r="U55">
        <v>-7.3835727370419298E-3</v>
      </c>
      <c r="V55">
        <v>20</v>
      </c>
      <c r="W55">
        <v>2634.6460041641399</v>
      </c>
      <c r="X55">
        <v>1.8067978003671901</v>
      </c>
      <c r="Y55">
        <v>1.76382330449758</v>
      </c>
      <c r="Z55" s="3">
        <v>1.7885446284316899</v>
      </c>
      <c r="AA55" s="3">
        <v>3.7971874999998503E-2</v>
      </c>
    </row>
    <row r="56" spans="1:28" x14ac:dyDescent="0.25">
      <c r="A56" t="s">
        <v>71</v>
      </c>
      <c r="B56" t="s">
        <v>69</v>
      </c>
      <c r="C56">
        <v>3</v>
      </c>
      <c r="D56">
        <v>2.125175</v>
      </c>
      <c r="E56">
        <v>2.4721500000000101E-2</v>
      </c>
      <c r="F56">
        <v>4.1963999999999703E-2</v>
      </c>
      <c r="G56">
        <v>20</v>
      </c>
      <c r="H56">
        <v>20</v>
      </c>
      <c r="I56">
        <v>2.4721500000000101E-2</v>
      </c>
      <c r="J56">
        <v>6.1803750000000199E-2</v>
      </c>
      <c r="K56">
        <v>0.84391174868632002</v>
      </c>
      <c r="L56">
        <v>0.8</v>
      </c>
      <c r="M56">
        <v>0</v>
      </c>
      <c r="N56">
        <v>0.60279410620451401</v>
      </c>
      <c r="O56" t="s">
        <v>135</v>
      </c>
      <c r="P56">
        <v>2.1555030644554898</v>
      </c>
      <c r="Q56">
        <v>5.2903351695426301E-2</v>
      </c>
      <c r="R56">
        <v>9.0819833249357398E-2</v>
      </c>
      <c r="S56">
        <v>3.0328064455492E-2</v>
      </c>
      <c r="T56">
        <v>2.1557505750834798</v>
      </c>
      <c r="U56">
        <v>-2.4751062798733498E-4</v>
      </c>
      <c r="V56">
        <v>20</v>
      </c>
      <c r="W56">
        <v>2847.89338410853</v>
      </c>
      <c r="X56">
        <v>2.1724573057321601</v>
      </c>
      <c r="Y56">
        <v>2.1261687374076002</v>
      </c>
      <c r="Z56" s="3">
        <v>2.1555030644554898</v>
      </c>
      <c r="AA56" s="3">
        <v>6.1803750000000199E-2</v>
      </c>
    </row>
    <row r="57" spans="1:28" x14ac:dyDescent="0.25">
      <c r="A57" t="s">
        <v>72</v>
      </c>
      <c r="B57" t="s">
        <v>69</v>
      </c>
      <c r="C57">
        <v>4</v>
      </c>
      <c r="D57">
        <v>2.46122</v>
      </c>
      <c r="E57">
        <v>1.64740000000019E-2</v>
      </c>
      <c r="F57">
        <v>2.79982500000013E-2</v>
      </c>
      <c r="G57">
        <v>20</v>
      </c>
      <c r="H57">
        <v>20</v>
      </c>
      <c r="I57">
        <v>1.64740000000019E-2</v>
      </c>
      <c r="J57">
        <v>4.1185000000004697E-2</v>
      </c>
      <c r="K57">
        <v>0.77146734066678602</v>
      </c>
      <c r="L57">
        <v>0.75</v>
      </c>
      <c r="M57">
        <v>0.2</v>
      </c>
      <c r="N57">
        <v>0.55104810047627495</v>
      </c>
      <c r="O57" t="s">
        <v>135</v>
      </c>
      <c r="P57">
        <v>2.4732176240005499</v>
      </c>
      <c r="Q57">
        <v>5.8103402516819003E-2</v>
      </c>
      <c r="R57">
        <v>7.2228126314882998E-2</v>
      </c>
      <c r="S57">
        <v>1.19976240005513E-2</v>
      </c>
      <c r="T57">
        <v>2.47927904067084</v>
      </c>
      <c r="U57">
        <v>-6.0614166702888097E-3</v>
      </c>
      <c r="V57">
        <v>20</v>
      </c>
      <c r="W57">
        <v>2537.8264789007699</v>
      </c>
      <c r="X57">
        <v>2.50516240582545</v>
      </c>
      <c r="Y57">
        <v>2.4703874823193601</v>
      </c>
      <c r="Z57" s="3">
        <v>2.4732176240005499</v>
      </c>
      <c r="AA57" s="3">
        <v>4.1185000000004697E-2</v>
      </c>
    </row>
    <row r="58" spans="1:28" x14ac:dyDescent="0.25">
      <c r="A58" t="s">
        <v>73</v>
      </c>
      <c r="B58" t="s">
        <v>69</v>
      </c>
      <c r="C58">
        <v>5</v>
      </c>
      <c r="D58">
        <v>2.8956884999999999</v>
      </c>
      <c r="E58">
        <v>3.2329999999999998E-2</v>
      </c>
      <c r="F58">
        <v>5.9992999999999498E-2</v>
      </c>
      <c r="G58">
        <v>20</v>
      </c>
      <c r="H58">
        <v>20</v>
      </c>
      <c r="I58">
        <v>3.2329999999999998E-2</v>
      </c>
      <c r="J58">
        <v>8.0824999999999897E-2</v>
      </c>
      <c r="K58">
        <v>0.78501934005672203</v>
      </c>
      <c r="L58">
        <v>0.75</v>
      </c>
      <c r="M58">
        <v>0.1</v>
      </c>
      <c r="N58">
        <v>0.56072810004051599</v>
      </c>
      <c r="O58" t="s">
        <v>135</v>
      </c>
      <c r="P58">
        <v>2.9022937793580401</v>
      </c>
      <c r="Q58">
        <v>6.49402831304495E-2</v>
      </c>
      <c r="R58">
        <v>0.102460825352312</v>
      </c>
      <c r="S58">
        <v>6.6052793580397796E-3</v>
      </c>
      <c r="T58">
        <v>2.9068550286786898</v>
      </c>
      <c r="U58">
        <v>-4.5612493206501599E-3</v>
      </c>
      <c r="V58">
        <v>20</v>
      </c>
      <c r="W58">
        <v>2530.2083642511202</v>
      </c>
      <c r="X58">
        <v>2.9388498432697499</v>
      </c>
      <c r="Y58">
        <v>2.8959069485526898</v>
      </c>
      <c r="Z58" s="3">
        <v>2.9022937793580401</v>
      </c>
      <c r="AA58" s="3">
        <v>8.0824999999999897E-2</v>
      </c>
    </row>
    <row r="59" spans="1:28" x14ac:dyDescent="0.25">
      <c r="A59" t="s">
        <v>74</v>
      </c>
      <c r="B59" t="s">
        <v>69</v>
      </c>
      <c r="C59">
        <v>6</v>
      </c>
      <c r="D59">
        <v>4.011844</v>
      </c>
      <c r="E59">
        <v>1.5670750000000001E-2</v>
      </c>
      <c r="F59">
        <v>2.7395625000000499E-2</v>
      </c>
      <c r="G59">
        <v>20</v>
      </c>
      <c r="H59">
        <v>20</v>
      </c>
      <c r="I59">
        <v>1.5670750000000001E-2</v>
      </c>
      <c r="J59">
        <v>3.9176874999999903E-2</v>
      </c>
      <c r="K59">
        <v>0.68360726820106898</v>
      </c>
      <c r="L59">
        <v>0.65</v>
      </c>
      <c r="M59">
        <v>0.1</v>
      </c>
      <c r="N59">
        <v>0.48829090585790602</v>
      </c>
      <c r="O59" t="s">
        <v>138</v>
      </c>
      <c r="P59">
        <v>4.0214144362196</v>
      </c>
      <c r="Q59">
        <v>5.5135337085319799E-2</v>
      </c>
      <c r="R59">
        <v>0.109782469088226</v>
      </c>
      <c r="S59">
        <v>9.5704362196036303E-3</v>
      </c>
      <c r="T59">
        <v>4.0286596758598403</v>
      </c>
      <c r="U59">
        <v>-7.2452396402411497E-3</v>
      </c>
      <c r="V59">
        <v>20</v>
      </c>
      <c r="W59">
        <v>2236.5810452799201</v>
      </c>
      <c r="X59">
        <v>4.0497534492652996</v>
      </c>
      <c r="Y59">
        <v>4.0082526220894801</v>
      </c>
      <c r="Z59" s="3">
        <v>4.0214144362196</v>
      </c>
      <c r="AA59" s="3">
        <v>3.9176874999999903E-2</v>
      </c>
    </row>
    <row r="60" spans="1:28" x14ac:dyDescent="0.25">
      <c r="A60" t="s">
        <v>75</v>
      </c>
      <c r="B60" t="s">
        <v>69</v>
      </c>
      <c r="C60">
        <v>7</v>
      </c>
      <c r="D60">
        <v>4.3913000000000002</v>
      </c>
      <c r="E60">
        <v>3.2255999999999403E-2</v>
      </c>
      <c r="F60">
        <v>5.9402125000000999E-2</v>
      </c>
      <c r="G60">
        <v>20</v>
      </c>
      <c r="H60">
        <v>20</v>
      </c>
      <c r="I60">
        <v>3.2255999999999403E-2</v>
      </c>
      <c r="J60">
        <v>8.0639999999998505E-2</v>
      </c>
      <c r="K60">
        <v>0.92816571274773696</v>
      </c>
      <c r="L60">
        <v>0.9</v>
      </c>
      <c r="M60">
        <v>0</v>
      </c>
      <c r="N60">
        <v>0.66297550910552605</v>
      </c>
      <c r="O60" t="s">
        <v>135</v>
      </c>
      <c r="P60">
        <v>4.4339459689030098</v>
      </c>
      <c r="Q60">
        <v>7.6863680553375099E-2</v>
      </c>
      <c r="R60">
        <v>9.3829339560491998E-2</v>
      </c>
      <c r="S60">
        <v>4.2645968903009597E-2</v>
      </c>
      <c r="T60">
        <v>4.4418556322235503</v>
      </c>
      <c r="U60">
        <v>-7.9096633205377707E-3</v>
      </c>
      <c r="V60">
        <v>20</v>
      </c>
      <c r="W60">
        <v>2932.05857969403</v>
      </c>
      <c r="X60">
        <v>4.4553043189684001</v>
      </c>
      <c r="Y60">
        <v>4.4006958680191302</v>
      </c>
      <c r="Z60" s="3">
        <v>4.4339459689030098</v>
      </c>
      <c r="AA60" s="3">
        <v>8.0639999999998505E-2</v>
      </c>
    </row>
    <row r="61" spans="1:28" x14ac:dyDescent="0.25">
      <c r="A61" t="s">
        <v>76</v>
      </c>
      <c r="B61" t="s">
        <v>69</v>
      </c>
      <c r="C61">
        <v>8</v>
      </c>
      <c r="D61">
        <v>4.7125355000000004</v>
      </c>
      <c r="E61">
        <v>1.8841499999999699E-2</v>
      </c>
      <c r="F61">
        <v>2.8546750000000301E-2</v>
      </c>
      <c r="G61">
        <v>20</v>
      </c>
      <c r="H61">
        <v>20</v>
      </c>
      <c r="I61">
        <v>1.8841499999999699E-2</v>
      </c>
      <c r="J61">
        <v>4.7103749999999299E-2</v>
      </c>
      <c r="K61">
        <v>0.89653809607016399</v>
      </c>
      <c r="L61">
        <v>0.85</v>
      </c>
      <c r="M61">
        <v>0</v>
      </c>
      <c r="N61">
        <v>0.64038435433583196</v>
      </c>
      <c r="O61" t="s">
        <v>135</v>
      </c>
      <c r="P61">
        <v>4.7452195398369996</v>
      </c>
      <c r="Q61">
        <v>6.1694831728706302E-2</v>
      </c>
      <c r="R61">
        <v>9.1495492396853298E-2</v>
      </c>
      <c r="S61">
        <v>3.2684039836996498E-2</v>
      </c>
      <c r="T61">
        <v>4.7432310032069998</v>
      </c>
      <c r="U61">
        <v>1.9885366299927701E-3</v>
      </c>
      <c r="V61">
        <v>20</v>
      </c>
      <c r="W61">
        <v>2838.08586709768</v>
      </c>
      <c r="X61">
        <v>4.7508134449755604</v>
      </c>
      <c r="Y61">
        <v>4.7101894973146203</v>
      </c>
      <c r="Z61" s="3">
        <v>4.7452195398369996</v>
      </c>
      <c r="AA61" s="3">
        <v>4.7103749999999299E-2</v>
      </c>
    </row>
    <row r="62" spans="1:28" x14ac:dyDescent="0.25">
      <c r="A62" t="s">
        <v>77</v>
      </c>
      <c r="B62" t="s">
        <v>69</v>
      </c>
      <c r="C62">
        <v>9</v>
      </c>
      <c r="D62">
        <v>5.1285340000000001</v>
      </c>
      <c r="E62">
        <v>1.77119999999991E-2</v>
      </c>
      <c r="F62">
        <v>3.9902125000000198E-2</v>
      </c>
      <c r="G62">
        <v>20</v>
      </c>
      <c r="H62">
        <v>20</v>
      </c>
      <c r="I62">
        <v>1.77119999999991E-2</v>
      </c>
      <c r="J62">
        <v>4.4279999999997703E-2</v>
      </c>
      <c r="K62">
        <v>0.82711131639419799</v>
      </c>
      <c r="L62">
        <v>0.8</v>
      </c>
      <c r="M62">
        <v>0.05</v>
      </c>
      <c r="N62">
        <v>0.59079379742442695</v>
      </c>
      <c r="O62" t="s">
        <v>135</v>
      </c>
      <c r="P62">
        <v>5.1428953681057603</v>
      </c>
      <c r="Q62">
        <v>6.3081514343412207E-2</v>
      </c>
      <c r="R62">
        <v>0.107425606317754</v>
      </c>
      <c r="S62">
        <v>1.43613681057557E-2</v>
      </c>
      <c r="T62">
        <v>5.1538393267049996</v>
      </c>
      <c r="U62">
        <v>-1.0943958599245501E-2</v>
      </c>
      <c r="V62">
        <v>20</v>
      </c>
      <c r="W62">
        <v>2514.3896788328002</v>
      </c>
      <c r="X62">
        <v>5.1640392257000602</v>
      </c>
      <c r="Y62">
        <v>5.1317709575401196</v>
      </c>
      <c r="Z62" s="3">
        <v>5.1428953681057603</v>
      </c>
      <c r="AA62" s="3">
        <v>4.4279999999997703E-2</v>
      </c>
    </row>
    <row r="63" spans="1:28" x14ac:dyDescent="0.25">
      <c r="A63" t="s">
        <v>78</v>
      </c>
      <c r="B63" t="s">
        <v>69</v>
      </c>
      <c r="C63">
        <v>10</v>
      </c>
      <c r="D63">
        <v>5.8810510000000003</v>
      </c>
      <c r="E63">
        <v>1.4769000000000299E-2</v>
      </c>
      <c r="F63">
        <v>2.7131750000001498E-2</v>
      </c>
      <c r="G63">
        <v>20</v>
      </c>
      <c r="H63">
        <v>20</v>
      </c>
      <c r="I63">
        <v>1.4769000000000299E-2</v>
      </c>
      <c r="J63">
        <v>3.6922500000000601E-2</v>
      </c>
      <c r="K63">
        <v>0.82545962711009202</v>
      </c>
      <c r="L63">
        <v>0.8</v>
      </c>
      <c r="M63">
        <v>0.1</v>
      </c>
      <c r="N63">
        <v>0.58961401936435198</v>
      </c>
      <c r="O63" t="s">
        <v>135</v>
      </c>
      <c r="P63">
        <v>5.8980295153819897</v>
      </c>
      <c r="Q63">
        <v>5.0517351695426302E-2</v>
      </c>
      <c r="R63">
        <v>0.109800400787569</v>
      </c>
      <c r="S63">
        <v>1.6978515381986799E-2</v>
      </c>
      <c r="T63">
        <v>5.8952437765428396</v>
      </c>
      <c r="U63">
        <v>2.7857388391465702E-3</v>
      </c>
      <c r="V63">
        <v>20</v>
      </c>
      <c r="W63">
        <v>2876.0952373361101</v>
      </c>
      <c r="X63">
        <v>5.9185168825796</v>
      </c>
      <c r="Y63">
        <v>5.8798457654362002</v>
      </c>
      <c r="Z63" s="3">
        <v>5.8980295153819897</v>
      </c>
      <c r="AA63" s="3">
        <v>3.6922500000000601E-2</v>
      </c>
    </row>
    <row r="64" spans="1:28" x14ac:dyDescent="0.25">
      <c r="A64" t="s">
        <v>79</v>
      </c>
      <c r="B64" t="s">
        <v>69</v>
      </c>
      <c r="C64">
        <v>11</v>
      </c>
      <c r="D64">
        <v>6.2258060000000004</v>
      </c>
      <c r="E64">
        <v>3.4275749999999099E-2</v>
      </c>
      <c r="F64">
        <v>6.2163625000001103E-2</v>
      </c>
      <c r="G64">
        <v>20</v>
      </c>
      <c r="H64">
        <v>20</v>
      </c>
      <c r="I64">
        <v>3.4275749999999099E-2</v>
      </c>
      <c r="J64">
        <v>8.5689374999997597E-2</v>
      </c>
      <c r="K64">
        <v>0.92816571274773696</v>
      </c>
      <c r="L64">
        <v>0.9</v>
      </c>
      <c r="M64">
        <v>0</v>
      </c>
      <c r="N64">
        <v>0.66297550910552605</v>
      </c>
      <c r="O64" t="s">
        <v>135</v>
      </c>
      <c r="P64">
        <v>6.26126158888726</v>
      </c>
      <c r="Q64">
        <v>5.1650424160476799E-2</v>
      </c>
      <c r="R64">
        <v>9.4392628218218297E-2</v>
      </c>
      <c r="S64">
        <v>3.5455588887257E-2</v>
      </c>
      <c r="T64">
        <v>6.2609606827712003</v>
      </c>
      <c r="U64">
        <v>3.0090611605793099E-4</v>
      </c>
      <c r="V64">
        <v>20</v>
      </c>
      <c r="W64">
        <v>3012.2236478806599</v>
      </c>
      <c r="X64">
        <v>6.3010900182155298</v>
      </c>
      <c r="Y64">
        <v>6.2281685310864301</v>
      </c>
      <c r="Z64" s="3">
        <v>6.26126158888726</v>
      </c>
      <c r="AA64" s="3">
        <v>8.5689374999997597E-2</v>
      </c>
    </row>
    <row r="65" spans="1:27" x14ac:dyDescent="0.25">
      <c r="A65" t="s">
        <v>80</v>
      </c>
      <c r="B65" t="s">
        <v>69</v>
      </c>
      <c r="C65">
        <v>12</v>
      </c>
      <c r="D65">
        <v>6.5892590000000002</v>
      </c>
      <c r="E65">
        <v>1.9289000000000101E-2</v>
      </c>
      <c r="F65">
        <v>3.9837499999999103E-2</v>
      </c>
      <c r="G65">
        <v>20</v>
      </c>
      <c r="H65">
        <v>20</v>
      </c>
      <c r="I65">
        <v>1.9289000000000101E-2</v>
      </c>
      <c r="J65">
        <v>4.82225000000003E-2</v>
      </c>
      <c r="K65">
        <v>0.70889712977235197</v>
      </c>
      <c r="L65">
        <v>0.7</v>
      </c>
      <c r="M65">
        <v>0.05</v>
      </c>
      <c r="N65">
        <v>0.50635509269453705</v>
      </c>
      <c r="O65" t="s">
        <v>135</v>
      </c>
      <c r="P65">
        <v>6.6026774326625697</v>
      </c>
      <c r="Q65">
        <v>7.9277761056468096E-2</v>
      </c>
      <c r="R65">
        <v>8.2095274363335594E-2</v>
      </c>
      <c r="S65">
        <v>1.3418432662571299E-2</v>
      </c>
      <c r="T65">
        <v>6.6248760171205001</v>
      </c>
      <c r="U65">
        <v>-2.2198584457926E-2</v>
      </c>
      <c r="V65">
        <v>20</v>
      </c>
      <c r="W65">
        <v>2428.9002134837401</v>
      </c>
      <c r="X65">
        <v>6.6318826875465096</v>
      </c>
      <c r="Y65">
        <v>6.5999053640058696</v>
      </c>
      <c r="Z65" s="3">
        <v>6.6026774326625697</v>
      </c>
      <c r="AA65" s="3">
        <v>4.82225000000003E-2</v>
      </c>
    </row>
    <row r="66" spans="1:27" x14ac:dyDescent="0.25">
      <c r="A66" t="s">
        <v>81</v>
      </c>
      <c r="B66" t="s">
        <v>69</v>
      </c>
      <c r="C66">
        <v>13</v>
      </c>
      <c r="D66">
        <v>6.9686405000000002</v>
      </c>
      <c r="E66">
        <v>2.3303000000000299E-2</v>
      </c>
      <c r="F66">
        <v>4.2731749999998798E-2</v>
      </c>
      <c r="G66">
        <v>20</v>
      </c>
      <c r="H66">
        <v>20</v>
      </c>
      <c r="I66">
        <v>2.3303000000000299E-2</v>
      </c>
      <c r="J66">
        <v>5.8257500000000698E-2</v>
      </c>
      <c r="K66">
        <v>0.68766083652833798</v>
      </c>
      <c r="L66">
        <v>0.65</v>
      </c>
      <c r="M66">
        <v>0.1</v>
      </c>
      <c r="N66">
        <v>0.49118631180595501</v>
      </c>
      <c r="O66" t="s">
        <v>138</v>
      </c>
      <c r="P66">
        <v>6.9780285354349099</v>
      </c>
      <c r="Q66">
        <v>5.68977021040959E-2</v>
      </c>
      <c r="R66">
        <v>0.108955990626645</v>
      </c>
      <c r="S66">
        <v>9.3880354349105098E-3</v>
      </c>
      <c r="T66">
        <v>7.0079904199568501</v>
      </c>
      <c r="U66">
        <v>-2.9961884521940301E-2</v>
      </c>
      <c r="V66">
        <v>20</v>
      </c>
      <c r="W66">
        <v>2320.2981100857801</v>
      </c>
      <c r="X66">
        <v>7.0210431083747702</v>
      </c>
      <c r="Y66">
        <v>6.9598657423655403</v>
      </c>
      <c r="Z66" s="3">
        <v>6.9780285354349099</v>
      </c>
      <c r="AA66" s="3">
        <v>5.8257500000000698E-2</v>
      </c>
    </row>
    <row r="67" spans="1:27" x14ac:dyDescent="0.25">
      <c r="A67" t="s">
        <v>82</v>
      </c>
      <c r="B67" t="s">
        <v>69</v>
      </c>
      <c r="C67">
        <v>14</v>
      </c>
      <c r="D67">
        <v>7.3708914999999999</v>
      </c>
      <c r="E67">
        <v>1.88232500000001E-2</v>
      </c>
      <c r="F67">
        <v>3.1599249999998399E-2</v>
      </c>
      <c r="G67">
        <v>20</v>
      </c>
      <c r="H67">
        <v>20</v>
      </c>
      <c r="I67">
        <v>1.88232500000001E-2</v>
      </c>
      <c r="J67">
        <v>4.70581250000002E-2</v>
      </c>
      <c r="K67">
        <v>0.74481266948203095</v>
      </c>
      <c r="L67">
        <v>0.7</v>
      </c>
      <c r="M67">
        <v>0.05</v>
      </c>
      <c r="N67">
        <v>0.53200904963002205</v>
      </c>
      <c r="O67" t="s">
        <v>135</v>
      </c>
      <c r="P67">
        <v>7.3771321344473701</v>
      </c>
      <c r="Q67">
        <v>7.0482563576126298E-2</v>
      </c>
      <c r="R67">
        <v>0.11455780506705</v>
      </c>
      <c r="S67">
        <v>6.2406344473719998E-3</v>
      </c>
      <c r="T67">
        <v>7.4060087810973396</v>
      </c>
      <c r="U67">
        <v>-2.8876646649964099E-2</v>
      </c>
      <c r="V67">
        <v>20</v>
      </c>
      <c r="W67">
        <v>2529.6302814809701</v>
      </c>
      <c r="X67">
        <v>7.4106722621285197</v>
      </c>
      <c r="Y67">
        <v>7.3638317049248201</v>
      </c>
      <c r="Z67" s="3">
        <v>7.3771321344473701</v>
      </c>
      <c r="AA67" s="3">
        <v>4.70581250000002E-2</v>
      </c>
    </row>
    <row r="68" spans="1:27" x14ac:dyDescent="0.25">
      <c r="A68" t="s">
        <v>83</v>
      </c>
      <c r="B68" t="s">
        <v>69</v>
      </c>
      <c r="C68">
        <v>15</v>
      </c>
      <c r="D68">
        <v>8.4613545000000006</v>
      </c>
      <c r="E68">
        <v>1.64430000000007E-2</v>
      </c>
      <c r="F68">
        <v>3.1509500000002098E-2</v>
      </c>
      <c r="G68">
        <v>20</v>
      </c>
      <c r="H68">
        <v>20</v>
      </c>
      <c r="I68">
        <v>1.64430000000007E-2</v>
      </c>
      <c r="J68">
        <v>4.1107500000001601E-2</v>
      </c>
      <c r="K68">
        <v>0.84435920860928904</v>
      </c>
      <c r="L68">
        <v>0.8</v>
      </c>
      <c r="M68">
        <v>0.05</v>
      </c>
      <c r="N68">
        <v>0.60311372043520595</v>
      </c>
      <c r="O68" t="s">
        <v>135</v>
      </c>
      <c r="P68">
        <v>8.4898612298451894</v>
      </c>
      <c r="Q68">
        <v>4.7330021736895302E-2</v>
      </c>
      <c r="R68">
        <v>8.8086219227451204E-2</v>
      </c>
      <c r="S68">
        <v>2.8506729845185302E-2</v>
      </c>
      <c r="T68">
        <v>8.4897848651317496</v>
      </c>
      <c r="U68">
        <v>7.6364713438081794E-5</v>
      </c>
      <c r="V68">
        <v>20</v>
      </c>
      <c r="W68">
        <v>2696.6483952723001</v>
      </c>
      <c r="X68">
        <v>8.49657835561041</v>
      </c>
      <c r="Y68">
        <v>8.4585507710611108</v>
      </c>
      <c r="Z68" s="3">
        <v>8.4898612298451894</v>
      </c>
      <c r="AA68" s="3">
        <v>4.1107500000001601E-2</v>
      </c>
    </row>
    <row r="69" spans="1:27" x14ac:dyDescent="0.25">
      <c r="A69" t="s">
        <v>84</v>
      </c>
      <c r="B69" t="s">
        <v>69</v>
      </c>
      <c r="C69">
        <v>16</v>
      </c>
      <c r="D69">
        <v>8.8415949999999999</v>
      </c>
      <c r="E69">
        <v>1.8609500000000199E-2</v>
      </c>
      <c r="F69">
        <v>3.2341250000001799E-2</v>
      </c>
      <c r="G69">
        <v>20</v>
      </c>
      <c r="H69">
        <v>20</v>
      </c>
      <c r="I69">
        <v>1.8609500000000199E-2</v>
      </c>
      <c r="J69">
        <v>4.6523750000000398E-2</v>
      </c>
      <c r="K69">
        <v>0.89653809607016399</v>
      </c>
      <c r="L69">
        <v>0.85</v>
      </c>
      <c r="M69">
        <v>0.1</v>
      </c>
      <c r="N69">
        <v>0.64038435433583196</v>
      </c>
      <c r="O69" t="s">
        <v>135</v>
      </c>
      <c r="P69">
        <v>8.8675278600366596</v>
      </c>
      <c r="Q69">
        <v>6.03996519283665E-2</v>
      </c>
      <c r="R69">
        <v>8.5224129849109695E-2</v>
      </c>
      <c r="S69">
        <v>2.5932860036658002E-2</v>
      </c>
      <c r="T69">
        <v>8.8651152586456092</v>
      </c>
      <c r="U69">
        <v>2.4126013910468198E-3</v>
      </c>
      <c r="V69">
        <v>20</v>
      </c>
      <c r="W69">
        <v>2883.6623234510398</v>
      </c>
      <c r="X69">
        <v>8.8856852411133591</v>
      </c>
      <c r="Y69">
        <v>8.8343493672647107</v>
      </c>
      <c r="Z69" s="3">
        <v>8.8675278600366596</v>
      </c>
      <c r="AA69" s="3">
        <v>4.6523750000000398E-2</v>
      </c>
    </row>
    <row r="70" spans="1:27" x14ac:dyDescent="0.25">
      <c r="A70" t="s">
        <v>85</v>
      </c>
      <c r="B70" t="s">
        <v>69</v>
      </c>
      <c r="C70">
        <v>17</v>
      </c>
      <c r="D70">
        <v>9.1889350000000007</v>
      </c>
      <c r="E70">
        <v>1.4627000000000801E-2</v>
      </c>
      <c r="F70">
        <v>2.8869875000001599E-2</v>
      </c>
      <c r="G70">
        <v>20</v>
      </c>
      <c r="H70">
        <v>20</v>
      </c>
      <c r="I70">
        <v>1.4627000000000801E-2</v>
      </c>
      <c r="J70">
        <v>3.6567500000002098E-2</v>
      </c>
      <c r="K70">
        <v>0.77448496901035402</v>
      </c>
      <c r="L70">
        <v>0.75</v>
      </c>
      <c r="M70">
        <v>0.15</v>
      </c>
      <c r="N70">
        <v>0.55320354929311</v>
      </c>
      <c r="O70" t="s">
        <v>135</v>
      </c>
      <c r="P70">
        <v>9.2064866652229096</v>
      </c>
      <c r="Q70">
        <v>3.9673014343411903E-2</v>
      </c>
      <c r="R70">
        <v>6.06234672124751E-2</v>
      </c>
      <c r="S70">
        <v>1.75516652229071E-2</v>
      </c>
      <c r="T70">
        <v>9.2081373515600191</v>
      </c>
      <c r="U70">
        <v>-1.6506863371148501E-3</v>
      </c>
      <c r="V70">
        <v>20</v>
      </c>
      <c r="W70">
        <v>2581.0183497545499</v>
      </c>
      <c r="X70">
        <v>9.2333542013350502</v>
      </c>
      <c r="Y70">
        <v>9.1931387491301599</v>
      </c>
      <c r="Z70" s="3">
        <v>9.2064866652229096</v>
      </c>
      <c r="AA70" s="3">
        <v>3.6567500000002098E-2</v>
      </c>
    </row>
    <row r="71" spans="1:27" x14ac:dyDescent="0.25">
      <c r="A71" t="s">
        <v>86</v>
      </c>
      <c r="B71" t="s">
        <v>69</v>
      </c>
      <c r="C71">
        <v>18</v>
      </c>
      <c r="D71">
        <v>9.5539240000000003</v>
      </c>
      <c r="E71">
        <v>2.3926000000002098E-2</v>
      </c>
      <c r="F71">
        <v>5.6696749999998602E-2</v>
      </c>
      <c r="G71">
        <v>20</v>
      </c>
      <c r="H71">
        <v>20</v>
      </c>
      <c r="I71">
        <v>2.3926000000002098E-2</v>
      </c>
      <c r="J71">
        <v>5.9815000000005301E-2</v>
      </c>
      <c r="K71">
        <v>0.82711131639419799</v>
      </c>
      <c r="L71">
        <v>0.8</v>
      </c>
      <c r="M71">
        <v>0</v>
      </c>
      <c r="N71">
        <v>0.59079379742442695</v>
      </c>
      <c r="O71" t="s">
        <v>135</v>
      </c>
      <c r="P71">
        <v>9.5749980385405706</v>
      </c>
      <c r="Q71">
        <v>4.8984150624786303E-2</v>
      </c>
      <c r="R71">
        <v>7.3474592652478604E-2</v>
      </c>
      <c r="S71">
        <v>2.1074038540572101E-2</v>
      </c>
      <c r="T71">
        <v>9.5866968417626097</v>
      </c>
      <c r="U71">
        <v>-1.16988032220391E-2</v>
      </c>
      <c r="V71">
        <v>20</v>
      </c>
      <c r="W71">
        <v>2748.3086268336701</v>
      </c>
      <c r="X71">
        <v>9.5984525986835401</v>
      </c>
      <c r="Y71">
        <v>9.5700459641797604</v>
      </c>
      <c r="Z71" s="3">
        <v>9.5749980385405706</v>
      </c>
      <c r="AA71" s="3">
        <v>5.9815000000005301E-2</v>
      </c>
    </row>
    <row r="72" spans="1:27" x14ac:dyDescent="0.25">
      <c r="A72" t="s">
        <v>87</v>
      </c>
      <c r="B72" t="s">
        <v>69</v>
      </c>
      <c r="C72">
        <v>19</v>
      </c>
      <c r="D72">
        <v>10.778677999999999</v>
      </c>
      <c r="E72">
        <v>1.40185000000006E-2</v>
      </c>
      <c r="F72">
        <v>3.15616250000001E-2</v>
      </c>
      <c r="G72">
        <v>20</v>
      </c>
      <c r="H72">
        <v>20</v>
      </c>
      <c r="I72">
        <v>1.40185000000006E-2</v>
      </c>
      <c r="J72">
        <v>3.50462500000015E-2</v>
      </c>
      <c r="K72">
        <v>0.76954680618351601</v>
      </c>
      <c r="L72">
        <v>0.75</v>
      </c>
      <c r="M72">
        <v>0.1</v>
      </c>
      <c r="N72">
        <v>0.54967629013108299</v>
      </c>
      <c r="O72" t="s">
        <v>135</v>
      </c>
      <c r="P72">
        <v>10.8021000415334</v>
      </c>
      <c r="Q72">
        <v>4.8040575687661603E-2</v>
      </c>
      <c r="R72">
        <v>0.18953807296080499</v>
      </c>
      <c r="S72">
        <v>2.34220415333883E-2</v>
      </c>
      <c r="T72">
        <v>10.785982930211</v>
      </c>
      <c r="U72">
        <v>1.6117111322419199E-2</v>
      </c>
      <c r="V72">
        <v>20</v>
      </c>
      <c r="W72">
        <v>2696.6490073874302</v>
      </c>
      <c r="X72">
        <v>10.806503582435701</v>
      </c>
      <c r="Y72">
        <v>10.784033830432801</v>
      </c>
      <c r="Z72" s="3">
        <v>10.8021000415334</v>
      </c>
      <c r="AA72" s="3">
        <v>3.50462500000015E-2</v>
      </c>
    </row>
    <row r="73" spans="1:27" x14ac:dyDescent="0.25">
      <c r="A73" t="s">
        <v>88</v>
      </c>
      <c r="B73" t="s">
        <v>69</v>
      </c>
      <c r="C73">
        <v>20</v>
      </c>
      <c r="D73">
        <v>11.147026500000001</v>
      </c>
      <c r="E73">
        <v>1.6476500000000401E-2</v>
      </c>
      <c r="F73">
        <v>2.6468749999999399E-2</v>
      </c>
      <c r="G73">
        <v>20</v>
      </c>
      <c r="H73">
        <v>20</v>
      </c>
      <c r="I73">
        <v>1.6476500000000401E-2</v>
      </c>
      <c r="J73">
        <v>4.1191250000001102E-2</v>
      </c>
      <c r="K73">
        <v>0.77448496901035402</v>
      </c>
      <c r="L73">
        <v>0.75</v>
      </c>
      <c r="M73">
        <v>0.1</v>
      </c>
      <c r="N73">
        <v>0.55320354929311</v>
      </c>
      <c r="O73" t="s">
        <v>135</v>
      </c>
      <c r="P73">
        <v>11.1572780846108</v>
      </c>
      <c r="Q73">
        <v>6.7393787568361396E-2</v>
      </c>
      <c r="R73">
        <v>0.12873617651298699</v>
      </c>
      <c r="S73">
        <v>1.02515846108293E-2</v>
      </c>
      <c r="T73">
        <v>11.156748362229999</v>
      </c>
      <c r="U73">
        <v>5.2972238080428702E-4</v>
      </c>
      <c r="V73">
        <v>20</v>
      </c>
      <c r="W73">
        <v>2357.5951847418</v>
      </c>
      <c r="X73">
        <v>11.180770312810999</v>
      </c>
      <c r="Y73">
        <v>11.1475845246572</v>
      </c>
      <c r="Z73" s="3">
        <v>11.1572780846108</v>
      </c>
      <c r="AA73" s="3">
        <v>4.1191250000001102E-2</v>
      </c>
    </row>
    <row r="74" spans="1:27" x14ac:dyDescent="0.25">
      <c r="A74" t="s">
        <v>89</v>
      </c>
      <c r="B74" t="s">
        <v>69</v>
      </c>
      <c r="C74">
        <v>21</v>
      </c>
      <c r="D74">
        <v>11.479191</v>
      </c>
      <c r="E74">
        <v>2.31049999999993E-2</v>
      </c>
      <c r="F74">
        <v>4.64523749999994E-2</v>
      </c>
      <c r="G74">
        <v>20</v>
      </c>
      <c r="H74">
        <v>20</v>
      </c>
      <c r="I74">
        <v>2.31049999999993E-2</v>
      </c>
      <c r="J74">
        <v>5.7762499999998197E-2</v>
      </c>
      <c r="K74">
        <v>0.825012167187123</v>
      </c>
      <c r="L74">
        <v>0.8</v>
      </c>
      <c r="M74">
        <v>0.1</v>
      </c>
      <c r="N74">
        <v>0.58929440513366005</v>
      </c>
      <c r="O74" t="s">
        <v>135</v>
      </c>
      <c r="P74">
        <v>11.5092608502512</v>
      </c>
      <c r="Q74">
        <v>6.5483471267336196E-2</v>
      </c>
      <c r="R74">
        <v>9.7878174861244505E-2</v>
      </c>
      <c r="S74">
        <v>3.00698502511541E-2</v>
      </c>
      <c r="T74">
        <v>11.507199004135799</v>
      </c>
      <c r="U74">
        <v>2.0618461153159E-3</v>
      </c>
      <c r="V74">
        <v>20</v>
      </c>
      <c r="W74">
        <v>2636.1801278910998</v>
      </c>
      <c r="X74">
        <v>11.534506732500001</v>
      </c>
      <c r="Y74">
        <v>11.482960077888899</v>
      </c>
      <c r="Z74" s="3">
        <v>11.5092608502512</v>
      </c>
      <c r="AA74" s="3">
        <v>5.7762499999998197E-2</v>
      </c>
    </row>
    <row r="75" spans="1:27" x14ac:dyDescent="0.25">
      <c r="A75" t="s">
        <v>90</v>
      </c>
      <c r="B75" t="s">
        <v>69</v>
      </c>
      <c r="C75">
        <v>22</v>
      </c>
      <c r="D75">
        <v>11.893546000000001</v>
      </c>
      <c r="E75">
        <v>1.7475000000001E-2</v>
      </c>
      <c r="F75">
        <v>4.9392250000002101E-2</v>
      </c>
      <c r="G75">
        <v>20</v>
      </c>
      <c r="H75">
        <v>20</v>
      </c>
      <c r="I75">
        <v>1.7475000000001E-2</v>
      </c>
      <c r="J75">
        <v>4.3687500000002502E-2</v>
      </c>
      <c r="K75">
        <v>0.77448496901035402</v>
      </c>
      <c r="L75">
        <v>0.75</v>
      </c>
      <c r="M75">
        <v>0.2</v>
      </c>
      <c r="N75">
        <v>0.55320354929311</v>
      </c>
      <c r="O75" t="s">
        <v>135</v>
      </c>
      <c r="P75">
        <v>11.899162598924599</v>
      </c>
      <c r="Q75">
        <v>5.1571971848237301E-2</v>
      </c>
      <c r="R75">
        <v>0.115349417581195</v>
      </c>
      <c r="S75">
        <v>5.6165989245506899E-3</v>
      </c>
      <c r="T75">
        <v>11.8930292037151</v>
      </c>
      <c r="U75">
        <v>6.13339520940315E-3</v>
      </c>
      <c r="V75">
        <v>20</v>
      </c>
      <c r="W75">
        <v>2466.5369420663101</v>
      </c>
      <c r="X75">
        <v>11.921254875938599</v>
      </c>
      <c r="Y75">
        <v>11.8870024147792</v>
      </c>
      <c r="Z75" s="3">
        <v>11.899162598924599</v>
      </c>
      <c r="AA75" s="3">
        <v>4.3687500000002502E-2</v>
      </c>
    </row>
    <row r="76" spans="1:27" x14ac:dyDescent="0.25">
      <c r="A76" t="s">
        <v>91</v>
      </c>
      <c r="B76" t="s">
        <v>69</v>
      </c>
      <c r="C76">
        <v>23</v>
      </c>
      <c r="D76">
        <v>12.2095225</v>
      </c>
      <c r="E76">
        <v>1.4079999999999E-2</v>
      </c>
      <c r="F76">
        <v>2.9013499999999599E-2</v>
      </c>
      <c r="G76">
        <v>20</v>
      </c>
      <c r="H76">
        <v>20</v>
      </c>
      <c r="I76">
        <v>1.4079999999999E-2</v>
      </c>
      <c r="J76">
        <v>3.5199999999997497E-2</v>
      </c>
      <c r="K76">
        <v>0.78480549661243304</v>
      </c>
      <c r="L76">
        <v>0.75</v>
      </c>
      <c r="M76">
        <v>0.15</v>
      </c>
      <c r="N76">
        <v>0.560575354723166</v>
      </c>
      <c r="O76" t="s">
        <v>135</v>
      </c>
      <c r="P76">
        <v>12.237016982725301</v>
      </c>
      <c r="Q76">
        <v>6.8430772337979506E-2</v>
      </c>
      <c r="R76">
        <v>0.118481300842988</v>
      </c>
      <c r="S76">
        <v>2.7494482725311201E-2</v>
      </c>
      <c r="T76">
        <v>12.2267946433617</v>
      </c>
      <c r="U76">
        <v>1.022233936364E-2</v>
      </c>
      <c r="V76">
        <v>20</v>
      </c>
      <c r="W76">
        <v>2691.1546990000602</v>
      </c>
      <c r="X76">
        <v>12.2455346529685</v>
      </c>
      <c r="Y76">
        <v>12.218685185876</v>
      </c>
      <c r="Z76" s="3">
        <v>12.237016982725301</v>
      </c>
      <c r="AA76" s="3">
        <v>3.5199999999997497E-2</v>
      </c>
    </row>
    <row r="77" spans="1:27" x14ac:dyDescent="0.25">
      <c r="A77" t="s">
        <v>92</v>
      </c>
      <c r="B77" t="s">
        <v>69</v>
      </c>
      <c r="C77">
        <v>24</v>
      </c>
      <c r="D77">
        <v>12.584279</v>
      </c>
      <c r="E77">
        <v>1.8948E-2</v>
      </c>
      <c r="F77">
        <v>3.7415250000002197E-2</v>
      </c>
      <c r="G77">
        <v>19</v>
      </c>
      <c r="H77">
        <v>18.947473052323101</v>
      </c>
      <c r="I77">
        <v>1.8948E-2</v>
      </c>
      <c r="J77">
        <v>4.7369999999999898E-2</v>
      </c>
      <c r="K77">
        <v>0.85773178104965198</v>
      </c>
      <c r="L77">
        <v>0.84210526315789502</v>
      </c>
      <c r="M77">
        <v>0.105263157894737</v>
      </c>
      <c r="N77">
        <v>0.61266555789260901</v>
      </c>
      <c r="O77" t="s">
        <v>135</v>
      </c>
      <c r="P77">
        <v>12.610184259789101</v>
      </c>
      <c r="Q77">
        <v>5.7422377860506003E-2</v>
      </c>
      <c r="R77">
        <v>0.110450542966848</v>
      </c>
      <c r="S77">
        <v>2.5905259789112699E-2</v>
      </c>
      <c r="T77">
        <v>12.598002070727199</v>
      </c>
      <c r="U77">
        <v>1.21821890618801E-2</v>
      </c>
      <c r="V77">
        <v>19</v>
      </c>
      <c r="W77">
        <v>2588.4392239478502</v>
      </c>
      <c r="X77">
        <v>12.6211443293387</v>
      </c>
      <c r="Y77">
        <v>12.58905655553</v>
      </c>
      <c r="Z77" s="3">
        <v>12.610184259789101</v>
      </c>
      <c r="AA77" s="3">
        <v>4.7369999999999898E-2</v>
      </c>
    </row>
    <row r="78" spans="1:27" x14ac:dyDescent="0.25">
      <c r="A78" t="s">
        <v>93</v>
      </c>
      <c r="B78" t="s">
        <v>69</v>
      </c>
      <c r="C78">
        <v>25</v>
      </c>
      <c r="D78">
        <v>12.946044499999999</v>
      </c>
      <c r="E78">
        <v>1.43700000000004E-2</v>
      </c>
      <c r="F78">
        <v>2.7739875000000001E-2</v>
      </c>
      <c r="G78">
        <v>20</v>
      </c>
      <c r="H78">
        <v>20</v>
      </c>
      <c r="I78">
        <v>1.43700000000004E-2</v>
      </c>
      <c r="J78">
        <v>3.5925000000001102E-2</v>
      </c>
      <c r="K78">
        <v>0.80580422731870405</v>
      </c>
      <c r="L78">
        <v>0.75</v>
      </c>
      <c r="M78">
        <v>0.05</v>
      </c>
      <c r="N78">
        <v>0.57557444808478897</v>
      </c>
      <c r="O78" t="s">
        <v>135</v>
      </c>
      <c r="P78">
        <v>12.968534192152299</v>
      </c>
      <c r="Q78">
        <v>4.4620484044008299E-2</v>
      </c>
      <c r="R78">
        <v>8.1637190299921794E-2</v>
      </c>
      <c r="S78">
        <v>2.2489692152298301E-2</v>
      </c>
      <c r="T78">
        <v>12.9870897696697</v>
      </c>
      <c r="U78">
        <v>-1.855557751745E-2</v>
      </c>
      <c r="V78">
        <v>20</v>
      </c>
      <c r="W78">
        <v>2675.8155613805998</v>
      </c>
      <c r="X78">
        <v>12.9959357943581</v>
      </c>
      <c r="Y78">
        <v>12.939680783603499</v>
      </c>
      <c r="Z78" s="3">
        <v>12.968534192152299</v>
      </c>
      <c r="AA78" s="3">
        <v>3.5925000000001102E-2</v>
      </c>
    </row>
    <row r="79" spans="1:27" x14ac:dyDescent="0.25">
      <c r="A79" t="s">
        <v>94</v>
      </c>
      <c r="B79" t="s">
        <v>69</v>
      </c>
      <c r="C79">
        <v>26</v>
      </c>
      <c r="D79">
        <v>13.317185</v>
      </c>
      <c r="E79">
        <v>2.1429750000000199E-2</v>
      </c>
      <c r="F79">
        <v>3.9716749999998399E-2</v>
      </c>
      <c r="G79">
        <v>20</v>
      </c>
      <c r="H79">
        <v>20</v>
      </c>
      <c r="I79">
        <v>2.1429750000000199E-2</v>
      </c>
      <c r="J79">
        <v>5.3574375000000597E-2</v>
      </c>
      <c r="K79">
        <v>0.89653809607016399</v>
      </c>
      <c r="L79">
        <v>0.85</v>
      </c>
      <c r="M79">
        <v>0</v>
      </c>
      <c r="N79">
        <v>0.64038435433583196</v>
      </c>
      <c r="O79" t="s">
        <v>135</v>
      </c>
      <c r="P79">
        <v>13.340930873149199</v>
      </c>
      <c r="Q79">
        <v>4.9376742721419099E-2</v>
      </c>
      <c r="R79">
        <v>7.34128398790483E-2</v>
      </c>
      <c r="S79">
        <v>2.37458731492293E-2</v>
      </c>
      <c r="T79">
        <v>13.353392120207401</v>
      </c>
      <c r="U79">
        <v>-1.24612470581322E-2</v>
      </c>
      <c r="V79">
        <v>20</v>
      </c>
      <c r="W79">
        <v>3011.2518695910098</v>
      </c>
      <c r="X79">
        <v>13.3627062779822</v>
      </c>
      <c r="Y79">
        <v>13.309463421216501</v>
      </c>
      <c r="Z79" s="3">
        <v>13.340930873149199</v>
      </c>
      <c r="AA79" s="3">
        <v>5.3574375000000597E-2</v>
      </c>
    </row>
    <row r="80" spans="1:27" x14ac:dyDescent="0.25">
      <c r="A80" t="s">
        <v>95</v>
      </c>
      <c r="B80" t="s">
        <v>69</v>
      </c>
      <c r="C80">
        <v>27</v>
      </c>
      <c r="D80">
        <v>13.683448</v>
      </c>
      <c r="E80">
        <v>2.0796749999999701E-2</v>
      </c>
      <c r="F80">
        <v>4.1907625000000302E-2</v>
      </c>
      <c r="G80">
        <v>20</v>
      </c>
      <c r="H80">
        <v>20</v>
      </c>
      <c r="I80">
        <v>2.0796749999999701E-2</v>
      </c>
      <c r="J80">
        <v>5.1991874999999202E-2</v>
      </c>
      <c r="K80">
        <v>0.79548369971662602</v>
      </c>
      <c r="L80">
        <v>0.75</v>
      </c>
      <c r="M80">
        <v>0</v>
      </c>
      <c r="N80">
        <v>0.56820264265473297</v>
      </c>
      <c r="O80" t="s">
        <v>135</v>
      </c>
      <c r="P80">
        <v>13.6877257746839</v>
      </c>
      <c r="Q80">
        <v>5.7248311155817598E-2</v>
      </c>
      <c r="R80">
        <v>6.5134575049503193E-2</v>
      </c>
      <c r="S80">
        <v>4.2777746839259799E-3</v>
      </c>
      <c r="T80">
        <v>13.702350151589</v>
      </c>
      <c r="U80">
        <v>-1.4624376905072E-2</v>
      </c>
      <c r="V80">
        <v>20</v>
      </c>
      <c r="W80">
        <v>2766.3774246829098</v>
      </c>
      <c r="X80">
        <v>13.723706491822499</v>
      </c>
      <c r="Y80">
        <v>13.6761890520362</v>
      </c>
      <c r="Z80" s="3">
        <v>13.6877257746839</v>
      </c>
      <c r="AA80" s="3">
        <v>5.1991874999999202E-2</v>
      </c>
    </row>
    <row r="81" spans="1:28" x14ac:dyDescent="0.25">
      <c r="A81" t="s">
        <v>96</v>
      </c>
      <c r="B81" t="s">
        <v>69</v>
      </c>
      <c r="C81">
        <v>28</v>
      </c>
      <c r="D81">
        <v>14.0890795</v>
      </c>
      <c r="E81">
        <v>3.0597499999998098E-2</v>
      </c>
      <c r="F81">
        <v>5.7479749999997103E-2</v>
      </c>
      <c r="G81">
        <v>20</v>
      </c>
      <c r="H81">
        <v>20</v>
      </c>
      <c r="I81">
        <v>3.0597499999998098E-2</v>
      </c>
      <c r="J81">
        <v>7.64937499999951E-2</v>
      </c>
      <c r="K81">
        <v>0.75637065270571602</v>
      </c>
      <c r="L81">
        <v>0.75</v>
      </c>
      <c r="M81">
        <v>0.05</v>
      </c>
      <c r="N81">
        <v>0.540264751932654</v>
      </c>
      <c r="O81" t="s">
        <v>135</v>
      </c>
      <c r="P81">
        <v>14.110999313034201</v>
      </c>
      <c r="Q81">
        <v>5.6786242721418703E-2</v>
      </c>
      <c r="R81">
        <v>0.11240161646227501</v>
      </c>
      <c r="S81">
        <v>2.19198130341773E-2</v>
      </c>
      <c r="T81">
        <v>14.1084390307</v>
      </c>
      <c r="U81">
        <v>2.5602823341763798E-3</v>
      </c>
      <c r="V81">
        <v>20</v>
      </c>
      <c r="W81">
        <v>2691.1264645095798</v>
      </c>
      <c r="X81">
        <v>14.153542519861499</v>
      </c>
      <c r="Y81">
        <v>14.092119036095101</v>
      </c>
      <c r="Z81" s="3">
        <v>14.110999313034201</v>
      </c>
      <c r="AA81" s="3">
        <v>7.64937499999951E-2</v>
      </c>
    </row>
    <row r="82" spans="1:28" x14ac:dyDescent="0.25">
      <c r="A82" t="s">
        <v>97</v>
      </c>
      <c r="B82" t="s">
        <v>69</v>
      </c>
      <c r="C82">
        <v>29</v>
      </c>
      <c r="D82">
        <v>15.247077000000001</v>
      </c>
      <c r="E82">
        <v>2.2932500000000501E-2</v>
      </c>
      <c r="F82">
        <v>3.92108750000002E-2</v>
      </c>
      <c r="G82">
        <v>20</v>
      </c>
      <c r="H82">
        <v>20</v>
      </c>
      <c r="I82">
        <v>2.2932500000000501E-2</v>
      </c>
      <c r="J82">
        <v>5.7331250000001201E-2</v>
      </c>
      <c r="K82">
        <v>0.84391174868632002</v>
      </c>
      <c r="L82">
        <v>0.8</v>
      </c>
      <c r="M82">
        <v>0</v>
      </c>
      <c r="N82">
        <v>0.60279410620451401</v>
      </c>
      <c r="O82" t="s">
        <v>135</v>
      </c>
      <c r="P82">
        <v>15.2717935863083</v>
      </c>
      <c r="Q82">
        <v>6.3010575687661496E-2</v>
      </c>
      <c r="R82">
        <v>8.1291428491639298E-2</v>
      </c>
      <c r="S82">
        <v>2.4716586308308301E-2</v>
      </c>
      <c r="T82">
        <v>15.277497293358399</v>
      </c>
      <c r="U82">
        <v>-5.7037070500616203E-3</v>
      </c>
      <c r="V82">
        <v>20</v>
      </c>
      <c r="W82">
        <v>2762.1480834572999</v>
      </c>
      <c r="X82">
        <v>15.2898382291001</v>
      </c>
      <c r="Y82">
        <v>15.246396075358099</v>
      </c>
      <c r="Z82" s="3">
        <v>15.2717935863083</v>
      </c>
      <c r="AA82" s="3">
        <v>5.7331250000001201E-2</v>
      </c>
    </row>
    <row r="83" spans="1:28" x14ac:dyDescent="0.25">
      <c r="A83" t="s">
        <v>98</v>
      </c>
      <c r="B83" t="s">
        <v>69</v>
      </c>
      <c r="C83">
        <v>30</v>
      </c>
      <c r="D83">
        <v>15.633432000000001</v>
      </c>
      <c r="E83">
        <v>2.4075250000000999E-2</v>
      </c>
      <c r="F83">
        <v>6.9898625000000394E-2</v>
      </c>
      <c r="G83">
        <v>18</v>
      </c>
      <c r="H83">
        <v>17.875160605286801</v>
      </c>
      <c r="I83">
        <v>2.4075250000000999E-2</v>
      </c>
      <c r="J83">
        <v>6.01881250000025E-2</v>
      </c>
      <c r="K83">
        <v>0.70269167653157005</v>
      </c>
      <c r="L83">
        <v>0.66666666666666696</v>
      </c>
      <c r="M83">
        <v>0.16666666666666699</v>
      </c>
      <c r="N83">
        <v>0.50192262609397897</v>
      </c>
      <c r="O83" t="s">
        <v>135</v>
      </c>
      <c r="P83">
        <v>15.6386224934236</v>
      </c>
      <c r="Q83">
        <v>7.8837525928707505E-2</v>
      </c>
      <c r="R83">
        <v>0.18502452291944699</v>
      </c>
      <c r="S83">
        <v>5.1904934236333099E-3</v>
      </c>
      <c r="T83">
        <v>15.626256633432501</v>
      </c>
      <c r="U83">
        <v>1.23658599911813E-2</v>
      </c>
      <c r="V83">
        <v>18</v>
      </c>
      <c r="W83">
        <v>2172.4773143481898</v>
      </c>
      <c r="X83">
        <v>15.669431004002201</v>
      </c>
      <c r="Y83">
        <v>15.619059905852099</v>
      </c>
      <c r="Z83" s="3">
        <v>15.6386224934236</v>
      </c>
      <c r="AA83" s="3">
        <v>6.01881250000025E-2</v>
      </c>
    </row>
    <row r="84" spans="1:28" x14ac:dyDescent="0.25">
      <c r="A84" t="s">
        <v>99</v>
      </c>
      <c r="B84" t="s">
        <v>69</v>
      </c>
      <c r="C84">
        <v>31</v>
      </c>
      <c r="D84">
        <v>16.4710325</v>
      </c>
      <c r="E84">
        <v>2.5673499999999901E-2</v>
      </c>
      <c r="F84">
        <v>7.8401249999998895E-2</v>
      </c>
      <c r="G84">
        <v>19</v>
      </c>
      <c r="H84">
        <v>18.8903605348087</v>
      </c>
      <c r="I84">
        <v>2.5673499999999901E-2</v>
      </c>
      <c r="J84">
        <v>6.4183749999999803E-2</v>
      </c>
      <c r="K84">
        <v>0.74090174678548704</v>
      </c>
      <c r="L84">
        <v>0.68421052631578905</v>
      </c>
      <c r="M84">
        <v>0</v>
      </c>
      <c r="N84">
        <v>0.52921553341820504</v>
      </c>
      <c r="O84" t="s">
        <v>135</v>
      </c>
      <c r="P84">
        <v>16.486323119282101</v>
      </c>
      <c r="Q84">
        <v>6.1338165077876303E-2</v>
      </c>
      <c r="R84">
        <v>0.118909454656312</v>
      </c>
      <c r="S84">
        <v>1.52906192820588E-2</v>
      </c>
      <c r="T84">
        <v>16.491690225588702</v>
      </c>
      <c r="U84">
        <v>-5.3671063066609301E-3</v>
      </c>
      <c r="V84">
        <v>19</v>
      </c>
      <c r="W84">
        <v>2393.11055629466</v>
      </c>
      <c r="X84">
        <v>16.515557205619299</v>
      </c>
      <c r="Y84">
        <v>16.469062617543301</v>
      </c>
      <c r="Z84" s="3">
        <v>16.486323119282101</v>
      </c>
      <c r="AA84" s="3">
        <v>6.4183749999999803E-2</v>
      </c>
      <c r="AB84" s="16">
        <f xml:space="preserve"> GEOMEAN(AA54:AA84)</f>
        <v>5.1245596877532919E-2</v>
      </c>
    </row>
    <row r="86" spans="1:28" x14ac:dyDescent="0.25">
      <c r="AB86" s="16">
        <f xml:space="preserve"> GEOMEAN(AA4:AA84)</f>
        <v>6.3316592929482537E-2</v>
      </c>
    </row>
  </sheetData>
  <mergeCells count="3">
    <mergeCell ref="D2:O2"/>
    <mergeCell ref="P2:W2"/>
    <mergeCell ref="X2:Y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EM_S1_Trace</vt:lpstr>
      <vt:lpstr>EM_S2pooled_Trace</vt:lpstr>
      <vt:lpstr>EM_S1_Class_Annot</vt:lpstr>
      <vt:lpstr>EM_S2pooled_Annot</vt:lpstr>
      <vt:lpstr>EM_separate(z_j^(GW).</vt:lpstr>
      <vt:lpstr>EM_S2pooled_Events</vt:lpstr>
      <vt:lpstr>EM_Final_GroundTruth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moonmich</dc:creator>
  <cp:lastModifiedBy>Michaella Moon</cp:lastModifiedBy>
  <dcterms:created xsi:type="dcterms:W3CDTF">2026-02-25T06:03:28Z</dcterms:created>
  <dcterms:modified xsi:type="dcterms:W3CDTF">2026-02-26T04:09:49Z</dcterms:modified>
</cp:coreProperties>
</file>