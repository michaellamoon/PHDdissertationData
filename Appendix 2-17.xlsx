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vuw-my.sharepoint.com/personal/moonmi_staff_vuw_ac_nz/Documents/2. WRITING/THESIS CHAPTERS/appendix/"/>
    </mc:Choice>
  </mc:AlternateContent>
  <xr:revisionPtr revIDLastSave="4" documentId="8_{42F50B90-F56F-42C2-93E0-96923950FA82}" xr6:coauthVersionLast="47" xr6:coauthVersionMax="47" xr10:uidLastSave="{28020E55-3553-445B-878C-7C4323F9D2A4}"/>
  <bookViews>
    <workbookView xWindow="4980" yWindow="1365" windowWidth="20595" windowHeight="13800" activeTab="1" xr2:uid="{BEABF02F-E5C8-4CF3-AA45-C106B85350CF}"/>
  </bookViews>
  <sheets>
    <sheet name="(icc)" sheetId="7" r:id="rId1"/>
    <sheet name="2-ano" sheetId="6" r:id="rId2"/>
    <sheet name="3-TtestPooledrounds" sheetId="9" r:id="rId3"/>
    <sheet name="4-EM" sheetId="8" r:id="rId4"/>
    <sheet name="5-GT" sheetId="3" r:id="rId5"/>
    <sheet name="7-GT.HM.SUS" sheetId="1" r:id="rId6"/>
    <sheet name="8-pyin" sheetId="10" r:id="rId7"/>
    <sheet name="9-fzero0.08" sheetId="2" r:id="rId8"/>
    <sheet name="13-HPSES" sheetId="11" r:id="rId9"/>
    <sheet name="14-RECstabilityRaw" sheetId="12" r:id="rId10"/>
    <sheet name="15-RECmotionF0Raw" sheetId="24" r:id="rId11"/>
    <sheet name="16-RecRT" sheetId="21" r:id="rId12"/>
    <sheet name="17-RecPOSTH" sheetId="22" r:id="rId1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B828" i="12" l="1"/>
  <c r="AB827" i="12"/>
  <c r="AB826" i="12"/>
  <c r="AB824" i="12"/>
  <c r="AB823" i="12"/>
  <c r="AB822" i="12"/>
  <c r="AB820" i="12"/>
  <c r="AB819" i="12"/>
  <c r="AB818" i="12"/>
  <c r="AB816" i="12"/>
  <c r="AB815" i="12"/>
  <c r="AB814" i="12"/>
  <c r="AB812" i="12"/>
  <c r="AB811" i="12"/>
  <c r="AB810" i="12"/>
  <c r="AB808" i="12"/>
  <c r="AB807" i="12"/>
  <c r="AB806" i="12"/>
  <c r="AB804" i="12"/>
  <c r="AB803" i="12"/>
  <c r="AB802" i="12"/>
  <c r="AB800" i="12"/>
  <c r="AB799" i="12"/>
  <c r="AB798" i="12"/>
  <c r="AB796" i="12"/>
  <c r="AB795" i="12"/>
  <c r="AB794" i="12"/>
  <c r="AB792" i="12"/>
  <c r="AB791" i="12"/>
  <c r="AB790" i="12"/>
  <c r="AB788" i="12"/>
  <c r="AB787" i="12"/>
  <c r="AB786" i="12"/>
  <c r="AB784" i="12"/>
  <c r="AB783" i="12"/>
  <c r="AB782" i="12"/>
  <c r="AB780" i="12"/>
  <c r="AB779" i="12"/>
  <c r="AB778" i="12"/>
  <c r="AB776" i="12"/>
  <c r="AB775" i="12"/>
  <c r="AB774" i="12"/>
  <c r="AB772" i="12"/>
  <c r="AB771" i="12"/>
  <c r="AB770" i="12"/>
  <c r="AB767" i="12"/>
  <c r="AB766" i="12"/>
  <c r="AB765" i="12"/>
  <c r="AB763" i="12"/>
  <c r="AB762" i="12"/>
  <c r="AB761" i="12"/>
  <c r="AB759" i="12"/>
  <c r="AB758" i="12"/>
  <c r="AB757" i="12"/>
  <c r="AB755" i="12"/>
  <c r="AB754" i="12"/>
  <c r="AB753" i="12"/>
  <c r="AB751" i="12"/>
  <c r="AB750" i="12"/>
  <c r="AB749" i="12"/>
  <c r="AB747" i="12"/>
  <c r="AB746" i="12"/>
  <c r="AB745" i="12"/>
  <c r="AB743" i="12"/>
  <c r="AB742" i="12"/>
  <c r="AB741" i="12"/>
  <c r="AB739" i="12"/>
  <c r="AB738" i="12"/>
  <c r="AB737" i="12"/>
  <c r="AB735" i="12"/>
  <c r="AB734" i="12"/>
  <c r="AB733" i="12"/>
  <c r="AB731" i="12"/>
  <c r="AB730" i="12"/>
  <c r="AB729" i="12"/>
  <c r="AB727" i="12"/>
  <c r="AB726" i="12"/>
  <c r="AB725" i="12"/>
  <c r="AB723" i="12"/>
  <c r="AB722" i="12"/>
  <c r="AB721" i="12"/>
  <c r="AB719" i="12"/>
  <c r="AB718" i="12"/>
  <c r="AB717" i="12"/>
  <c r="AB715" i="12"/>
  <c r="AB714" i="12"/>
  <c r="AB713" i="12"/>
  <c r="AB711" i="12"/>
  <c r="AB710" i="12"/>
  <c r="AB709" i="12"/>
  <c r="AB707" i="12"/>
  <c r="AB706" i="12"/>
  <c r="AB705" i="12"/>
  <c r="AB703" i="12"/>
  <c r="AB702" i="12"/>
  <c r="AB701" i="12"/>
  <c r="AB699" i="12"/>
  <c r="AB698" i="12"/>
  <c r="AB697" i="12"/>
  <c r="AB695" i="12"/>
  <c r="AB694" i="12"/>
  <c r="AB693" i="12"/>
  <c r="AB691" i="12"/>
  <c r="AB690" i="12"/>
  <c r="AB689" i="12"/>
  <c r="AB687" i="12"/>
  <c r="AB686" i="12"/>
  <c r="AB685" i="12"/>
  <c r="AB683" i="12"/>
  <c r="AB682" i="12"/>
  <c r="AB681" i="12"/>
  <c r="AB679" i="12"/>
  <c r="AB678" i="12"/>
  <c r="AB677" i="12"/>
  <c r="AB675" i="12"/>
  <c r="AB674" i="12"/>
  <c r="AB673" i="12"/>
  <c r="AB671" i="12"/>
  <c r="AB670" i="12"/>
  <c r="AB669" i="12"/>
  <c r="AB667" i="12"/>
  <c r="AB666" i="12"/>
  <c r="AB665" i="12"/>
  <c r="AB663" i="12"/>
  <c r="AB662" i="12"/>
  <c r="AB661" i="12"/>
  <c r="AB658" i="12"/>
  <c r="AB657" i="12"/>
  <c r="AB656" i="12"/>
  <c r="AB654" i="12"/>
  <c r="AB653" i="12"/>
  <c r="AB652" i="12"/>
  <c r="AB650" i="12"/>
  <c r="AB649" i="12"/>
  <c r="AB648" i="12"/>
  <c r="AB646" i="12"/>
  <c r="AB645" i="12"/>
  <c r="AB644" i="12"/>
  <c r="AB642" i="12"/>
  <c r="AB641" i="12"/>
  <c r="AB640" i="12"/>
  <c r="AB638" i="12"/>
  <c r="AB637" i="12"/>
  <c r="AB636" i="12"/>
  <c r="AB634" i="12"/>
  <c r="AB633" i="12"/>
  <c r="AB632" i="12"/>
  <c r="AB630" i="12"/>
  <c r="AB629" i="12"/>
  <c r="AB628" i="12"/>
  <c r="AB626" i="12"/>
  <c r="AB625" i="12"/>
  <c r="AB624" i="12"/>
  <c r="AB622" i="12"/>
  <c r="AB621" i="12"/>
  <c r="AB620" i="12"/>
  <c r="AB618" i="12"/>
  <c r="AB617" i="12"/>
  <c r="AB616" i="12"/>
  <c r="AB614" i="12"/>
  <c r="AB613" i="12"/>
  <c r="AB612" i="12"/>
  <c r="AB610" i="12"/>
  <c r="AB609" i="12"/>
  <c r="AB608" i="12"/>
  <c r="AB606" i="12"/>
  <c r="AB605" i="12"/>
  <c r="AB604" i="12"/>
  <c r="AB602" i="12"/>
  <c r="AB601" i="12"/>
  <c r="AB600" i="12"/>
  <c r="AB598" i="12"/>
  <c r="AB597" i="12"/>
  <c r="AB596" i="12"/>
  <c r="AB594" i="12"/>
  <c r="AB593" i="12"/>
  <c r="AB592" i="12"/>
  <c r="AB590" i="12"/>
  <c r="AB589" i="12"/>
  <c r="AB588" i="12"/>
  <c r="AB586" i="12"/>
  <c r="AB585" i="12"/>
  <c r="AB584" i="12"/>
  <c r="AB582" i="12"/>
  <c r="AB581" i="12"/>
  <c r="AB580" i="12"/>
  <c r="AB578" i="12"/>
  <c r="AB577" i="12"/>
  <c r="AB576" i="12"/>
  <c r="AB574" i="12"/>
  <c r="AB573" i="12"/>
  <c r="AB572" i="12"/>
  <c r="AB570" i="12"/>
  <c r="AB569" i="12"/>
  <c r="AB568" i="12"/>
  <c r="AB566" i="12"/>
  <c r="AB565" i="12"/>
  <c r="AB564" i="12"/>
  <c r="AB561" i="12"/>
  <c r="AB560" i="12"/>
  <c r="AB559" i="12"/>
  <c r="AB557" i="12"/>
  <c r="AB556" i="12"/>
  <c r="AB555" i="12"/>
  <c r="AB553" i="12"/>
  <c r="AB552" i="12"/>
  <c r="AB551" i="12"/>
  <c r="AB549" i="12"/>
  <c r="AB548" i="12"/>
  <c r="AB547" i="12"/>
  <c r="AB545" i="12"/>
  <c r="AB544" i="12"/>
  <c r="AB543" i="12"/>
  <c r="AB541" i="12"/>
  <c r="AB540" i="12"/>
  <c r="AB539" i="12"/>
  <c r="AB537" i="12"/>
  <c r="AB536" i="12"/>
  <c r="AB535" i="12"/>
  <c r="AB533" i="12"/>
  <c r="AB532" i="12"/>
  <c r="AB531" i="12"/>
  <c r="AB529" i="12"/>
  <c r="AB528" i="12"/>
  <c r="AB527" i="12"/>
  <c r="AB525" i="12"/>
  <c r="AB524" i="12"/>
  <c r="AB523" i="12"/>
  <c r="AB521" i="12"/>
  <c r="AB520" i="12"/>
  <c r="AB519" i="12"/>
  <c r="AB517" i="12"/>
  <c r="AB516" i="12"/>
  <c r="AB515" i="12"/>
  <c r="AB513" i="12"/>
  <c r="AB512" i="12"/>
  <c r="AB511" i="12"/>
  <c r="AB509" i="12"/>
  <c r="AB508" i="12"/>
  <c r="AB507" i="12"/>
  <c r="AB505" i="12"/>
  <c r="AB504" i="12"/>
  <c r="AB503" i="12"/>
  <c r="AB501" i="12"/>
  <c r="AB500" i="12"/>
  <c r="AB499" i="12"/>
  <c r="AB497" i="12"/>
  <c r="AB496" i="12"/>
  <c r="AB495" i="12"/>
  <c r="AB493" i="12"/>
  <c r="AB492" i="12"/>
  <c r="AB491" i="12"/>
  <c r="AB489" i="12"/>
  <c r="AB488" i="12"/>
  <c r="AB487" i="12"/>
  <c r="AB485" i="12"/>
  <c r="AB484" i="12"/>
  <c r="AB483" i="12"/>
  <c r="AB481" i="12"/>
  <c r="AB480" i="12"/>
  <c r="AB479" i="12"/>
  <c r="AB477" i="12"/>
  <c r="AB476" i="12"/>
  <c r="AB475" i="12"/>
  <c r="AB473" i="12"/>
  <c r="AB472" i="12"/>
  <c r="AB471" i="12"/>
  <c r="AB469" i="12"/>
  <c r="AB468" i="12"/>
  <c r="AB467" i="12"/>
  <c r="AB465" i="12"/>
  <c r="AB464" i="12"/>
  <c r="AB463" i="12"/>
  <c r="AB461" i="12"/>
  <c r="AB460" i="12"/>
  <c r="AB459" i="12"/>
  <c r="AB457" i="12"/>
  <c r="AB456" i="12"/>
  <c r="AB455" i="12"/>
  <c r="AB453" i="12"/>
  <c r="AB452" i="12"/>
  <c r="AB451" i="12"/>
  <c r="AB449" i="12"/>
  <c r="AB448" i="12"/>
  <c r="AB447" i="12"/>
  <c r="AB445" i="12"/>
  <c r="AB444" i="12"/>
  <c r="AB443" i="12"/>
  <c r="AB441" i="12"/>
  <c r="AB440" i="12"/>
  <c r="AB439" i="12"/>
  <c r="AB437" i="12"/>
  <c r="AB436" i="12"/>
  <c r="AB435" i="12"/>
  <c r="AB433" i="12"/>
  <c r="AB432" i="12"/>
  <c r="AB431" i="12"/>
  <c r="AB429" i="12"/>
  <c r="AB428" i="12"/>
  <c r="AB427" i="12"/>
  <c r="AB425" i="12"/>
  <c r="AB424" i="12"/>
  <c r="AB423" i="12"/>
  <c r="AB420" i="12"/>
  <c r="AB419" i="12"/>
  <c r="AB418" i="12"/>
  <c r="AB416" i="12"/>
  <c r="AB415" i="12"/>
  <c r="AB414" i="12"/>
  <c r="AB412" i="12"/>
  <c r="AB411" i="12"/>
  <c r="AB410" i="12"/>
  <c r="AB408" i="12"/>
  <c r="AB407" i="12"/>
  <c r="AB406" i="12"/>
  <c r="AB404" i="12"/>
  <c r="AB403" i="12"/>
  <c r="AB402" i="12"/>
  <c r="AB400" i="12"/>
  <c r="AB399" i="12"/>
  <c r="AB398" i="12"/>
  <c r="AB396" i="12"/>
  <c r="AB395" i="12"/>
  <c r="AB394" i="12"/>
  <c r="AB392" i="12"/>
  <c r="AB391" i="12"/>
  <c r="AB390" i="12"/>
  <c r="AB388" i="12"/>
  <c r="AB387" i="12"/>
  <c r="AB386" i="12"/>
  <c r="AB384" i="12"/>
  <c r="AB383" i="12"/>
  <c r="AB382" i="12"/>
  <c r="AB380" i="12"/>
  <c r="AB379" i="12"/>
  <c r="AB378" i="12"/>
  <c r="AB376" i="12"/>
  <c r="AB375" i="12"/>
  <c r="AB374" i="12"/>
  <c r="AB372" i="12"/>
  <c r="AB371" i="12"/>
  <c r="AB370" i="12"/>
  <c r="AB368" i="12"/>
  <c r="AB367" i="12"/>
  <c r="AB366" i="12"/>
  <c r="AB364" i="12"/>
  <c r="AB363" i="12"/>
  <c r="AB362" i="12"/>
  <c r="AB359" i="12"/>
  <c r="AB358" i="12"/>
  <c r="AB357" i="12"/>
  <c r="AB355" i="12"/>
  <c r="AB354" i="12"/>
  <c r="AB353" i="12"/>
  <c r="AB351" i="12"/>
  <c r="AB350" i="12"/>
  <c r="AB349" i="12"/>
  <c r="AB347" i="12"/>
  <c r="AB346" i="12"/>
  <c r="AB345" i="12"/>
  <c r="AB343" i="12"/>
  <c r="AB342" i="12"/>
  <c r="AB341" i="12"/>
  <c r="AB339" i="12"/>
  <c r="AB338" i="12"/>
  <c r="AB337" i="12"/>
  <c r="AB335" i="12"/>
  <c r="AB334" i="12"/>
  <c r="AB333" i="12"/>
  <c r="AB331" i="12"/>
  <c r="AB330" i="12"/>
  <c r="AB329" i="12"/>
  <c r="AB327" i="12"/>
  <c r="AB326" i="12"/>
  <c r="AB325" i="12"/>
  <c r="AB323" i="12"/>
  <c r="AB322" i="12"/>
  <c r="AB321" i="12"/>
  <c r="AB319" i="12"/>
  <c r="AB318" i="12"/>
  <c r="AB317" i="12"/>
  <c r="AB315" i="12"/>
  <c r="AB314" i="12"/>
  <c r="AB313" i="12"/>
  <c r="AB311" i="12"/>
  <c r="AB310" i="12"/>
  <c r="AB309" i="12"/>
  <c r="AB307" i="12"/>
  <c r="AB306" i="12"/>
  <c r="AB305" i="12"/>
  <c r="AB303" i="12"/>
  <c r="AB302" i="12"/>
  <c r="AB301" i="12"/>
  <c r="AB299" i="12"/>
  <c r="AB298" i="12"/>
  <c r="AB297" i="12"/>
  <c r="AB295" i="12"/>
  <c r="AB294" i="12"/>
  <c r="AB293" i="12"/>
  <c r="AB291" i="12"/>
  <c r="AB290" i="12"/>
  <c r="AB289" i="12"/>
  <c r="AB287" i="12"/>
  <c r="AB286" i="12"/>
  <c r="AB285" i="12"/>
  <c r="AB283" i="12"/>
  <c r="AB282" i="12"/>
  <c r="AB281" i="12"/>
  <c r="AB279" i="12"/>
  <c r="AB278" i="12"/>
  <c r="AB277" i="12"/>
  <c r="AB275" i="12"/>
  <c r="AB274" i="12"/>
  <c r="AB273" i="12"/>
  <c r="AB271" i="12"/>
  <c r="AB270" i="12"/>
  <c r="AB269" i="12"/>
  <c r="AB266" i="12"/>
  <c r="AB265" i="12"/>
  <c r="AB264" i="12"/>
  <c r="AB262" i="12"/>
  <c r="AB261" i="12"/>
  <c r="AB260" i="12"/>
  <c r="AB258" i="12"/>
  <c r="AB257" i="12"/>
  <c r="AB256" i="12"/>
  <c r="AB254" i="12"/>
  <c r="AB253" i="12"/>
  <c r="AB252" i="12"/>
  <c r="AB250" i="12"/>
  <c r="AB249" i="12"/>
  <c r="AB248" i="12"/>
  <c r="AB246" i="12"/>
  <c r="AB245" i="12"/>
  <c r="AB244" i="12"/>
  <c r="AB242" i="12"/>
  <c r="AB241" i="12"/>
  <c r="AB240" i="12"/>
  <c r="AB238" i="12"/>
  <c r="AB237" i="12"/>
  <c r="AB236" i="12"/>
  <c r="AB234" i="12"/>
  <c r="AB233" i="12"/>
  <c r="AB232" i="12"/>
  <c r="AB230" i="12"/>
  <c r="AB229" i="12"/>
  <c r="AB228" i="12"/>
  <c r="AB226" i="12"/>
  <c r="AB225" i="12"/>
  <c r="AB224" i="12"/>
  <c r="AB222" i="12"/>
  <c r="AB221" i="12"/>
  <c r="AB220" i="12"/>
  <c r="AB218" i="12"/>
  <c r="AB217" i="12"/>
  <c r="AB216" i="12"/>
  <c r="AB214" i="12"/>
  <c r="AB213" i="12"/>
  <c r="AB212" i="12"/>
  <c r="AB210" i="12"/>
  <c r="AB209" i="12"/>
  <c r="AB208" i="12"/>
  <c r="AB206" i="12"/>
  <c r="AB205" i="12"/>
  <c r="AB204" i="12"/>
  <c r="AB202" i="12"/>
  <c r="AB201" i="12"/>
  <c r="AB200" i="12"/>
  <c r="AB198" i="12"/>
  <c r="AB197" i="12"/>
  <c r="AB196" i="12"/>
  <c r="AB194" i="12"/>
  <c r="AB193" i="12"/>
  <c r="AB192" i="12"/>
  <c r="AB190" i="12"/>
  <c r="AB189" i="12"/>
  <c r="AB188" i="12"/>
  <c r="AB186" i="12"/>
  <c r="AB185" i="12"/>
  <c r="AB184" i="12"/>
  <c r="AB182" i="12"/>
  <c r="AB181" i="12"/>
  <c r="AB180" i="12"/>
  <c r="AB178" i="12"/>
  <c r="AB177" i="12"/>
  <c r="AB176" i="12"/>
  <c r="AB173" i="12"/>
  <c r="AB172" i="12"/>
  <c r="AB171" i="12"/>
  <c r="AB169" i="12"/>
  <c r="AB168" i="12"/>
  <c r="AB167" i="12"/>
  <c r="AB165" i="12"/>
  <c r="AB164" i="12"/>
  <c r="AB163" i="12"/>
  <c r="AB161" i="12"/>
  <c r="AB160" i="12"/>
  <c r="AB159" i="12"/>
  <c r="AB157" i="12"/>
  <c r="AB156" i="12"/>
  <c r="AB155" i="12"/>
  <c r="AB153" i="12"/>
  <c r="AB152" i="12"/>
  <c r="AB151" i="12"/>
  <c r="AB149" i="12"/>
  <c r="AB148" i="12"/>
  <c r="AB147" i="12"/>
  <c r="AB145" i="12"/>
  <c r="AB144" i="12"/>
  <c r="AB143" i="12"/>
  <c r="AB141" i="12"/>
  <c r="AB140" i="12"/>
  <c r="AB139" i="12"/>
  <c r="AB137" i="12"/>
  <c r="AB136" i="12"/>
  <c r="AB135" i="12"/>
  <c r="AB133" i="12"/>
  <c r="AB132" i="12"/>
  <c r="AB131" i="12"/>
  <c r="AB129" i="12"/>
  <c r="AB128" i="12"/>
  <c r="AB127" i="12"/>
  <c r="AB125" i="12"/>
  <c r="AB124" i="12"/>
  <c r="AB123" i="12"/>
  <c r="AB121" i="12"/>
  <c r="AB120" i="12"/>
  <c r="AB119" i="12"/>
  <c r="AB117" i="12"/>
  <c r="AB116" i="12"/>
  <c r="AB115" i="12"/>
  <c r="AB113" i="12"/>
  <c r="AB112" i="12"/>
  <c r="AB111" i="12"/>
  <c r="AB109" i="12"/>
  <c r="AB108" i="12"/>
  <c r="AB107" i="12"/>
  <c r="AB105" i="12"/>
  <c r="AB104" i="12"/>
  <c r="AB103" i="12"/>
  <c r="AB101" i="12"/>
  <c r="AB100" i="12"/>
  <c r="AB99" i="12"/>
  <c r="AB97" i="12"/>
  <c r="AB96" i="12"/>
  <c r="AB95" i="12"/>
  <c r="AB93" i="12"/>
  <c r="AB92" i="12"/>
  <c r="AB91" i="12"/>
  <c r="AB89" i="12"/>
  <c r="AB88" i="12"/>
  <c r="AB87" i="12"/>
  <c r="AB85" i="12"/>
  <c r="AB84" i="12"/>
  <c r="AB83" i="12"/>
  <c r="AB81" i="12"/>
  <c r="AB80" i="12"/>
  <c r="AB79" i="12"/>
  <c r="AB76" i="12"/>
  <c r="AB75" i="12"/>
  <c r="AB74" i="12"/>
  <c r="AB72" i="12"/>
  <c r="AB71" i="12"/>
  <c r="AB70" i="12"/>
  <c r="AB68" i="12"/>
  <c r="AB67" i="12"/>
  <c r="AB66" i="12"/>
  <c r="AB64" i="12"/>
  <c r="AB63" i="12"/>
  <c r="AB62" i="12"/>
  <c r="AB60" i="12"/>
  <c r="AB59" i="12"/>
  <c r="AB58" i="12"/>
  <c r="AB56" i="12"/>
  <c r="AB55" i="12"/>
  <c r="AB54" i="12"/>
  <c r="AB52" i="12"/>
  <c r="AB51" i="12"/>
  <c r="AB50" i="12"/>
  <c r="AB48" i="12"/>
  <c r="AB47" i="12"/>
  <c r="AB46" i="12"/>
  <c r="AB44" i="12"/>
  <c r="AB43" i="12"/>
  <c r="AB42" i="12"/>
  <c r="AB39" i="12"/>
  <c r="AB38" i="12"/>
  <c r="AB37" i="12"/>
  <c r="AB35" i="12"/>
  <c r="AB34" i="12"/>
  <c r="AB33" i="12"/>
  <c r="AB31" i="12"/>
  <c r="AB30" i="12"/>
  <c r="AB29" i="12"/>
  <c r="AB27" i="12"/>
  <c r="AB26" i="12"/>
  <c r="AB25" i="12"/>
  <c r="AB23" i="12"/>
  <c r="AB22" i="12"/>
  <c r="AB21" i="12"/>
  <c r="AB19" i="12"/>
  <c r="AB18" i="12"/>
  <c r="AB17" i="12"/>
  <c r="AB15" i="12"/>
  <c r="AB14" i="12"/>
  <c r="AB13" i="12"/>
  <c r="AB11" i="12"/>
  <c r="AB10" i="12"/>
  <c r="AB9" i="12"/>
  <c r="AB7" i="12"/>
  <c r="AB6" i="12"/>
  <c r="AB5" i="12"/>
</calcChain>
</file>

<file path=xl/sharedStrings.xml><?xml version="1.0" encoding="utf-8"?>
<sst xmlns="http://schemas.openxmlformats.org/spreadsheetml/2006/main" count="12715" uniqueCount="2032">
  <si>
    <t>Onset_n</t>
  </si>
  <si>
    <t>GT (s)</t>
  </si>
  <si>
    <t>HM-ONSET Start (s)</t>
  </si>
  <si>
    <t>HM-ONSET End (s)</t>
  </si>
  <si>
    <t>Excerpt 2</t>
  </si>
  <si>
    <t>Excerpt 1</t>
  </si>
  <si>
    <t>SUS-ONSET Start (s)</t>
  </si>
  <si>
    <t>SUS-ONSET End (s)</t>
  </si>
  <si>
    <t>Excerpt 3</t>
  </si>
  <si>
    <t>Excerpt 4</t>
  </si>
  <si>
    <t>Excerpt 5</t>
  </si>
  <si>
    <t>Abs error (s)</t>
  </si>
  <si>
    <t>Excerpt 1 (base note: Bae-Jung/202 Hz)</t>
  </si>
  <si>
    <t>Source_clip</t>
  </si>
  <si>
    <t>GT_pitch_hz</t>
  </si>
  <si>
    <t>predicted_hz</t>
  </si>
  <si>
    <t>overlap_sec</t>
  </si>
  <si>
    <t>relative_error_frac</t>
  </si>
  <si>
    <t>raw_cents_error</t>
  </si>
  <si>
    <t>abs_raw_cents_error</t>
  </si>
  <si>
    <t>pred_valid</t>
  </si>
  <si>
    <t>is_gross</t>
  </si>
  <si>
    <t>is_fine</t>
  </si>
  <si>
    <t>FPE_lt_40</t>
  </si>
  <si>
    <t>FPE_lt_30</t>
  </si>
  <si>
    <t>RPA50</t>
  </si>
  <si>
    <t>HM</t>
  </si>
  <si>
    <t>SUS</t>
  </si>
  <si>
    <t>Excerpt 2 (base note: Hwang/310 Hz)</t>
  </si>
  <si>
    <t>Excerpt 3 (base note: Hwang/316 Hz)</t>
  </si>
  <si>
    <t>Excerpt 4 (base note: Tae/354 Hz)</t>
  </si>
  <si>
    <t>Excerpt 5 (base note: Bae-Jung/226 Hz)</t>
  </si>
  <si>
    <t>Onset_n Event</t>
  </si>
  <si>
    <t>(Onset_n Cont.)</t>
  </si>
  <si>
    <t>Tolerance Collar (Mean STD_0/STD_1)</t>
  </si>
  <si>
    <t>Excerpt 1 Onset_n 1-16 Annotation Timestamps Per Annotator (n= 10) and Mean STD per Annotator Class (Western: 0/ Gugak: 1)</t>
  </si>
  <si>
    <t>Round</t>
  </si>
  <si>
    <t>Annotators</t>
  </si>
  <si>
    <t>0- LP</t>
  </si>
  <si>
    <t>0- CM</t>
  </si>
  <si>
    <t>x</t>
  </si>
  <si>
    <t>0-GM</t>
  </si>
  <si>
    <t>0-DG</t>
  </si>
  <si>
    <t>0-KZ</t>
  </si>
  <si>
    <t>1- BGL</t>
  </si>
  <si>
    <t>1- CMR</t>
  </si>
  <si>
    <t>1- CSK</t>
  </si>
  <si>
    <t>1- HJK</t>
  </si>
  <si>
    <t>1-JSP</t>
  </si>
  <si>
    <t>STD_0</t>
  </si>
  <si>
    <t>STD_1</t>
  </si>
  <si>
    <t>Excerpt 2 Onset_n 1-15 Annotation Timestamps Per Annotator (n= 10) and Mean STD per Annotator Class (Western: 0/ Gugak: 1)</t>
  </si>
  <si>
    <t>Excerpt 3 Onset_n 1-13 Annotation Timestamps Per Annotator (n= 10) and Mean STD per Annotator Class (Western: 0/ Gugak: 1)</t>
  </si>
  <si>
    <t>Excerpt 4 Onset_n 1-16 Annotation Timestamps Per Annotator (n= 10) and Mean STD per Annotator Class (Western: 0/ Gugak: 1)</t>
  </si>
  <si>
    <t>Excerpt 5 Onset_n 1-15 Annotation Timestamps Per Annotator (n= 10) and Mean STD per Annotator Class (Western: 0/ Gugak: 1)</t>
  </si>
  <si>
    <t>Excerpt 5 Onset_n 1-15 Mean STD per Annotator Class (Western: 0/ Gugak: 1)</t>
  </si>
  <si>
    <t>(cont.) Excerpt 5 Onset_n 1-15 Mean STD per Annotator Class (Western: 0/ Gugak: 1)</t>
  </si>
  <si>
    <t>STD_0 (cont.)</t>
  </si>
  <si>
    <t>STD_1 (cont.)</t>
  </si>
  <si>
    <t xml:space="preserve">(cont.) Excerpt 5 Onset_n 16-31 Annotation Timestamps Per Annotator (n= 10) </t>
  </si>
  <si>
    <t>Round (cont.)</t>
  </si>
  <si>
    <r>
      <t>A</t>
    </r>
    <r>
      <rPr>
        <b/>
        <sz val="9"/>
        <color rgb="FF000000"/>
        <rFont val="Calibri"/>
        <family val="2"/>
        <scheme val="minor"/>
      </rPr>
      <t>nnotators</t>
    </r>
    <r>
      <rPr>
        <sz val="9"/>
        <color rgb="FF000000"/>
        <rFont val="Calibri"/>
        <family val="2"/>
        <scheme val="minor"/>
      </rPr>
      <t xml:space="preserve"> (cont.)</t>
    </r>
  </si>
  <si>
    <t>t_hat_j</t>
  </si>
  <si>
    <t>MAD_j</t>
  </si>
  <si>
    <t>IQR_j</t>
  </si>
  <si>
    <t>N</t>
  </si>
  <si>
    <t>spread_j</t>
  </si>
  <si>
    <t>tau_j</t>
  </si>
  <si>
    <t>A_j</t>
  </si>
  <si>
    <t>P_j</t>
  </si>
  <si>
    <t>outlier_rate</t>
  </si>
  <si>
    <t>C_j</t>
  </si>
  <si>
    <t>conf_class</t>
  </si>
  <si>
    <t>z_hat_em</t>
  </si>
  <si>
    <t>em_resid_mad</t>
  </si>
  <si>
    <t>em_resid_rmse</t>
  </si>
  <si>
    <t>em_shift_from_iqa</t>
  </si>
  <si>
    <t>mu0_stage1</t>
  </si>
  <si>
    <t>em_shift_from_stage1</t>
  </si>
  <si>
    <t>z_stage1_Gugak</t>
  </si>
  <si>
    <t>z_stage1_Western</t>
  </si>
  <si>
    <t>t_GT_em</t>
  </si>
  <si>
    <t>tau_GT</t>
  </si>
  <si>
    <t>IQA</t>
  </si>
  <si>
    <t>Step 2: Pooled EM</t>
  </si>
  <si>
    <t>Step 1: Class EM</t>
  </si>
  <si>
    <t>medium</t>
  </si>
  <si>
    <t>high</t>
  </si>
  <si>
    <t>low</t>
  </si>
  <si>
    <t>A_id</t>
  </si>
  <si>
    <t>group</t>
  </si>
  <si>
    <t>n_events</t>
  </si>
  <si>
    <t>ICC</t>
  </si>
  <si>
    <t>LCL</t>
  </si>
  <si>
    <t>UCL</t>
  </si>
  <si>
    <t>F_value</t>
  </si>
  <si>
    <t>df1</t>
  </si>
  <si>
    <t>df2</t>
  </si>
  <si>
    <t>p_value</t>
  </si>
  <si>
    <t>MAD_RR</t>
  </si>
  <si>
    <t>drift_R2_minus_R1</t>
  </si>
  <si>
    <t>ICC_level</t>
  </si>
  <si>
    <t>AS1a_pass</t>
  </si>
  <si>
    <t>AS1a_pass_label</t>
  </si>
  <si>
    <t>ICC_clip</t>
  </si>
  <si>
    <t>w_i</t>
  </si>
  <si>
    <t>w_i_norm</t>
  </si>
  <si>
    <t>Western</t>
  </si>
  <si>
    <t>excellent</t>
  </si>
  <si>
    <t>PASS</t>
  </si>
  <si>
    <t>Gugak</t>
  </si>
  <si>
    <t>S1_ICC_by_annotator</t>
  </si>
  <si>
    <t>FAIL</t>
  </si>
  <si>
    <t>class_mean_t_Gugak</t>
  </si>
  <si>
    <t>class_mean_t_Western</t>
  </si>
  <si>
    <t>n_labels_Gugak</t>
  </si>
  <si>
    <t>n_labels_Western</t>
  </si>
  <si>
    <t>signed_diff_ms</t>
  </si>
  <si>
    <t>signed_diff_over_tau</t>
  </si>
  <si>
    <t>abs_signed_diff_over_tau</t>
  </si>
  <si>
    <t>Excerpt 1 Reliability and Aggregation Measures</t>
  </si>
  <si>
    <t>Excerpt 2 Reliability and Aggregation Measures</t>
  </si>
  <si>
    <t>Excerpt 3 Reliability and Aggregation Measures</t>
  </si>
  <si>
    <t>Excerpt 4 Reliability and Aggregation Measures</t>
  </si>
  <si>
    <t>Excerpt 5 Reliability and Aggregation Measures</t>
  </si>
  <si>
    <t>t_GT_EM (s)</t>
  </si>
  <si>
    <t>n_events_RR</t>
  </si>
  <si>
    <t>Excerpt 1 T-test</t>
  </si>
  <si>
    <t>Excerpt 5 T-test</t>
  </si>
  <si>
    <t>Excerpt 4 T-test</t>
  </si>
  <si>
    <t>Excerpt 3 T-test</t>
  </si>
  <si>
    <t>Excerpt 2 T-test</t>
  </si>
  <si>
    <t>Excerpt 1 (Base note: Bae-Jung)</t>
  </si>
  <si>
    <t>Layer</t>
  </si>
  <si>
    <t>Predicted_hz</t>
  </si>
  <si>
    <t>Target_hz</t>
  </si>
  <si>
    <t>relative_error_percent</t>
  </si>
  <si>
    <t>chroma_cents_error</t>
  </si>
  <si>
    <t>WP1_non_gross_pass</t>
  </si>
  <si>
    <t>WP3_RPA50_pass</t>
  </si>
  <si>
    <t>Excerpt 2 (Base note: Hwang)</t>
  </si>
  <si>
    <t>Excerpt 3 (Base note: Hwang)</t>
  </si>
  <si>
    <t>Excerpt 4 (Base note: Tae)</t>
  </si>
  <si>
    <t>Excerpt 5 (Base note: Bae-Im)</t>
  </si>
  <si>
    <t>residual-SUS</t>
  </si>
  <si>
    <t>WP2_FPE_pass</t>
  </si>
  <si>
    <t>Onset Window</t>
  </si>
  <si>
    <t>RecordedDate</t>
  </si>
  <si>
    <t>USER</t>
  </si>
  <si>
    <t>Q1_1</t>
  </si>
  <si>
    <t>Q1_2</t>
  </si>
  <si>
    <t>Q1_3</t>
  </si>
  <si>
    <t>Q1_4</t>
  </si>
  <si>
    <t>Q1_5</t>
  </si>
  <si>
    <t>Q1_6</t>
  </si>
  <si>
    <t>Q1_7</t>
  </si>
  <si>
    <t>Q1_8</t>
  </si>
  <si>
    <t>Q2_1</t>
  </si>
  <si>
    <t>Q2_2</t>
  </si>
  <si>
    <t>Q2_3</t>
  </si>
  <si>
    <t>Q2_4</t>
  </si>
  <si>
    <t>Q3_1</t>
  </si>
  <si>
    <t>Q3_2</t>
  </si>
  <si>
    <t>Q3_3</t>
  </si>
  <si>
    <t>Q3_4</t>
  </si>
  <si>
    <t>Q4_1</t>
  </si>
  <si>
    <t>Q4_2</t>
  </si>
  <si>
    <t>Q4_3</t>
  </si>
  <si>
    <t>Q4_4</t>
  </si>
  <si>
    <t>Q5_1</t>
  </si>
  <si>
    <t>Q5_2</t>
  </si>
  <si>
    <t>Q5_3</t>
  </si>
  <si>
    <t>Q5_4</t>
  </si>
  <si>
    <t>I can learn to play a haegeum piece accurately using the system’s practice tools.</t>
  </si>
  <si>
    <t>I can improve my rhythm and timing by using the audiation mode.</t>
  </si>
  <si>
    <t>I can match pitch using the system’s tuning and feedback functions.</t>
  </si>
  <si>
    <t>I can correct my mistakes after using/reviewing the system’s feedback.</t>
  </si>
  <si>
    <t>I can remember melodies and rhythms through repeated use of the system.</t>
  </si>
  <si>
    <t>I can perform a haegeum piece more fluently with system-based practice.</t>
  </si>
  <si>
    <t>I can reach my personal practice goals using the system.</t>
  </si>
  <si>
    <t>I can continue improving even after making mistakes.</t>
  </si>
  <si>
    <t>Watching the system’s demonstrations helps me understand how to play better.</t>
  </si>
  <si>
    <t>Seeing correct performance examples in the system helps me believe I can improve.</t>
  </si>
  <si>
    <t>Comparing my performance to the system’s example audio or visuals helps me adjust.</t>
  </si>
  <si>
    <t>Learning from model examples in the system increases my confidence.</t>
  </si>
  <si>
    <t>Encouragement from the system makes me more confident.</t>
  </si>
  <si>
    <t>When the system shows my progress between sessions, I feel motivated.</t>
  </si>
  <si>
    <t>Support from interactive sensors helps me stay focused while using the system.</t>
  </si>
  <si>
    <t>Positive feedback from the system (e.g., pitch/rhythm accuracy) helps me believe in my future learning capabilities.</t>
  </si>
  <si>
    <t>I feel nervous using the system when I know I’ll be evaluated</t>
  </si>
  <si>
    <t>I feel more confident when I am calm and focused during system use.</t>
  </si>
  <si>
    <t>Using the system helps reduce my stress while learning a new haegeum piece.</t>
  </si>
  <si>
    <t>When I’m anxious, it’s harder for me to play confidently.</t>
  </si>
  <si>
    <t>I feel motivated to practice haegeum when using this system.</t>
  </si>
  <si>
    <t>I enjoy learning Gugak fluid musical characteristics when I use this system.</t>
  </si>
  <si>
    <t>The system motivates me to keep learning the haegeum so I can perform pieces.</t>
  </si>
  <si>
    <t>I feel more connected to haegeum because of how the system teaches.</t>
  </si>
  <si>
    <t>LSB-1</t>
  </si>
  <si>
    <t>LSB-2</t>
  </si>
  <si>
    <t>KBR-1</t>
  </si>
  <si>
    <t>KBR-2</t>
  </si>
  <si>
    <t>KYS-1</t>
  </si>
  <si>
    <t>KYS-2</t>
  </si>
  <si>
    <t>LSY-1</t>
  </si>
  <si>
    <t>LSY-2</t>
  </si>
  <si>
    <t>PHJ-1</t>
  </si>
  <si>
    <t>PHJ-2</t>
  </si>
  <si>
    <t>RCM-1</t>
  </si>
  <si>
    <t>RCM-2</t>
  </si>
  <si>
    <t>KWY-1</t>
  </si>
  <si>
    <t>KWY-2</t>
  </si>
  <si>
    <t>source_file</t>
  </si>
  <si>
    <t>line_no</t>
  </si>
  <si>
    <t>score_n</t>
  </si>
  <si>
    <t>freq</t>
  </si>
  <si>
    <t>most repeated freq</t>
  </si>
  <si>
    <t>gt freq</t>
  </si>
  <si>
    <t>abs_diff (hz)</t>
  </si>
  <si>
    <t>MOTIONpitchcorrectness</t>
  </si>
  <si>
    <t>raw_line</t>
  </si>
  <si>
    <t>y</t>
  </si>
  <si>
    <t>z</t>
  </si>
  <si>
    <t>GTpitchcorrectness</t>
  </si>
  <si>
    <t>ST.D</t>
  </si>
  <si>
    <t>right : not right ratio GT</t>
  </si>
  <si>
    <t>right : not right ratio MOTION</t>
  </si>
  <si>
    <t>KBR1_rec12</t>
  </si>
  <si>
    <t>omit</t>
  </si>
  <si>
    <t>1, 1 0 0. 0.;</t>
  </si>
  <si>
    <t>. z;</t>
  </si>
  <si>
    <t>2, 1 0 0. 0.;</t>
  </si>
  <si>
    <t>3, 1 0 352.687892 0.;</t>
  </si>
  <si>
    <t>4, 1 0 479.726392 0.;</t>
  </si>
  <si>
    <t>0/16 : 0/16</t>
  </si>
  <si>
    <t>12/16 : 1/16</t>
  </si>
  <si>
    <t>5, 1 0 359.39926 0.;</t>
  </si>
  <si>
    <t>missing</t>
  </si>
  <si>
    <t>6, 2 0 0. 0.;</t>
  </si>
  <si>
    <t>7, 2 0 0. 0.;</t>
  </si>
  <si>
    <t>8, 2 0 0. 0.;</t>
  </si>
  <si>
    <t>9, 2 0 0. 0.;</t>
  </si>
  <si>
    <t>10, 3 0 0. 0.;</t>
  </si>
  <si>
    <t>11, 3 0 0. 0.;</t>
  </si>
  <si>
    <t>12, 3 0 354.749382 0.;</t>
  </si>
  <si>
    <t>13, 3 0 354.749382 0.;</t>
  </si>
  <si>
    <t>14, 4 0 354.749382 0.;</t>
  </si>
  <si>
    <t>15, 4 0 0. 0.;</t>
  </si>
  <si>
    <t>16, 4 0 0. 0.;</t>
  </si>
  <si>
    <t>17, 4 0 0. 0.;</t>
  </si>
  <si>
    <t>18, 4 0 0. 0.;</t>
  </si>
  <si>
    <t>19, 4 0 0. 0.;</t>
  </si>
  <si>
    <t>20, 4 0 358.711505 0.;</t>
  </si>
  <si>
    <t>21, 4 0 0. 0.;</t>
  </si>
  <si>
    <t>22, 4 0 0. 0.;</t>
  </si>
  <si>
    <t>23, 5 0 0. 0.;</t>
  </si>
  <si>
    <t>24, 5 0 357.271392 0.;</t>
  </si>
  <si>
    <t>25, 5 0 358.218813 0.;</t>
  </si>
  <si>
    <t>26, 5 0 358.359822 0.;</t>
  </si>
  <si>
    <t>27, 6 0 0. 0.;</t>
  </si>
  <si>
    <t>28, 6 0 0. 0.;</t>
  </si>
  <si>
    <t>29, 6 0 0. 0.;</t>
  </si>
  <si>
    <t>30, 6 0 323.270389 0.;</t>
  </si>
  <si>
    <t>31, 6 0 0. 0.;</t>
  </si>
  <si>
    <t>32, 7 0 0. 0.;</t>
  </si>
  <si>
    <t>33, 7 0 240.527503 0.;</t>
  </si>
  <si>
    <t>34, 7 0 0. 0.;</t>
  </si>
  <si>
    <t>35, 8 0 0. 0.;</t>
  </si>
  <si>
    <t>36, 8 0 0. 0.;</t>
  </si>
  <si>
    <t>37, 8 0 0. 0.;</t>
  </si>
  <si>
    <t>38, 8 0 0. 0.;</t>
  </si>
  <si>
    <t>39, 8 0 0. 0.;</t>
  </si>
  <si>
    <t>40, 8 0 0. 0.;</t>
  </si>
  <si>
    <t>41, 9 0 0. 0.;</t>
  </si>
  <si>
    <t>42, 9 0 0. 0.;</t>
  </si>
  <si>
    <t>43, 9 0 0. 0.;</t>
  </si>
  <si>
    <t>44, 9 0 324.63541 0.;</t>
  </si>
  <si>
    <t>45, 9 0 324.660901 0.;</t>
  </si>
  <si>
    <t>46, 10 0 0. 0.;</t>
  </si>
  <si>
    <t>47, 10 0 0. 0.;</t>
  </si>
  <si>
    <t>48, 10 0 0. 0.;</t>
  </si>
  <si>
    <t>49, 10 0 242.082239 0.;</t>
  </si>
  <si>
    <t>outlier</t>
  </si>
  <si>
    <t>50, 10 0 362.890866 0.;</t>
  </si>
  <si>
    <t>51, 11 0 0. 0.;</t>
  </si>
  <si>
    <t>52, 11 0 478.914001 0.;</t>
  </si>
  <si>
    <t>53, 11 0 478.376592 0.;</t>
  </si>
  <si>
    <t>54, 12 0 478.947388 0.;</t>
  </si>
  <si>
    <t>55, 12 0 0. 0.;</t>
  </si>
  <si>
    <t>56, 12 0 0. 0.;</t>
  </si>
  <si>
    <t>57, 12 0 0. 0.;</t>
  </si>
  <si>
    <t>58, 12 0 0. 0.;</t>
  </si>
  <si>
    <t>59, 12 0 324.779573 0.;</t>
  </si>
  <si>
    <t>60, 12 0 0. 0.;</t>
  </si>
  <si>
    <t>61, 12 0 0. 0.;</t>
  </si>
  <si>
    <t>62, 13 0 0. 0.;</t>
  </si>
  <si>
    <t>63, 13 0 358.101651 0.;</t>
  </si>
  <si>
    <t>64, 13 0 359.866455 0.;</t>
  </si>
  <si>
    <t>65, 13 0 359.866455 0.;</t>
  </si>
  <si>
    <t>66, 14 0 361.475403 0.;</t>
  </si>
  <si>
    <t>67, 14 0 0. 0.;</t>
  </si>
  <si>
    <t>68, 14 0 323.871907 0.;</t>
  </si>
  <si>
    <t>69, 15 0 323.712503 0.;</t>
  </si>
  <si>
    <t>70, 15 0 0. 0.;</t>
  </si>
  <si>
    <t>71, 15 0 240.55083 0.;</t>
  </si>
  <si>
    <t>72, 15 0 0. 0.;</t>
  </si>
  <si>
    <t>73, 16 0 0. 0.;</t>
  </si>
  <si>
    <t>74, 16 0 0. 0.;</t>
  </si>
  <si>
    <t>75, 16 0 0. 0.;</t>
  </si>
  <si>
    <t>76, 16 0 0. 0.;</t>
  </si>
  <si>
    <t>77, 16 0 0. 0.;</t>
  </si>
  <si>
    <t>78, 16 0 0. 0.;</t>
  </si>
  <si>
    <t>79, 16 0 0. 0.;</t>
  </si>
  <si>
    <t>80, 16 0 0. 0.;</t>
  </si>
  <si>
    <t>81, 16 0 0. 0.;</t>
  </si>
  <si>
    <t>82, 16 0 0. 0.;</t>
  </si>
  <si>
    <t>83, 16 0 0. 0.;</t>
  </si>
  <si>
    <t>84, 16 0 0. 0.;</t>
  </si>
  <si>
    <t>85, 16 0 0. 0.;</t>
  </si>
  <si>
    <t>86, 16 0 0. 0.;</t>
  </si>
  <si>
    <t>87, 16 0 0. 0.;</t>
  </si>
  <si>
    <t>88, 16 0 0. 0.;</t>
  </si>
  <si>
    <t>89, 16 0 0. 0.;</t>
  </si>
  <si>
    <t>90, 16 0 0. 0.;</t>
  </si>
  <si>
    <t>KBR2_rec2</t>
  </si>
  <si>
    <t>3, 1 0 0. 0.;</t>
  </si>
  <si>
    <t>4, 1 0 0. 0.;</t>
  </si>
  <si>
    <t>8/16 : 7/16</t>
  </si>
  <si>
    <t>5, 1 0 0. 0.;</t>
  </si>
  <si>
    <t>6, 1 0 359.510864 0.;</t>
  </si>
  <si>
    <t>7, 1 0 364.599915 0.;</t>
  </si>
  <si>
    <t>8, 1 0 364.087886 0.;</t>
  </si>
  <si>
    <t>9, 1 0 364.313518 0.;</t>
  </si>
  <si>
    <t>10, 2 0 0. 0.;</t>
  </si>
  <si>
    <t>11, 2 0 482.619889 0.;</t>
  </si>
  <si>
    <t>12, 2 0 487.11518 0.;</t>
  </si>
  <si>
    <t>13, 2 0 486.479071 0.;</t>
  </si>
  <si>
    <t>14, 2 0 463.991026 0.;</t>
  </si>
  <si>
    <t>15, 3 0 360.542175 0.;</t>
  </si>
  <si>
    <t>16, 3 0 361.996104 0.;</t>
  </si>
  <si>
    <t>17, 3 0 363.551826 0.;</t>
  </si>
  <si>
    <t>18, 4 0 363.260432 0.;</t>
  </si>
  <si>
    <t>19, 4 0 362.625997 0.;</t>
  </si>
  <si>
    <t>20, 4 0 365.088562 0.;</t>
  </si>
  <si>
    <t>21, 4 0 364.467846 0.;</t>
  </si>
  <si>
    <t>22, 4 0 364.597264 0.;</t>
  </si>
  <si>
    <t>23, 4 0 365.758301 0.;</t>
  </si>
  <si>
    <t>24, 4 0 364.736847 0.;</t>
  </si>
  <si>
    <t>25, 4 0 364.101715 0.;</t>
  </si>
  <si>
    <t>26, 4 0 364.621429 0.;</t>
  </si>
  <si>
    <t>27, 4 0 365.159241 0.;</t>
  </si>
  <si>
    <t>28, 4 0 363.861389 0.;</t>
  </si>
  <si>
    <t>29, 5 0 364.629191 0.;</t>
  </si>
  <si>
    <t>30, 5 0 362.413483 0.;</t>
  </si>
  <si>
    <t>31, 5 0 363.954277 0.;</t>
  </si>
  <si>
    <t>32, 5 0 363.987823 0.;</t>
  </si>
  <si>
    <t>33, 6 0 328.744926 0.;</t>
  </si>
  <si>
    <t>34, 6 0 327.749101 0.;</t>
  </si>
  <si>
    <t>35, 6 0 326.884104 0.;</t>
  </si>
  <si>
    <t>36, 7 0 0. 0.;</t>
  </si>
  <si>
    <t>37, 7 0 248.03023 0.;</t>
  </si>
  <si>
    <t>38, 7 0 245.921617 0.;</t>
  </si>
  <si>
    <t>39, 7 0 245.515551 0.;</t>
  </si>
  <si>
    <t>40, 7 0 243.752965 0.;</t>
  </si>
  <si>
    <t>41, 8 0 245.019027 0.;</t>
  </si>
  <si>
    <t>42, 8 0 0. 0.;</t>
  </si>
  <si>
    <t>43, 8 0 246.515804 0.;</t>
  </si>
  <si>
    <t>44, 8 0 246.403773 0.;</t>
  </si>
  <si>
    <t>45, 8 0 245.149795 0.;</t>
  </si>
  <si>
    <t>46, 8 0 244.682645 0.;</t>
  </si>
  <si>
    <t>47, 8 0 245.601334 0.;</t>
  </si>
  <si>
    <t>48, 8 0 247.458542 0.;</t>
  </si>
  <si>
    <t>49, 9 0 246.735735 0.;</t>
  </si>
  <si>
    <t>50, 9 0 246.297386 0.;</t>
  </si>
  <si>
    <t>51, 9 0 318.098583 0.;</t>
  </si>
  <si>
    <t>52, 9 0 328.090008 0.;</t>
  </si>
  <si>
    <t>53, 9 0 328.579137 0.;</t>
  </si>
  <si>
    <t>54, 9 0 328.572714 0.;</t>
  </si>
  <si>
    <t>55, 10 0 244.569861 0.;</t>
  </si>
  <si>
    <t>56, 10 0 245.058891 0.;</t>
  </si>
  <si>
    <t>57, 10 0 244.814992 0.;</t>
  </si>
  <si>
    <t>58, 11 0 235.57692 0.;</t>
  </si>
  <si>
    <t>59, 11 0 489.527008 0.;</t>
  </si>
  <si>
    <t>60, 11 0 491.929138 0.;</t>
  </si>
  <si>
    <t>61, 11 0 489.284899 0.;</t>
  </si>
  <si>
    <t>62, 12 0 316.847021 0.;</t>
  </si>
  <si>
    <t>63, 12 0 0. 0.;</t>
  </si>
  <si>
    <t>64, 12 0 0. 0.;</t>
  </si>
  <si>
    <t>65, 12 0 329.101993 0.;</t>
  </si>
  <si>
    <t>66, 12 0 329.295297 0.;</t>
  </si>
  <si>
    <t>67, 12 0 329.576714 0.;</t>
  </si>
  <si>
    <t>68, 12 0 329.512961 0.;</t>
  </si>
  <si>
    <t>69, 12 0 328.75246 0.;</t>
  </si>
  <si>
    <t>70, 12 0 329.034709 0.;</t>
  </si>
  <si>
    <t>71, 12 0 330.122332 0.;</t>
  </si>
  <si>
    <t>72, 12 0 343.099372 0.;</t>
  </si>
  <si>
    <t>73, 13 0 362.66449 0.;</t>
  </si>
  <si>
    <t>74, 13 0 364.939026 0.;</t>
  </si>
  <si>
    <t>75, 13 0 490.721227 0.;</t>
  </si>
  <si>
    <t>76, 14 0 328.264667 0.;</t>
  </si>
  <si>
    <t>77, 14 0 327.533408 0.;</t>
  </si>
  <si>
    <t>78, 14 0 327.748504 0.;</t>
  </si>
  <si>
    <t>79, 15 0 0. 0.;</t>
  </si>
  <si>
    <t>80, 15 0 244.34333 0.;</t>
  </si>
  <si>
    <t>81, 15 0 0. 0.;</t>
  </si>
  <si>
    <t>82, 15 0 0. 0.;</t>
  </si>
  <si>
    <t>83, 15 0 0. 0.;</t>
  </si>
  <si>
    <t>84, 15 0 0. 0.;</t>
  </si>
  <si>
    <t>KBR2_rec5</t>
  </si>
  <si>
    <t>. right;</t>
  </si>
  <si>
    <t>3, 1 0 366.468442 0.;</t>
  </si>
  <si>
    <t>4, 1 0 368.194647 0.;</t>
  </si>
  <si>
    <t>13/16 : 0/16</t>
  </si>
  <si>
    <t>16/16 : 0/16</t>
  </si>
  <si>
    <t>5, 1 0 368.58509 0.;</t>
  </si>
  <si>
    <t>6, 1 0 368.363327 0.;</t>
  </si>
  <si>
    <t>7, 1 0 0. 0.;</t>
  </si>
  <si>
    <t>8, 2 0 489.688007 0.;</t>
  </si>
  <si>
    <t>right z;</t>
  </si>
  <si>
    <t>9, 2 0 488.368496 0.;</t>
  </si>
  <si>
    <t>10, 2 0 489.09592 0.;</t>
  </si>
  <si>
    <t>11, 2 0 485.589365 0.;</t>
  </si>
  <si>
    <t>12, 3 0 363.53168 0.;</t>
  </si>
  <si>
    <t>13, 3 0 366.401144 0.;</t>
  </si>
  <si>
    <t>14, 3 0 366.363235 0.;</t>
  </si>
  <si>
    <t>15, 4 0 366.944031 0.;</t>
  </si>
  <si>
    <t>16, 4 0 366.481995 0.;</t>
  </si>
  <si>
    <t>17, 4 0 366.774885 0.;</t>
  </si>
  <si>
    <t>18, 4 0 367.001677 0.;</t>
  </si>
  <si>
    <t>19, 4 0 366.818516 0.;</t>
  </si>
  <si>
    <t>20, 4 0 366.871356 0.;</t>
  </si>
  <si>
    <t>21, 4 0 366.92325 0.;</t>
  </si>
  <si>
    <t>22, 4 0 366.899143 0.;</t>
  </si>
  <si>
    <t>23, 4 0 367.5 0.;</t>
  </si>
  <si>
    <t>24, 5 0 368.523682 0.;</t>
  </si>
  <si>
    <t>25, 5 0 367.822662 0.;</t>
  </si>
  <si>
    <t>26, 5 0 367.176667 0.;</t>
  </si>
  <si>
    <t>27, 6 0 365.806412 0.;</t>
  </si>
  <si>
    <t>28, 6 0 329.208698 0.;</t>
  </si>
  <si>
    <t>29, 6 0 327.136501 0.;</t>
  </si>
  <si>
    <t>30, 6 0 327.82053 0.;</t>
  </si>
  <si>
    <t>31, 7 0 408.333344 0.;</t>
  </si>
  <si>
    <t>32, 7 0 244.810555 0.;</t>
  </si>
  <si>
    <t>33, 7 0 247.803197 0.;</t>
  </si>
  <si>
    <t>34, 7 0 247.026058 0.;</t>
  </si>
  <si>
    <t>35, 8 0 246.897856 0.;</t>
  </si>
  <si>
    <t>36, 8 0 246.728339 0.;</t>
  </si>
  <si>
    <t>37, 8 0 245.674256 0.;</t>
  </si>
  <si>
    <t>38, 8 0 246.644711 0.;</t>
  </si>
  <si>
    <t>39, 8 0 247.080388 0.;</t>
  </si>
  <si>
    <t>40, 8 0 247.723184 0.;</t>
  </si>
  <si>
    <t>41, 8 0 247.220381 0.;</t>
  </si>
  <si>
    <t>42, 8 0 245.221923 0.;</t>
  </si>
  <si>
    <t>43, 9 0 327.892576 0.;</t>
  </si>
  <si>
    <t>44, 9 0 329.046136 0.;</t>
  </si>
  <si>
    <t>45, 9 0 328.585194 0.;</t>
  </si>
  <si>
    <t>46, 10 0 328.798403 0.;</t>
  </si>
  <si>
    <t>47, 10 0 236.25 0.;</t>
  </si>
  <si>
    <t>48, 10 0 247.719032 0.;</t>
  </si>
  <si>
    <t>49, 10 0 246.761512 0.;</t>
  </si>
  <si>
    <t>50, 10 0 247.298841 0.;</t>
  </si>
  <si>
    <t>52, 11 0 488.33927 0.;</t>
  </si>
  <si>
    <t>53, 11 0 490.387227 0.;</t>
  </si>
  <si>
    <t>54, 11 0 491.981528 0.;</t>
  </si>
  <si>
    <t>55, 12 0 470.048658 0.;</t>
  </si>
  <si>
    <t>57, 12 0 331.878281 0.;</t>
  </si>
  <si>
    <t>58, 12 0 330.839277 0.;</t>
  </si>
  <si>
    <t>59, 12 0 329.416104 0.;</t>
  </si>
  <si>
    <t>60, 12 0 329.550824 0.;</t>
  </si>
  <si>
    <t>61, 12 0 329.987121 0.;</t>
  </si>
  <si>
    <t>62, 12 0 330.771314 0.;</t>
  </si>
  <si>
    <t>63, 13 0 0. 0.;</t>
  </si>
  <si>
    <t>64, 13 0 366.762377 0.;</t>
  </si>
  <si>
    <t>65, 13 0 367.514902 0.;</t>
  </si>
  <si>
    <t>66, 13 0 366.932084 0.;</t>
  </si>
  <si>
    <t>67, 14 0 363.786425 0.;</t>
  </si>
  <si>
    <t>68, 14 0 328.213962 0.;</t>
  </si>
  <si>
    <t>69, 14 0 329.74904 0.;</t>
  </si>
  <si>
    <t>70, 14 0 328.641778 0.;</t>
  </si>
  <si>
    <t>71, 15 0 244.456772 0.;</t>
  </si>
  <si>
    <t>72, 15 0 246.309153 0.;</t>
  </si>
  <si>
    <t>73, 15 0 246.956279 0.;</t>
  </si>
  <si>
    <t>74, 15 0 245.849736 0.;</t>
  </si>
  <si>
    <t>75, 16 0 246.674167 0.;</t>
  </si>
  <si>
    <t>76, 16 0 245.519157 0.;</t>
  </si>
  <si>
    <t>77, 16 0 246.071971 0.;</t>
  </si>
  <si>
    <t>78, 16 0 245.73904 0.;</t>
  </si>
  <si>
    <t>79, 16 0 246.076839 0.;</t>
  </si>
  <si>
    <t>80, 16 0 246.710641 0.;</t>
  </si>
  <si>
    <t>KBR2_rec12</t>
  </si>
  <si>
    <t>4, 1 0 366.055091 0.;</t>
  </si>
  <si>
    <t>14/16 : 0/16</t>
  </si>
  <si>
    <t>15/16 : 0/16</t>
  </si>
  <si>
    <t>5, 1 0 367.901275 0.;</t>
  </si>
  <si>
    <t>6, 1 0 368.436633 0.;</t>
  </si>
  <si>
    <t>7, 1 0 368.794006 0.;</t>
  </si>
  <si>
    <t>8, 2 0 368.579606 0.;</t>
  </si>
  <si>
    <t>9, 2 0 369.637375 0.;</t>
  </si>
  <si>
    <t>10, 2 0 512.445782 0.;</t>
  </si>
  <si>
    <t>11, 2 0 502.654117 0.;</t>
  </si>
  <si>
    <t>12, 2 0 499.940338 0.;</t>
  </si>
  <si>
    <t>13, 2 0 497.053636 0.;</t>
  </si>
  <si>
    <t>14, 3 0 489.857299 0.;</t>
  </si>
  <si>
    <t>15, 3 0 367.982199 0.;</t>
  </si>
  <si>
    <t>16, 3 0 367.192644 0.;</t>
  </si>
  <si>
    <t>17, 4 0 368.729095 0.;</t>
  </si>
  <si>
    <t>18, 4 0 367.104316 0.;</t>
  </si>
  <si>
    <t>19, 4 0 366.758344 0.;</t>
  </si>
  <si>
    <t>20, 4 0 367.835897 0.;</t>
  </si>
  <si>
    <t>21, 4 0 366.943529 0.;</t>
  </si>
  <si>
    <t>22, 4 0 367.806488 0.;</t>
  </si>
  <si>
    <t>23, 4 0 368.318481 0.;</t>
  </si>
  <si>
    <t>24, 4 0 368.794006 0.;</t>
  </si>
  <si>
    <t>25, 4 0 368.057648 0.;</t>
  </si>
  <si>
    <t>26, 5 0 368.267212 0.;</t>
  </si>
  <si>
    <t>27, 5 0 368.482605 0.;</t>
  </si>
  <si>
    <t>28, 5 0 369.163202 0.;</t>
  </si>
  <si>
    <t>29, 6 0 366.558099 0.;</t>
  </si>
  <si>
    <t>30, 6 0 331.260704 0.;</t>
  </si>
  <si>
    <t>31, 6 0 329.46647 0.;</t>
  </si>
  <si>
    <t>32, 6 0 330.169359 0.;</t>
  </si>
  <si>
    <t>33, 7 0 241.81227 0.;</t>
  </si>
  <si>
    <t>34, 7 0 249.240124 0.;</t>
  </si>
  <si>
    <t>35, 7 0 248.870066 0.;</t>
  </si>
  <si>
    <t>36, 7 0 248.303457 0.;</t>
  </si>
  <si>
    <t>37, 8 0 248.566083 0.;</t>
  </si>
  <si>
    <t>40, 8 0 248.151138 0.;</t>
  </si>
  <si>
    <t>41, 8 0 248.147602 0.;</t>
  </si>
  <si>
    <t>42, 8 0 248.141211 0.;</t>
  </si>
  <si>
    <t>43, 8 0 247.532097 0.;</t>
  </si>
  <si>
    <t>44, 9 0 249.025651 0.;</t>
  </si>
  <si>
    <t>45, 9 0 321.897797 0.;</t>
  </si>
  <si>
    <t>46, 9 0 329.601003 0.;</t>
  </si>
  <si>
    <t>47, 9 0 330.853408 0.;</t>
  </si>
  <si>
    <t>48, 9 0 330.436262 0.;</t>
  </si>
  <si>
    <t>49, 10 0 296.153839 0.;</t>
  </si>
  <si>
    <t>50, 10 0 250.118005 0.;</t>
  </si>
  <si>
    <t>51, 10 0 251.153382 0.;</t>
  </si>
  <si>
    <t>52, 10 0 248.365 0.;</t>
  </si>
  <si>
    <t>53, 11 0 497.028687 0.;</t>
  </si>
  <si>
    <t>54, 11 0 498.976288 0.;</t>
  </si>
  <si>
    <t>55, 11 0 501.136353 0.;</t>
  </si>
  <si>
    <t>56, 11 0 500.000031 0.;</t>
  </si>
  <si>
    <t>58, 12 0 331.514767 0.;</t>
  </si>
  <si>
    <t>59, 12 0 330.900099 0.;</t>
  </si>
  <si>
    <t>60, 12 0 331.220496 0.;</t>
  </si>
  <si>
    <t>61, 12 0 332.12541 0.;</t>
  </si>
  <si>
    <t>62, 12 0 331.374606 0.;</t>
  </si>
  <si>
    <t>63, 12 0 331.158506 0.;</t>
  </si>
  <si>
    <t>64, 12 0 332.029081 0.;</t>
  </si>
  <si>
    <t>65, 12 0 362.690586 0.;</t>
  </si>
  <si>
    <t>66, 13 0 368.568298 0.;</t>
  </si>
  <si>
    <t>67, 13 0 368.780487 0.;</t>
  </si>
  <si>
    <t>68, 13 0 369.642883 0.;</t>
  </si>
  <si>
    <t>69, 14 0 368.112619 0.;</t>
  </si>
  <si>
    <t>70, 14 0 330.176233 0.;</t>
  </si>
  <si>
    <t>71, 14 0 329.887351 0.;</t>
  </si>
  <si>
    <t>72, 14 0 329.979028 0.;</t>
  </si>
  <si>
    <t>73, 15 0 0. 0.;</t>
  </si>
  <si>
    <t>74, 15 0 246.46051 0.;</t>
  </si>
  <si>
    <t>75, 15 0 249.131236 0.;</t>
  </si>
  <si>
    <t>76, 15 0 248.196826 0.;</t>
  </si>
  <si>
    <t>77, 15 0 0. 0.;</t>
  </si>
  <si>
    <t>KYS1_rec2</t>
  </si>
  <si>
    <t>3, 1 0 385.918854 0.;</t>
  </si>
  <si>
    <t>4, 1 0 385.918854 0.;</t>
  </si>
  <si>
    <t>0/16 : 13/16</t>
  </si>
  <si>
    <t>5, 2 0 0. 0.;</t>
  </si>
  <si>
    <t>6, 2 0 460.873901 0.;</t>
  </si>
  <si>
    <t>7, 2 0 454.408429 0.;</t>
  </si>
  <si>
    <t>8, 3 0 0. 0.;</t>
  </si>
  <si>
    <t>9, 3 0 385. 0.;</t>
  </si>
  <si>
    <t>10, 3 0 385. 0.;</t>
  </si>
  <si>
    <t>11, 4 0 0. 0.;</t>
  </si>
  <si>
    <t>12, 4 0 382.923309 0.;</t>
  </si>
  <si>
    <t>13, 4 0 382.466064 0.;</t>
  </si>
  <si>
    <t>14, 5 0 380.124025 0.;</t>
  </si>
  <si>
    <t>15, 5 0 382.177856 0.;</t>
  </si>
  <si>
    <t>16, 5 0 382.177856 0.;</t>
  </si>
  <si>
    <t>17, 6 0 380.172424 0.;</t>
  </si>
  <si>
    <t>18, 6 0 352.23881 0.;</t>
  </si>
  <si>
    <t>19, 6 0 352.727343 0.;</t>
  </si>
  <si>
    <t>20, 7 0 0. 0.;</t>
  </si>
  <si>
    <t>21, 7 0 0. 0.;</t>
  </si>
  <si>
    <t>22, 7 0 0. 0.;</t>
  </si>
  <si>
    <t>23, 7 0 0. 0.;</t>
  </si>
  <si>
    <t>24, 8 0 268.980428 0.;</t>
  </si>
  <si>
    <t>25, 8 0 266.332075 0.;</t>
  </si>
  <si>
    <t>26, 8 0 0. 0.;</t>
  </si>
  <si>
    <t>27, 9 0 350.271079 0.;</t>
  </si>
  <si>
    <t>28, 9 0 348.437377 0.;</t>
  </si>
  <si>
    <t>29, 9 0 348.558104 0.;</t>
  </si>
  <si>
    <t>30, 10 0 266.626373 0.;</t>
  </si>
  <si>
    <t>31, 10 0 263.393359 0.;</t>
  </si>
  <si>
    <t>32, 10 0 0. 0.;</t>
  </si>
  <si>
    <t>33, 11 0 0. 0.;</t>
  </si>
  <si>
    <t>34, 11 0 445.658267 0.;</t>
  </si>
  <si>
    <t>35, 11 0 449.908027 0.;</t>
  </si>
  <si>
    <t>36, 12 0 350.323239 0.;</t>
  </si>
  <si>
    <t>37, 12 0 351.150625 0.;</t>
  </si>
  <si>
    <t>38, 12 0 350.082471 0.;</t>
  </si>
  <si>
    <t>39, 13 0 377.281372 0.;</t>
  </si>
  <si>
    <t>40, 13 0 371.838104 0.;</t>
  </si>
  <si>
    <t>41, 13 0 378.865967 0.;</t>
  </si>
  <si>
    <t>42, 14 0 0. 0.;</t>
  </si>
  <si>
    <t>43, 14 0 0. 0.;</t>
  </si>
  <si>
    <t>44, 15 0 0. 0.;</t>
  </si>
  <si>
    <t>45, 15 0 0. 0.;</t>
  </si>
  <si>
    <t>46, 15 0 0. 0.;</t>
  </si>
  <si>
    <t>47, 16 0 0. 0.;</t>
  </si>
  <si>
    <t>48, 16 0 264.690493 0.;</t>
  </si>
  <si>
    <t>49, 16 0 263.831356 0.;</t>
  </si>
  <si>
    <t>50, 16 0 0. 0.;</t>
  </si>
  <si>
    <t>51, 16 0 0. 0.;</t>
  </si>
  <si>
    <t>52, 16 0 0. 0.;</t>
  </si>
  <si>
    <t>53, 16 0 0. 0.;</t>
  </si>
  <si>
    <t>54, 16 0 0. 0.;</t>
  </si>
  <si>
    <t>55, 16 0 0. 0.;</t>
  </si>
  <si>
    <t>56, 16 0 0. 0.;</t>
  </si>
  <si>
    <t>57, 16 0 0. 0.;</t>
  </si>
  <si>
    <t>KYS1_rec15</t>
  </si>
  <si>
    <t>0/16 : 9/16</t>
  </si>
  <si>
    <t>7, 3 0 0. 0.;</t>
  </si>
  <si>
    <t>9, 4 0 0. 0.;</t>
  </si>
  <si>
    <t>10, 4 0 0. 0.;</t>
  </si>
  <si>
    <t>12, 4 0 0. 0.;</t>
  </si>
  <si>
    <t>13, 4 0 0. 0.;</t>
  </si>
  <si>
    <t>14, 4 0 0. 0.;</t>
  </si>
  <si>
    <t>19, 5 0 0. 0.;</t>
  </si>
  <si>
    <t>20, 5 0 0. 0.;</t>
  </si>
  <si>
    <t>21, 5 0 0. 0.;</t>
  </si>
  <si>
    <t>22, 5 0 0. 0.;</t>
  </si>
  <si>
    <t>24, 5 0 0. 0.;</t>
  </si>
  <si>
    <t>25, 5 0 0. 0.;</t>
  </si>
  <si>
    <t>26, 5 0 1523.45459 0.;</t>
  </si>
  <si>
    <t>27, 5 0 1523.45459 0.;</t>
  </si>
  <si>
    <t>28, 6 0 347.463073 0.;</t>
  </si>
  <si>
    <t>29, 6 0 347.240808 0.;</t>
  </si>
  <si>
    <t>30, 6 0 0. 0.;</t>
  </si>
  <si>
    <t>31, 7 0 548.507446 0.;</t>
  </si>
  <si>
    <t>32, 7 0 546.899658 0.;</t>
  </si>
  <si>
    <t>33, 7 0 284.439652 0.;</t>
  </si>
  <si>
    <t>34, 8 0 548.270264 0.;</t>
  </si>
  <si>
    <t>35, 8 0 544.840088 0.;</t>
  </si>
  <si>
    <t>41, 8 0 0. 0.;</t>
  </si>
  <si>
    <t>43, 9 0 347.002772 0.;</t>
  </si>
  <si>
    <t>44, 9 0 179.096049 0.;</t>
  </si>
  <si>
    <t>45, 10 0 0. 0.;</t>
  </si>
  <si>
    <t>46, 10 0 273.655503 0.;</t>
  </si>
  <si>
    <t>47, 10 0 262.632641 0.;</t>
  </si>
  <si>
    <t>48, 11 0 440.346949 0.;</t>
  </si>
  <si>
    <t>49, 11 0 450.377925 0.;</t>
  </si>
  <si>
    <t>50, 11 0 441.160038 0.;</t>
  </si>
  <si>
    <t>51, 12 0 343.361986 0.;</t>
  </si>
  <si>
    <t>52, 12 0 340.015523 0.;</t>
  </si>
  <si>
    <t>53, 12 0 0. 0.;</t>
  </si>
  <si>
    <t>54, 12 0 0. 0.;</t>
  </si>
  <si>
    <t>59, 12 0 1518.594971 0.;</t>
  </si>
  <si>
    <t>60, 13 0 1518.594971 0.;</t>
  </si>
  <si>
    <t>61, 14 0 335.723817 0.;</t>
  </si>
  <si>
    <t>62, 14 0 334.561938 0.;</t>
  </si>
  <si>
    <t>63, 14 0 0. 0.;</t>
  </si>
  <si>
    <t>64, 15 0 264.008636 0.;</t>
  </si>
  <si>
    <t>65, 15 0 261.541962 0.;</t>
  </si>
  <si>
    <t>66, 16 0 255.325202 0.;</t>
  </si>
  <si>
    <t>67, 16 0 799.740967 0.;</t>
  </si>
  <si>
    <t>68, 16 0 0. 0.;</t>
  </si>
  <si>
    <t>69, 16 0 0. 0.;</t>
  </si>
  <si>
    <t>70, 16 0 0. 0.;</t>
  </si>
  <si>
    <t>71, 16 0 0. 0.;</t>
  </si>
  <si>
    <t>72, 16 0 0. 0.;</t>
  </si>
  <si>
    <t>KYS1_rec27</t>
  </si>
  <si>
    <t>. wrong;</t>
  </si>
  <si>
    <t>4, 1 0 377.64035 0.;</t>
  </si>
  <si>
    <t>0/16 : 12/16</t>
  </si>
  <si>
    <t>0/16 : 14/16</t>
  </si>
  <si>
    <t>5, 1 0 381.839538 0.;</t>
  </si>
  <si>
    <t>6, 1 0 377.872986 0.;</t>
  </si>
  <si>
    <t>11, 2 0 0. 0.;</t>
  </si>
  <si>
    <t>12, 2 0 444.955139 0.;</t>
  </si>
  <si>
    <t>13, 3 0 424.604652 0.;</t>
  </si>
  <si>
    <t>14, 3 0 374.681396 0.;</t>
  </si>
  <si>
    <t>15, 3 0 751.704529 0.;</t>
  </si>
  <si>
    <t>16, 4 0 375.834499 0.;</t>
  </si>
  <si>
    <t>17, 4 0 375.834499 0.;</t>
  </si>
  <si>
    <t>18, 4 0 379.30326 0.;</t>
  </si>
  <si>
    <t>19, 4 0 367.067474 0.;</t>
  </si>
  <si>
    <t>20, 4 0 0. 0.;</t>
  </si>
  <si>
    <t>23, 4 0 0. 0.;</t>
  </si>
  <si>
    <t>24, 4 0 0. 0.;</t>
  </si>
  <si>
    <t>25, 4 0 0. 0.;</t>
  </si>
  <si>
    <t>26, 5 0 380.946096 0.;</t>
  </si>
  <si>
    <t>27, 5 0 385.489502 0.;</t>
  </si>
  <si>
    <t>28, 6 0 344.566143 0.;</t>
  </si>
  <si>
    <t>29, 6 0 341.925126 0.;</t>
  </si>
  <si>
    <t>30, 6 0 347.370122 0.;</t>
  </si>
  <si>
    <t>31, 7 0 384.389862 0.;</t>
  </si>
  <si>
    <t>32, 7 0 524.040222 0.;</t>
  </si>
  <si>
    <t>33, 7 0 388.546265 0.;</t>
  </si>
  <si>
    <t>34, 8 0 0. 0.;</t>
  </si>
  <si>
    <t>35, 8 0 264.864868 0.;</t>
  </si>
  <si>
    <t>37, 8 0 368.53574 0.;</t>
  </si>
  <si>
    <t>43, 9 0 341.09789 0.;</t>
  </si>
  <si>
    <t>44, 9 0 339.854823 0.;</t>
  </si>
  <si>
    <t>46, 10 0 255.438386 0.;</t>
  </si>
  <si>
    <t>48, 11 0 407.484024 0.;</t>
  </si>
  <si>
    <t>49, 11 0 419.317473 0.;</t>
  </si>
  <si>
    <t>50, 11 0 0. 0.;</t>
  </si>
  <si>
    <t>51, 12 0 340.990594 0.;</t>
  </si>
  <si>
    <t>52, 12 0 336.550698 0.;</t>
  </si>
  <si>
    <t>53, 12 0 333.894554 0.;</t>
  </si>
  <si>
    <t>54, 12 0 335.271545 0.;</t>
  </si>
  <si>
    <t>59, 13 0 373.405974 0.;</t>
  </si>
  <si>
    <t>60, 13 0 372.466217 0.;</t>
  </si>
  <si>
    <t>61, 14 0 342.717201 0.;</t>
  </si>
  <si>
    <t>62, 14 0 332.572353 0.;</t>
  </si>
  <si>
    <t>64, 15 0 0. 0.;</t>
  </si>
  <si>
    <t>65, 15 0 0. 0.;</t>
  </si>
  <si>
    <t>66, 16 0 0. 0.;</t>
  </si>
  <si>
    <t>67, 16 0 0. 0.;</t>
  </si>
  <si>
    <t>KYS2_rec4</t>
  </si>
  <si>
    <t>6, 1 0 0. 0.;</t>
  </si>
  <si>
    <t>8, 1 0 0. 0.;</t>
  </si>
  <si>
    <t>9, 1 0 358.650578 0.;</t>
  </si>
  <si>
    <t>10, 1 0 364.2075 0.;</t>
  </si>
  <si>
    <t>11, 1 0 409.597534 0.;</t>
  </si>
  <si>
    <t>12, 2 0 430.243896 0.;</t>
  </si>
  <si>
    <t>13, 2 0 429.016932 0.;</t>
  </si>
  <si>
    <t>14, 2 0 440.166257 0.;</t>
  </si>
  <si>
    <t>15, 3 0 359.627718 0.;</t>
  </si>
  <si>
    <t>16, 3 0 361.906078 0.;</t>
  </si>
  <si>
    <t>17, 3 0 361.32298 0.;</t>
  </si>
  <si>
    <t>18, 4 0 358.148936 0.;</t>
  </si>
  <si>
    <t>19, 4 0 361.507759 0.;</t>
  </si>
  <si>
    <t>20, 4 0 356.54034 0.;</t>
  </si>
  <si>
    <t>21, 4 0 359.700666 0.;</t>
  </si>
  <si>
    <t>22, 4 0 359.836574 0.;</t>
  </si>
  <si>
    <t>23, 4 0 347.810345 0.;</t>
  </si>
  <si>
    <t>24, 4 0 348.157898 0.;</t>
  </si>
  <si>
    <t>26, 4 0 0. 0.;</t>
  </si>
  <si>
    <t>27, 5 0 360.511517 0.;</t>
  </si>
  <si>
    <t>28, 5 0 359.862389 0.;</t>
  </si>
  <si>
    <t>29, 5 0 357.413388 0.;</t>
  </si>
  <si>
    <t>30, 6 0 339.302661 0.;</t>
  </si>
  <si>
    <t>31, 6 0 337.167472 0.;</t>
  </si>
  <si>
    <t>32, 6 0 0. 0.;</t>
  </si>
  <si>
    <t>33, 7 0 263.677124 0.;</t>
  </si>
  <si>
    <t>34, 7 0 260.286682 0.;</t>
  </si>
  <si>
    <t>35, 7 0 776.829285 0.;</t>
  </si>
  <si>
    <t>36, 8 0 776.829285 0.;</t>
  </si>
  <si>
    <t>37, 8 0 776.829285 0.;</t>
  </si>
  <si>
    <t>40, 8 0 266.949158 0.;</t>
  </si>
  <si>
    <t>43, 9 0 332.469409 0.;</t>
  </si>
  <si>
    <t>44, 9 0 334.119366 0.;</t>
  </si>
  <si>
    <t>45, 9 0 333.16774 0.;</t>
  </si>
  <si>
    <t>47, 10 0 786.096252 0.;</t>
  </si>
  <si>
    <t>49, 11 0 0. 0.;</t>
  </si>
  <si>
    <t>50, 11 0 425.406339 0.;</t>
  </si>
  <si>
    <t>51, 11 0 412.865886 0.;</t>
  </si>
  <si>
    <t>52, 12 0 0. 0.;</t>
  </si>
  <si>
    <t>53, 12 0 334.13362 0.;</t>
  </si>
  <si>
    <t>54, 12 0 332.294321 0.;</t>
  </si>
  <si>
    <t>55, 12 0 332.175661 0.;</t>
  </si>
  <si>
    <t>56, 12 0 332.772127 0.;</t>
  </si>
  <si>
    <t>57, 12 0 331.485387 0.;</t>
  </si>
  <si>
    <t>59, 12 0 0. 0.;</t>
  </si>
  <si>
    <t>60, 13 0 363.50789 0.;</t>
  </si>
  <si>
    <t>61, 13 0 363.678711 0.;</t>
  </si>
  <si>
    <t>62, 14 0 336.996698 0.;</t>
  </si>
  <si>
    <t>63, 14 0 341.501844 0.;</t>
  </si>
  <si>
    <t>64, 14 0 0. 0.;</t>
  </si>
  <si>
    <t>66, 15 0 271.198628 0.;</t>
  </si>
  <si>
    <t>67, 15 0 0. 0.;</t>
  </si>
  <si>
    <t>68, 15 0 0. 0.;</t>
  </si>
  <si>
    <t>69, 15 0 0. 0.;</t>
  </si>
  <si>
    <t>KYS2_rec15</t>
  </si>
  <si>
    <t>2, 1 0 331.949309 0.;</t>
  </si>
  <si>
    <t>3, 1 0 335.029418 0.;</t>
  </si>
  <si>
    <t>4/16 : 9/16</t>
  </si>
  <si>
    <t>5, 1 0 337.20337 0.;</t>
  </si>
  <si>
    <t>9, 1 0 334.694535 0.;</t>
  </si>
  <si>
    <t>10, 1 0 372.82608 0.;</t>
  </si>
  <si>
    <t>11, 2 0 405.833137 0.;</t>
  </si>
  <si>
    <t>12, 2 0 402.306459 0.;</t>
  </si>
  <si>
    <t>13, 3 0 342.231741 0.;</t>
  </si>
  <si>
    <t>14, 3 0 344.044292 0.;</t>
  </si>
  <si>
    <t>15, 4 0 342.622311 0.;</t>
  </si>
  <si>
    <t>16, 4 0 346.304353 0.;</t>
  </si>
  <si>
    <t>17, 4 0 336.315181 0.;</t>
  </si>
  <si>
    <t>18, 4 0 323.869548 0.;</t>
  </si>
  <si>
    <t>19, 4 0 329.726707 0.;</t>
  </si>
  <si>
    <t>20, 4 0 331.711026 0.;</t>
  </si>
  <si>
    <t>23, 5 0 326.834509 0.;</t>
  </si>
  <si>
    <t>24, 6 0 328.451067 0.;</t>
  </si>
  <si>
    <t>25, 6 0 312.203271 0.;</t>
  </si>
  <si>
    <t>26, 6 0 316.068762 0.;</t>
  </si>
  <si>
    <t>28, 7 0 230.890045 0.;</t>
  </si>
  <si>
    <t>29, 7 0 231.857247 0.;</t>
  </si>
  <si>
    <t>30, 8 0 0. 0.;</t>
  </si>
  <si>
    <t>31, 8 0 232.132275 0.;</t>
  </si>
  <si>
    <t>32, 8 0 232.226009 0.;</t>
  </si>
  <si>
    <t>33, 8 0 224.427475 0.;</t>
  </si>
  <si>
    <t>34, 8 0 228.647834 0.;</t>
  </si>
  <si>
    <t>37, 9 0 0. 0.;</t>
  </si>
  <si>
    <t>38, 9 0 0. 0.;</t>
  </si>
  <si>
    <t>39, 9 0 312.173924 0.;</t>
  </si>
  <si>
    <t>40, 9 0 314.882971 0.;</t>
  </si>
  <si>
    <t>41, 9 0 315.110641 0.;</t>
  </si>
  <si>
    <t>42, 10 0 305.09433 0.;</t>
  </si>
  <si>
    <t>43, 10 0 0. 0.;</t>
  </si>
  <si>
    <t>44, 10 0 0. 0.;</t>
  </si>
  <si>
    <t>45, 10 0 776.408447 0.;</t>
  </si>
  <si>
    <t>46, 11 0 397.297302 0.;</t>
  </si>
  <si>
    <t>47, 11 0 399.964287 0.;</t>
  </si>
  <si>
    <t>48, 12 0 313.719513 0.;</t>
  </si>
  <si>
    <t>49, 12 0 322.829699 0.;</t>
  </si>
  <si>
    <t>50, 12 0 318.763518 0.;</t>
  </si>
  <si>
    <t>51, 12 0 314.109609 0.;</t>
  </si>
  <si>
    <t>52, 12 0 317.843192 0.;</t>
  </si>
  <si>
    <t>54, 13 0 0. 0.;</t>
  </si>
  <si>
    <t>55, 13 0 0. 0.;</t>
  </si>
  <si>
    <t>56, 13 0 0. 0.;</t>
  </si>
  <si>
    <t>57, 13 0 0. 0.;</t>
  </si>
  <si>
    <t>58, 13 0 0. 0.;</t>
  </si>
  <si>
    <t>59, 13 0 0. 0.;</t>
  </si>
  <si>
    <t>60, 13 0 0. 0.;</t>
  </si>
  <si>
    <t>61, 13 0 0. 0.;</t>
  </si>
  <si>
    <t>62, 13 0 333.780569 0.;</t>
  </si>
  <si>
    <t>63, 13 0 335.840487 0.;</t>
  </si>
  <si>
    <t>64, 14 0 318.281981 0.;</t>
  </si>
  <si>
    <t>65, 14 0 322.97324 0.;</t>
  </si>
  <si>
    <t>66, 15 0 0. 0.;</t>
  </si>
  <si>
    <t>KYS2_rec30</t>
  </si>
  <si>
    <t>6/16 : 6/16</t>
  </si>
  <si>
    <t>7/16 : 9/16</t>
  </si>
  <si>
    <t>9, 1 0 347.015126 0.;</t>
  </si>
  <si>
    <t>10, 1 0 350.887797 0.;</t>
  </si>
  <si>
    <t>11, 2 0 353.827559 0.;</t>
  </si>
  <si>
    <t>12, 2 0 424.015601 0.;</t>
  </si>
  <si>
    <t>13, 2 0 414.390916 0.;</t>
  </si>
  <si>
    <t>14, 3 0 337.576264 0.;</t>
  </si>
  <si>
    <t>15, 3 0 338.526003 0.;</t>
  </si>
  <si>
    <t>16, 3 0 340.442486 0.;</t>
  </si>
  <si>
    <t>17, 4 0 341.781451 0.;</t>
  </si>
  <si>
    <t>18, 4 0 339.88565 0.;</t>
  </si>
  <si>
    <t>19, 4 0 341.557214 0.;</t>
  </si>
  <si>
    <t>20, 4 0 341.660955 0.;</t>
  </si>
  <si>
    <t>21, 4 0 341.187134 0.;</t>
  </si>
  <si>
    <t>22, 4 0 318.641039 0.;</t>
  </si>
  <si>
    <t>25, 5 0 341.069615 0.;</t>
  </si>
  <si>
    <t>26, 5 0 341.185465 0.;</t>
  </si>
  <si>
    <t>27, 5 0 315.535105 0.;</t>
  </si>
  <si>
    <t>28, 6 0 325.248431 0.;</t>
  </si>
  <si>
    <t>29, 6 0 220.745285 0.;</t>
  </si>
  <si>
    <t>30, 7 0 237.647966 0.;</t>
  </si>
  <si>
    <t>31, 7 0 237.046338 0.;</t>
  </si>
  <si>
    <t>32, 7 0 238.102018 0.;</t>
  </si>
  <si>
    <t>33, 8 0 232.717682 0.;</t>
  </si>
  <si>
    <t>34, 8 0 236.531586 0.;</t>
  </si>
  <si>
    <t>35, 8 0 227.353148 0.;</t>
  </si>
  <si>
    <t>36, 8 0 227.353148 0.;</t>
  </si>
  <si>
    <t>41, 9 0 323.458423 0.;</t>
  </si>
  <si>
    <t>42, 9 0 326.082224 0.;</t>
  </si>
  <si>
    <t>44, 10 0 234.574463 0.;</t>
  </si>
  <si>
    <t>46, 11 0 414.768979 0.;</t>
  </si>
  <si>
    <t>47, 11 0 408.944139 0.;</t>
  </si>
  <si>
    <t>48, 12 0 406.326782 0.;</t>
  </si>
  <si>
    <t>49, 12 0 325.982495 0.;</t>
  </si>
  <si>
    <t>50, 12 0 326.600798 0.;</t>
  </si>
  <si>
    <t>51, 12 0 327.362746 0.;</t>
  </si>
  <si>
    <t>52, 12 0 326.19465 0.;</t>
  </si>
  <si>
    <t>53, 12 0 315.451348 0.;</t>
  </si>
  <si>
    <t>57, 12 0 337.659499 0.;</t>
  </si>
  <si>
    <t>58, 13 0 342.009456 0.;</t>
  </si>
  <si>
    <t>59, 13 0 340.353368 0.;</t>
  </si>
  <si>
    <t>60, 14 0 329.39644 0.;</t>
  </si>
  <si>
    <t>61, 14 0 328.779034 0.;</t>
  </si>
  <si>
    <t>62, 15 0 0. 0.;</t>
  </si>
  <si>
    <t>63, 15 0 232.922546 0.;</t>
  </si>
  <si>
    <t>64, 15 0 238.565997 0.;</t>
  </si>
  <si>
    <t>65, 16 0 240.777122 0.;</t>
  </si>
  <si>
    <t>66, 16 0 226.949035 0.;</t>
  </si>
  <si>
    <t>LSB1_rec3</t>
  </si>
  <si>
    <t>1/16 : 13/16</t>
  </si>
  <si>
    <t>6, 1 0 286.870761 0.;</t>
  </si>
  <si>
    <t>7, 1 0 289.568182 0.;</t>
  </si>
  <si>
    <t>8, 2 0 291.038221 0.;</t>
  </si>
  <si>
    <t>9, 2 0 376.363367 0.;</t>
  </si>
  <si>
    <t>10, 2 0 379.473834 0.;</t>
  </si>
  <si>
    <t>12, 3 0 298.301547 0.;</t>
  </si>
  <si>
    <t>13, 3 0 296.257202 0.;</t>
  </si>
  <si>
    <t>14, 4 0 292.425837 0.;</t>
  </si>
  <si>
    <t>16, 4 0 298.715615 0.;</t>
  </si>
  <si>
    <t>17, 4 0 293.88628 0.;</t>
  </si>
  <si>
    <t>18, 4 0 289.496735 0.;</t>
  </si>
  <si>
    <t>19, 4 0 212.805657 0.;</t>
  </si>
  <si>
    <t>23, 5 0 290.640534 0.;</t>
  </si>
  <si>
    <t>24, 5 0 292.861055 0.;</t>
  </si>
  <si>
    <t>25, 5 0 285.698679 0.;</t>
  </si>
  <si>
    <t>26, 6 0 0. 0.;</t>
  </si>
  <si>
    <t>27, 6 0 265.402517 0.;</t>
  </si>
  <si>
    <t>28, 6 0 266.248731 0.;</t>
  </si>
  <si>
    <t>29, 7 0 0. 0.;</t>
  </si>
  <si>
    <t>30, 7 0 208.515181 0.;</t>
  </si>
  <si>
    <t>31, 7 0 209.462422 0.;</t>
  </si>
  <si>
    <t>32, 8 0 0. 0.;</t>
  </si>
  <si>
    <t>33, 8 0 0. 0.;</t>
  </si>
  <si>
    <t>40, 9 0 0. 0.;</t>
  </si>
  <si>
    <t>41, 9 0 266.155052 0.;</t>
  </si>
  <si>
    <t>42, 9 0 269.60581 0.;</t>
  </si>
  <si>
    <t>46, 10 0 268.044419 0.;</t>
  </si>
  <si>
    <t>47, 11 0 0. 0.;</t>
  </si>
  <si>
    <t>48, 11 0 301.465024 0.;</t>
  </si>
  <si>
    <t>50, 11 0 220.416428 0.;</t>
  </si>
  <si>
    <t>51, 12 0 0. 0.;</t>
  </si>
  <si>
    <t>53, 12 0 407.70474 0.;</t>
  </si>
  <si>
    <t>54, 12 0 418.901232 0.;</t>
  </si>
  <si>
    <t>55, 12 0 192.738129 0.;</t>
  </si>
  <si>
    <t>57, 12 0 191.726084 0.;</t>
  </si>
  <si>
    <t>61, 12 0 271.780029 0.;</t>
  </si>
  <si>
    <t>65, 14 0 309.699509 0.;</t>
  </si>
  <si>
    <t>66, 14 0 314.550659 0.;</t>
  </si>
  <si>
    <t>69, 15 0 275.851841 0.;</t>
  </si>
  <si>
    <t>70, 15 0 272.266226 0.;</t>
  </si>
  <si>
    <t>73, 16 0 221.608047 0.;</t>
  </si>
  <si>
    <t>LSB1_rec10</t>
  </si>
  <si>
    <t>1/16 : 5/16</t>
  </si>
  <si>
    <t>3/16 : 13/16</t>
  </si>
  <si>
    <t>7, 1 0 287.473895 0.;</t>
  </si>
  <si>
    <t>8, 2 0 292.60788 0.;</t>
  </si>
  <si>
    <t>9, 2 0 368.967938 0.;</t>
  </si>
  <si>
    <t>10, 2 0 380.713051 0.;</t>
  </si>
  <si>
    <t>11, 3 0 379.197551 0.;</t>
  </si>
  <si>
    <t>12, 3 0 0. 0.;</t>
  </si>
  <si>
    <t>13, 3 0 0. 0.;</t>
  </si>
  <si>
    <t>14, 3 0 304.692829 0.;</t>
  </si>
  <si>
    <t>15, 4 0 307.801693 0.;</t>
  </si>
  <si>
    <t>16, 4 0 307.674438 0.;</t>
  </si>
  <si>
    <t>17, 4 0 297.494849 0.;</t>
  </si>
  <si>
    <t>18, 4 0 300.340546 0.;</t>
  </si>
  <si>
    <t>19, 4 0 295.356067 0.;</t>
  </si>
  <si>
    <t>20, 4 0 292.228912 0.;</t>
  </si>
  <si>
    <t>21, 4 0 289.546163 0.;</t>
  </si>
  <si>
    <t>24, 5 0 287.186553 0.;</t>
  </si>
  <si>
    <t>25, 5 0 292.439379 0.;</t>
  </si>
  <si>
    <t>26, 5 0 289.811232 0.;</t>
  </si>
  <si>
    <t>27, 6 0 267.703675 0.;</t>
  </si>
  <si>
    <t>28, 6 0 267.703675 0.;</t>
  </si>
  <si>
    <t>30, 7 0 213.700218 0.;</t>
  </si>
  <si>
    <t>31, 7 0 213.700218 0.;</t>
  </si>
  <si>
    <t>32, 7 0 211.206894 0.;</t>
  </si>
  <si>
    <t>34, 8 0 219.524338 0.;</t>
  </si>
  <si>
    <t>35, 8 0 222.440442 0.;</t>
  </si>
  <si>
    <t>41, 9 0 266.236593 0.;</t>
  </si>
  <si>
    <t>42, 9 0 269.393041 0.;</t>
  </si>
  <si>
    <t>43, 10 0 271.905792 0.;</t>
  </si>
  <si>
    <t>44, 10 0 218.316833 0.;</t>
  </si>
  <si>
    <t>45, 10 0 220.5 0.;</t>
  </si>
  <si>
    <t>46, 10 0 226.569368 0.;</t>
  </si>
  <si>
    <t>48, 11 0 373.197879 0.;</t>
  </si>
  <si>
    <t>49, 11 0 188.357278 0.;</t>
  </si>
  <si>
    <t>50, 12 0 0. 0.;</t>
  </si>
  <si>
    <t>51, 12 0 192.930613 0.;</t>
  </si>
  <si>
    <t>55, 12 0 189.922485 0.;</t>
  </si>
  <si>
    <t>59, 13 0 289.815833 0.;</t>
  </si>
  <si>
    <t>60, 13 0 292.246521 0.;</t>
  </si>
  <si>
    <t>61, 14 0 294.750491 0.;</t>
  </si>
  <si>
    <t>62, 14 0 295.867362 0.;</t>
  </si>
  <si>
    <t>63, 14 0 297.248787 0.;</t>
  </si>
  <si>
    <t>64, 14 0 293.825296 0.;</t>
  </si>
  <si>
    <t>66, 15 0 297.553494 0.;</t>
  </si>
  <si>
    <t>68, 15 0 294.342161 0.;</t>
  </si>
  <si>
    <t>69, 16 0 273.185852 0.;</t>
  </si>
  <si>
    <t>70, 16 0 268.955338 0.;</t>
  </si>
  <si>
    <t>72, 16 0 245.400183 0.;</t>
  </si>
  <si>
    <t>LSB1_rec26</t>
  </si>
  <si>
    <t>0/16 : 5/16</t>
  </si>
  <si>
    <t>1/16 : 14/16</t>
  </si>
  <si>
    <t>7, 1 0 304.487915 0.;</t>
  </si>
  <si>
    <t>8, 2 0 388.621084 0.;</t>
  </si>
  <si>
    <t>9, 2 0 401.069525 0.;</t>
  </si>
  <si>
    <t>10, 2 0 401.074949 0.;</t>
  </si>
  <si>
    <t>11, 3 0 399.626357 0.;</t>
  </si>
  <si>
    <t>12, 3 0 300.216413 0.;</t>
  </si>
  <si>
    <t>13, 3 0 297.517123 0.;</t>
  </si>
  <si>
    <t>16, 4 0 295.50519 0.;</t>
  </si>
  <si>
    <t>17, 4 0 291.171815 0.;</t>
  </si>
  <si>
    <t>18, 4 0 211.510788 0.;</t>
  </si>
  <si>
    <t>19, 4 0 211.510788 0.;</t>
  </si>
  <si>
    <t>24, 5 0 297.47049 0.;</t>
  </si>
  <si>
    <t>25, 5 0 297.767719 0.;</t>
  </si>
  <si>
    <t>26, 6 0 301.463927 0.;</t>
  </si>
  <si>
    <t>27, 6 0 299.781311 0.;</t>
  </si>
  <si>
    <t>29, 6 0 277.732868 0.;</t>
  </si>
  <si>
    <t>30, 6 0 278.319307 0.;</t>
  </si>
  <si>
    <t>31, 6 0 279.376468 0.;</t>
  </si>
  <si>
    <t>32, 7 0 272.122998 0.;</t>
  </si>
  <si>
    <t>33, 7 0 218.316833 0.;</t>
  </si>
  <si>
    <t>34, 7 0 219.402985 0.;</t>
  </si>
  <si>
    <t>35, 7 0 213.42722 0.;</t>
  </si>
  <si>
    <t>37, 8 0 210.210745 0.;</t>
  </si>
  <si>
    <t>38, 8 0 209.956432 0.;</t>
  </si>
  <si>
    <t>39, 8 0 211.423882 0.;</t>
  </si>
  <si>
    <t>40, 8 0 212.212653 0.;</t>
  </si>
  <si>
    <t>43, 8 0 0. 0.;</t>
  </si>
  <si>
    <t>44, 8 0 0. 0.;</t>
  </si>
  <si>
    <t>45, 9 0 273.577742 0.;</t>
  </si>
  <si>
    <t>46, 9 0 273.851805 0.;</t>
  </si>
  <si>
    <t>47, 9 0 276.96825 0.;</t>
  </si>
  <si>
    <t>49, 10 0 0. 0.;</t>
  </si>
  <si>
    <t>50, 10 0 232.717682 0.;</t>
  </si>
  <si>
    <t>51, 10 0 232.008338 0.;</t>
  </si>
  <si>
    <t>52, 11 0 0. 0.;</t>
  </si>
  <si>
    <t>53, 11 0 405.619783 0.;</t>
  </si>
  <si>
    <t>54, 11 0 417.370619 0.;</t>
  </si>
  <si>
    <t>55, 11 0 416.762493 0.;</t>
  </si>
  <si>
    <t>56, 12 0 204.353114 0.;</t>
  </si>
  <si>
    <t>57, 12 0 200.454544 0.;</t>
  </si>
  <si>
    <t>58, 12 0 275.790546 0.;</t>
  </si>
  <si>
    <t>59, 12 0 276.479146 0.;</t>
  </si>
  <si>
    <t>62, 12 0 0. 0.;</t>
  </si>
  <si>
    <t>64, 13 0 299.321289 0.;</t>
  </si>
  <si>
    <t>65, 13 0 311.665049 0.;</t>
  </si>
  <si>
    <t>66, 14 0 310.27862 0.;</t>
  </si>
  <si>
    <t>67, 14 0 307.665457 0.;</t>
  </si>
  <si>
    <t>68, 14 0 278.405879 0.;</t>
  </si>
  <si>
    <t>69, 14 0 282.068647 0.;</t>
  </si>
  <si>
    <t>70, 15 0 281.678324 0.;</t>
  </si>
  <si>
    <t>71, 15 0 0. 0.;</t>
  </si>
  <si>
    <t>73, 15 0 217.509247 0.;</t>
  </si>
  <si>
    <t>LSB2_rec4</t>
  </si>
  <si>
    <t>2, 1 0 273.244442 0.;</t>
  </si>
  <si>
    <t>3, 1 0 271.796766 0.;</t>
  </si>
  <si>
    <t>4, 1 0 252.240234 0.;</t>
  </si>
  <si>
    <t>3/16 : 8/16</t>
  </si>
  <si>
    <t>5, 2 0 251.607895 0.;</t>
  </si>
  <si>
    <t>7, 3 0 210.973754 0.;</t>
  </si>
  <si>
    <t>8, 3 0 207.637006 0.;</t>
  </si>
  <si>
    <t>9, 3 0 206.512728 0.;</t>
  </si>
  <si>
    <t>10, 4 0 208.675079 0.;</t>
  </si>
  <si>
    <t>11, 4 0 207.023678 0.;</t>
  </si>
  <si>
    <t>12, 4 0 208.158124 0.;</t>
  </si>
  <si>
    <t>13, 4 0 206.163956 0.;</t>
  </si>
  <si>
    <t>14, 4 0 206.500337 0.;</t>
  </si>
  <si>
    <t>15, 4 0 272.222229 0.;</t>
  </si>
  <si>
    <t>16, 5 0 259.614192 0.;</t>
  </si>
  <si>
    <t>17, 5 0 261.25592 0.;</t>
  </si>
  <si>
    <t>18, 5 0 260.11399 0.;</t>
  </si>
  <si>
    <t>19, 6 0 207.8125 0.;</t>
  </si>
  <si>
    <t>20, 6 0 217.111459 0.;</t>
  </si>
  <si>
    <t>21, 6 0 211.458316 0.;</t>
  </si>
  <si>
    <t>23, 7 0 368.461749 0.;</t>
  </si>
  <si>
    <t>24, 7 0 178.181824 0.;</t>
  </si>
  <si>
    <t>25, 8 0 0. 0.;</t>
  </si>
  <si>
    <t>26, 8 0 262.640531 0.;</t>
  </si>
  <si>
    <t>27, 8 0 261.470063 0.;</t>
  </si>
  <si>
    <t>28, 8 0 259.882141 0.;</t>
  </si>
  <si>
    <t>29, 8 0 257.726022 0.;</t>
  </si>
  <si>
    <t>30, 8 0 393.537852 0.;</t>
  </si>
  <si>
    <t>31, 8 0 384.593018 0.;</t>
  </si>
  <si>
    <t>32, 8 0 326.934896 0.;</t>
  </si>
  <si>
    <t>33, 8 0 282.052213 0.;</t>
  </si>
  <si>
    <t>34, 9 0 291.04984 0.;</t>
  </si>
  <si>
    <t>35, 9 0 288.567161 0.;</t>
  </si>
  <si>
    <t>36, 10 0 260.750391 0.;</t>
  </si>
  <si>
    <t>37, 10 0 263.03688 0.;</t>
  </si>
  <si>
    <t>38, 10 0 0. 0.;</t>
  </si>
  <si>
    <t>39, 11 0 423.021576 0.;</t>
  </si>
  <si>
    <t>40, 11 0 211.63768 0.;</t>
  </si>
  <si>
    <t>41, 11 0 0. 0.;</t>
  </si>
  <si>
    <t>42, 12 0 215.384889 0.;</t>
  </si>
  <si>
    <t>43, 12 0 216.368883 0.;</t>
  </si>
  <si>
    <t>44, 12 0 216.614112 0.;</t>
  </si>
  <si>
    <t>45, 12 0 218.470901 0.;</t>
  </si>
  <si>
    <t>46, 12 0 212.427734 0.;</t>
  </si>
  <si>
    <t>47, 12 0 0. 0.;</t>
  </si>
  <si>
    <t>48, 12 0 205.116272 0.;</t>
  </si>
  <si>
    <t>49, 12 0 205.304542 0.;</t>
  </si>
  <si>
    <t>50, 12 0 206.425402 0.;</t>
  </si>
  <si>
    <t>51, 12 0 206.726559 0.;</t>
  </si>
  <si>
    <t>53, 13 0 0. 0.;</t>
  </si>
  <si>
    <t>54, 14 0 0. 0.;</t>
  </si>
  <si>
    <t>55, 15 0 0. 0.;</t>
  </si>
  <si>
    <t>LSB2_rec8</t>
  </si>
  <si>
    <t>2, 1 0 269.298538 0.;</t>
  </si>
  <si>
    <t>3, 1 0 266.495987 0.;</t>
  </si>
  <si>
    <t>4, 1 0 180.545967 0.;</t>
  </si>
  <si>
    <t>2/16 : 7/16</t>
  </si>
  <si>
    <t>1/16 : 15/16</t>
  </si>
  <si>
    <t>5, 2 0 329.41248 0.;</t>
  </si>
  <si>
    <t>6, 2 0 350.557859 0.;</t>
  </si>
  <si>
    <t>7, 2 0 352.688576 0.;</t>
  </si>
  <si>
    <t>8, 3 0 327.271255 0.;</t>
  </si>
  <si>
    <t>9, 3 0 0. 0.;</t>
  </si>
  <si>
    <t>10, 3 0 284.240146 0.;</t>
  </si>
  <si>
    <t>11, 3 0 284.975769 0.;</t>
  </si>
  <si>
    <t>12, 3 0 287.731624 0.;</t>
  </si>
  <si>
    <t>14, 4 0 297.109626 0.;</t>
  </si>
  <si>
    <t>15, 4 0 297.191764 0.;</t>
  </si>
  <si>
    <t>16, 4 0 293.285036 0.;</t>
  </si>
  <si>
    <t>17, 4 0 292.629482 0.;</t>
  </si>
  <si>
    <t>18, 4 0 294.001387 0.;</t>
  </si>
  <si>
    <t>19, 4 0 291.776947 0.;</t>
  </si>
  <si>
    <t>20, 4 0 291.776947 0.;</t>
  </si>
  <si>
    <t>21, 4 0 300.595582 0.;</t>
  </si>
  <si>
    <t>22, 4 0 186.86441 0.;</t>
  </si>
  <si>
    <t>25, 5 0 286.363647 0.;</t>
  </si>
  <si>
    <t>26, 5 0 284.146519 0.;</t>
  </si>
  <si>
    <t>27, 5 0 284.38805 0.;</t>
  </si>
  <si>
    <t>28, 5 0 283.563287 0.;</t>
  </si>
  <si>
    <t>29, 6 0 281.130422 0.;</t>
  </si>
  <si>
    <t>30, 6 0 252.963684 0.;</t>
  </si>
  <si>
    <t>31, 6 0 255.877899 0.;</t>
  </si>
  <si>
    <t>32, 6 0 771.428528 0.;</t>
  </si>
  <si>
    <t>33, 7 0 252.401862 0.;</t>
  </si>
  <si>
    <t>34, 7 0 209.335829 0.;</t>
  </si>
  <si>
    <t>35, 7 0 211.11702 0.;</t>
  </si>
  <si>
    <t>36, 7 0 211.982686 0.;</t>
  </si>
  <si>
    <t>37, 8 0 209.50119 0.;</t>
  </si>
  <si>
    <t>38, 8 0 212.786734 0.;</t>
  </si>
  <si>
    <t>39, 8 0 211.648267 0.;</t>
  </si>
  <si>
    <t>40, 8 0 217.181008 0.;</t>
  </si>
  <si>
    <t>41, 8 0 214.917637 0.;</t>
  </si>
  <si>
    <t>42, 8 0 210.400757 0.;</t>
  </si>
  <si>
    <t>43, 8 0 176.399994 0.;</t>
  </si>
  <si>
    <t>45, 9 0 0. 0.;</t>
  </si>
  <si>
    <t>46, 9 0 252.85778 0.;</t>
  </si>
  <si>
    <t>47, 9 0 774.920105 0.;</t>
  </si>
  <si>
    <t>48, 9 0 771.917786 0.;</t>
  </si>
  <si>
    <t>49, 10 0 773.684204 0.;</t>
  </si>
  <si>
    <t>50, 10 0 236.719921 0.;</t>
  </si>
  <si>
    <t>51, 10 0 215.044478 0.;</t>
  </si>
  <si>
    <t>52, 10 0 211.764709 0.;</t>
  </si>
  <si>
    <t>53, 10 0 211.826281 0.;</t>
  </si>
  <si>
    <t>54, 11 0 0. 0.;</t>
  </si>
  <si>
    <t>55, 11 0 366.001419 0.;</t>
  </si>
  <si>
    <t>56, 11 0 369.932836 0.;</t>
  </si>
  <si>
    <t>57, 12 0 368.337128 0.;</t>
  </si>
  <si>
    <t>58, 12 0 369.421997 0.;</t>
  </si>
  <si>
    <t>59, 12 0 348.616608 0.;</t>
  </si>
  <si>
    <t>60, 12 0 192.082975 0.;</t>
  </si>
  <si>
    <t>62, 12 0 803.90625 0.;</t>
  </si>
  <si>
    <t>63, 12 0 255.582884 0.;</t>
  </si>
  <si>
    <t>65, 12 0 0. 0.;</t>
  </si>
  <si>
    <t>66, 12 0 0. 0.;</t>
  </si>
  <si>
    <t>67, 12 0 0. 0.;</t>
  </si>
  <si>
    <t>68, 13 0 290.986687 0.;</t>
  </si>
  <si>
    <t>69, 13 0 291.480997 0.;</t>
  </si>
  <si>
    <t>70, 13 0 291.744568 0.;</t>
  </si>
  <si>
    <t>71, 13 0 290.588883 0.;</t>
  </si>
  <si>
    <t>72, 14 0 258.804818 0.;</t>
  </si>
  <si>
    <t>73, 14 0 261.075711 0.;</t>
  </si>
  <si>
    <t>74, 14 0 260.566555 0.;</t>
  </si>
  <si>
    <t>75, 15 0 249.152542 0.;</t>
  </si>
  <si>
    <t>76, 15 0 208.648756 0.;</t>
  </si>
  <si>
    <t>77, 15 0 209.742849 0.;</t>
  </si>
  <si>
    <t>78, 15 0 208.776398 0.;</t>
  </si>
  <si>
    <t>79, 16 0 197.342719 0.;</t>
  </si>
  <si>
    <t>80, 16 0 386.842102 0.;</t>
  </si>
  <si>
    <t>81, 16 0 207.32652 0.;</t>
  </si>
  <si>
    <t>82, 16 0 204.426078 0.;</t>
  </si>
  <si>
    <t>83, 16 0 203.366572 0.;</t>
  </si>
  <si>
    <t>LSB2_rec20</t>
  </si>
  <si>
    <t>3, 1 0 193.421051 0.;</t>
  </si>
  <si>
    <t>4, 1 0 269.664391 0.;</t>
  </si>
  <si>
    <t>0/16 : 10/16</t>
  </si>
  <si>
    <t>2/16 : 14/16</t>
  </si>
  <si>
    <t>5, 1 0 272.86229 0.;</t>
  </si>
  <si>
    <t>6, 2 0 351.09466 0.;</t>
  </si>
  <si>
    <t>7, 2 0 369.55307 0.;</t>
  </si>
  <si>
    <t>8, 2 0 371.644804 0.;</t>
  </si>
  <si>
    <t>9, 3 0 494.579468 0.;</t>
  </si>
  <si>
    <t>10, 3 0 210.483257 0.;</t>
  </si>
  <si>
    <t>12, 3 0 732.287842 0.;</t>
  </si>
  <si>
    <t>13, 3 0 282.534778 0.;</t>
  </si>
  <si>
    <t>14, 4 0 274.671998 0.;</t>
  </si>
  <si>
    <t>16, 4 0 272.232923 0.;</t>
  </si>
  <si>
    <t>17, 4 0 270.967807 0.;</t>
  </si>
  <si>
    <t>18, 4 0 258.75943 0.;</t>
  </si>
  <si>
    <t>19, 4 0 263.021851 0.;</t>
  </si>
  <si>
    <t>20, 4 0 259.177216 0.;</t>
  </si>
  <si>
    <t>21, 4 0 259.177216 0.;</t>
  </si>
  <si>
    <t>25, 5 0 204.783227 0.;</t>
  </si>
  <si>
    <t>26, 5 0 271.216349 0.;</t>
  </si>
  <si>
    <t>27, 5 0 270.368309 0.;</t>
  </si>
  <si>
    <t>28, 6 0 270.35908 0.;</t>
  </si>
  <si>
    <t>30, 6 0 239.07811 0.;</t>
  </si>
  <si>
    <t>31, 6 0 240.668583 0.;</t>
  </si>
  <si>
    <t>32, 6 0 240.952733 0.;</t>
  </si>
  <si>
    <t>33, 7 0 0. 0.;</t>
  </si>
  <si>
    <t>34, 7 0 194.30304 0.;</t>
  </si>
  <si>
    <t>35, 7 0 192.672987 0.;</t>
  </si>
  <si>
    <t>37, 8 0 247.977419 0.;</t>
  </si>
  <si>
    <t>38, 8 0 183.706401 0.;</t>
  </si>
  <si>
    <t>39, 8 0 183.053515 0.;</t>
  </si>
  <si>
    <t>40, 8 0 182.504182 0.;</t>
  </si>
  <si>
    <t>41, 8 0 512.79071 0.;</t>
  </si>
  <si>
    <t>45, 8 0 0. 0.;</t>
  </si>
  <si>
    <t>46, 9 0 241.776321 0.;</t>
  </si>
  <si>
    <t>47, 9 0 235.201528 0.;</t>
  </si>
  <si>
    <t>48, 9 0 238.898421 0.;</t>
  </si>
  <si>
    <t>49, 9 0 238.056686 0.;</t>
  </si>
  <si>
    <t>50, 10 0 0. 0.;</t>
  </si>
  <si>
    <t>51, 10 0 188.83997 0.;</t>
  </si>
  <si>
    <t>52, 10 0 219.039734 0.;</t>
  </si>
  <si>
    <t>53, 10 0 188.193466 0.;</t>
  </si>
  <si>
    <t>54, 11 0 174.653473 0.;</t>
  </si>
  <si>
    <t>55, 11 0 357.410523 0.;</t>
  </si>
  <si>
    <t>56, 11 0 357.299361 0.;</t>
  </si>
  <si>
    <t>58, 12 0 245.760623 0.;</t>
  </si>
  <si>
    <t>59, 12 0 287.109375 0.;</t>
  </si>
  <si>
    <t>60, 12 0 231.698776 0.;</t>
  </si>
  <si>
    <t>61, 12 0 236.834793 0.;</t>
  </si>
  <si>
    <t>62, 12 0 244.321335 0.;</t>
  </si>
  <si>
    <t>63, 12 0 242.728246 0.;</t>
  </si>
  <si>
    <t>64, 12 0 246.09375 0.;</t>
  </si>
  <si>
    <t>65, 12 0 244.547134 0.;</t>
  </si>
  <si>
    <t>67, 13 0 0. 0.;</t>
  </si>
  <si>
    <t>68, 13 0 0. 0.;</t>
  </si>
  <si>
    <t>69, 13 0 238.731716 0.;</t>
  </si>
  <si>
    <t>70, 13 0 266.733887 0.;</t>
  </si>
  <si>
    <t>71, 13 0 274.377808 0.;</t>
  </si>
  <si>
    <t>72, 13 0 0. 0.;</t>
  </si>
  <si>
    <t>73, 14 0 246.377939 0.;</t>
  </si>
  <si>
    <t>74, 14 0 244.539308 0.;</t>
  </si>
  <si>
    <t>75, 14 0 233.534819 0.;</t>
  </si>
  <si>
    <t>76, 15 0 194.142429 0.;</t>
  </si>
  <si>
    <t>77, 15 0 190.38427 0.;</t>
  </si>
  <si>
    <t>78, 15 0 180.24507 0.;</t>
  </si>
  <si>
    <t>80, 16 0 183.5041 0.;</t>
  </si>
  <si>
    <t>81, 16 0 183.531497 0.;</t>
  </si>
  <si>
    <t>82, 16 0 183.531497 0.;</t>
  </si>
  <si>
    <t>83, 16 0 183.531497 0.;</t>
  </si>
  <si>
    <t>LSY1_rec5</t>
  </si>
  <si>
    <t>4/16 : 4/16</t>
  </si>
  <si>
    <t>7, 1 0 357.166758 0.;</t>
  </si>
  <si>
    <t>8, 1 0 367.501127 0.;</t>
  </si>
  <si>
    <t>9, 2 0 410.673529 0.;</t>
  </si>
  <si>
    <t>10, 2 0 402.535492 0.;</t>
  </si>
  <si>
    <t>11, 3 0 360.851705 0.;</t>
  </si>
  <si>
    <t>12, 3 0 358.497449 0.;</t>
  </si>
  <si>
    <t>13, 3 0 359.937333 0.;</t>
  </si>
  <si>
    <t>21, 4 0 358.656059 0.;</t>
  </si>
  <si>
    <t>22, 4 0 354.216858 0.;</t>
  </si>
  <si>
    <t>25, 6 0 366.916247 0.;</t>
  </si>
  <si>
    <t>26, 6 0 319.565216 0.;</t>
  </si>
  <si>
    <t>28, 7 0 241.939484 0.;</t>
  </si>
  <si>
    <t>31, 8 0 0. 0.;</t>
  </si>
  <si>
    <t>39, 9 0 399.768912 0.;</t>
  </si>
  <si>
    <t>40, 9 0 320.707404 0.;</t>
  </si>
  <si>
    <t>41, 10 0 334.090912 0.;</t>
  </si>
  <si>
    <t>42, 10 0 0. 0.;</t>
  </si>
  <si>
    <t>43, 11 0 0. 0.;</t>
  </si>
  <si>
    <t>44, 11 0 803.90625 0.;</t>
  </si>
  <si>
    <t>45, 11 0 403.132864 0.;</t>
  </si>
  <si>
    <t>46, 12 0 395.032593 0.;</t>
  </si>
  <si>
    <t>48, 12 0 0. 0.;</t>
  </si>
  <si>
    <t>49, 12 0 0. 0.;</t>
  </si>
  <si>
    <t>59, 14 0 0. 0.;</t>
  </si>
  <si>
    <t>60, 15 0 0. 0.;</t>
  </si>
  <si>
    <t>61, 16 0 0. 0.;</t>
  </si>
  <si>
    <t>LSY1_rec38</t>
  </si>
  <si>
    <t>2, 1 0 354.990267 0.;</t>
  </si>
  <si>
    <t>3, 1 0 357.78081 0.;</t>
  </si>
  <si>
    <t>4, 1 0 419.846783 0.;</t>
  </si>
  <si>
    <t>5/16 : 5/16</t>
  </si>
  <si>
    <t>5, 1 0 479.677098 0.;</t>
  </si>
  <si>
    <t>6, 1 0 480.868567 0.;</t>
  </si>
  <si>
    <t>7, 1 0 364.310799 0.;</t>
  </si>
  <si>
    <t>9, 1 0 370.854403 0.;</t>
  </si>
  <si>
    <t>10, 2 0 469.757831 0.;</t>
  </si>
  <si>
    <t>12, 4 0 366.455021 0.;</t>
  </si>
  <si>
    <t>17, 5 0 0. 0.;</t>
  </si>
  <si>
    <t>18, 5 0 0. 0.;</t>
  </si>
  <si>
    <t>19, 6 0 182.071979 0.;</t>
  </si>
  <si>
    <t>20, 7 0 322.924847 0.;</t>
  </si>
  <si>
    <t>21, 7 0 239.209454 0.;</t>
  </si>
  <si>
    <t>22, 8 0 240.411832 0.;</t>
  </si>
  <si>
    <t>23, 8 0 0. 0.;</t>
  </si>
  <si>
    <t>24, 8 0 0. 0.;</t>
  </si>
  <si>
    <t>27, 9 0 0. 0.;</t>
  </si>
  <si>
    <t>28, 9 0 323.256179 0.;</t>
  </si>
  <si>
    <t>29, 10 0 327.251297 0.;</t>
  </si>
  <si>
    <t>30, 10 0 0. 0.;</t>
  </si>
  <si>
    <t>31, 11 0 469.163495 0.;</t>
  </si>
  <si>
    <t>32, 11 0 467.98157 0.;</t>
  </si>
  <si>
    <t>33, 12 0 318.247437 0.;</t>
  </si>
  <si>
    <t>34, 12 0 0. 0.;</t>
  </si>
  <si>
    <t>35, 12 0 321.027496 0.;</t>
  </si>
  <si>
    <t>36, 12 0 0. 0.;</t>
  </si>
  <si>
    <t>37, 12 0 321.304383 0.;</t>
  </si>
  <si>
    <t>38, 12 0 364.68593 0.;</t>
  </si>
  <si>
    <t>39, 13 0 182.268178 0.;</t>
  </si>
  <si>
    <t>40, 14 0 318.875521 0.;</t>
  </si>
  <si>
    <t>41, 15 0 803.90625 0.;</t>
  </si>
  <si>
    <t>42, 15 0 245.682449 0.;</t>
  </si>
  <si>
    <t>43, 16 0 218.858566 0.;</t>
  </si>
  <si>
    <t>44, 16 0 0. 0.;</t>
  </si>
  <si>
    <t>45, 16 0 0. 0.;</t>
  </si>
  <si>
    <t>46, 16 0 0. 0.;</t>
  </si>
  <si>
    <t>LSY1_rec40</t>
  </si>
  <si>
    <t>4, 1 0 361.628489 0.;</t>
  </si>
  <si>
    <t>13/16 : 1/16</t>
  </si>
  <si>
    <t>5, 1 0 358.328455 0.;</t>
  </si>
  <si>
    <t>6, 2 0 374.101776 0.;</t>
  </si>
  <si>
    <t>7, 2 0 480.511193 0.;</t>
  </si>
  <si>
    <t>8, 3 0 463.630542 0.;</t>
  </si>
  <si>
    <t>9, 3 0 367.549503 0.;</t>
  </si>
  <si>
    <t>10, 3 0 363.366065 0.;</t>
  </si>
  <si>
    <t>14, 4 0 366.806212 0.;</t>
  </si>
  <si>
    <t>15, 4 0 364.818755 0.;</t>
  </si>
  <si>
    <t>16, 4 0 367.146726 0.;</t>
  </si>
  <si>
    <t>17, 5 0 365.20644 0.;</t>
  </si>
  <si>
    <t>18, 6 0 321.175729 0.;</t>
  </si>
  <si>
    <t>19, 6 0 320.331912 0.;</t>
  </si>
  <si>
    <t>20, 7 0 242.111064 0.;</t>
  </si>
  <si>
    <t>21, 7 0 244.095932 0.;</t>
  </si>
  <si>
    <t>22, 8 0 0. 0.;</t>
  </si>
  <si>
    <t>26, 8 0 238.640623 0.;</t>
  </si>
  <si>
    <t>27, 9 0 805.196655 0.;</t>
  </si>
  <si>
    <t>28, 9 0 320.869669 0.;</t>
  </si>
  <si>
    <t>29, 10 0 239.134753 0.;</t>
  </si>
  <si>
    <t>30, 10 0 245.414999 0.;</t>
  </si>
  <si>
    <t>31, 11 0 490.484849 0.;</t>
  </si>
  <si>
    <t>32, 11 0 478.065769 0.;</t>
  </si>
  <si>
    <t>33, 12 0 0. 0.;</t>
  </si>
  <si>
    <t>35, 12 0 320.013044 0.;</t>
  </si>
  <si>
    <t>36, 12 0 318.790872 0.;</t>
  </si>
  <si>
    <t>37, 12 0 317.02327 0.;</t>
  </si>
  <si>
    <t>38, 13 0 366.389709 0.;</t>
  </si>
  <si>
    <t>39, 13 0 363.056998 0.;</t>
  </si>
  <si>
    <t>40, 14 0 320.494314 0.;</t>
  </si>
  <si>
    <t>41, 14 0 323.587293 0.;</t>
  </si>
  <si>
    <t>42, 15 0 244.095932 0.;</t>
  </si>
  <si>
    <t>43, 15 0 242.975204 0.;</t>
  </si>
  <si>
    <t>48, 16 0 0. 0.;</t>
  </si>
  <si>
    <t>49, 16 0 0. 0.;</t>
  </si>
  <si>
    <t>LSY2_rec2</t>
  </si>
  <si>
    <t>2, 1 0 373.728821 0.;</t>
  </si>
  <si>
    <t>3, 2 0 406.184204 0.;</t>
  </si>
  <si>
    <t>4, 2 0 406.920646 0.;</t>
  </si>
  <si>
    <t>12/16 : 4/16</t>
  </si>
  <si>
    <t>5, 3 0 352.233977 0.;</t>
  </si>
  <si>
    <t>6, 3 0 357.705448 0.;</t>
  </si>
  <si>
    <t>7, 4 0 359.072682 0.;</t>
  </si>
  <si>
    <t>8, 4 0 0. 0.;</t>
  </si>
  <si>
    <t>12, 4 0 360.173724 0.;</t>
  </si>
  <si>
    <t>13, 4 0 362.059804 0.;</t>
  </si>
  <si>
    <t>14, 5 0 361.737535 0.;</t>
  </si>
  <si>
    <t>15, 5 0 361.856861 0.;</t>
  </si>
  <si>
    <t>16, 5 0 0. 0.;</t>
  </si>
  <si>
    <t>17, 6 0 314.992621 0.;</t>
  </si>
  <si>
    <t>18, 6 0 320.886124 0.;</t>
  </si>
  <si>
    <t>19, 7 0 319.758714 0.;</t>
  </si>
  <si>
    <t>20, 7 0 241.459491 0.;</t>
  </si>
  <si>
    <t>21, 7 0 240.997054 0.;</t>
  </si>
  <si>
    <t>23, 8 0 240.075378 0.;</t>
  </si>
  <si>
    <t>27, 8 0 0. 0.;</t>
  </si>
  <si>
    <t>28, 8 0 0. 0.;</t>
  </si>
  <si>
    <t>29, 8 0 0. 0.;</t>
  </si>
  <si>
    <t>30, 9 0 313.614286 0.;</t>
  </si>
  <si>
    <t>31, 9 0 317.185757 0.;</t>
  </si>
  <si>
    <t>32, 10 0 239.739943 0.;</t>
  </si>
  <si>
    <t>33, 10 0 238.273013 0.;</t>
  </si>
  <si>
    <t>34, 11 0 0. 0.;</t>
  </si>
  <si>
    <t>35, 11 0 409.546814 0.;</t>
  </si>
  <si>
    <t>36, 11 0 410.614532 0.;</t>
  </si>
  <si>
    <t>37, 12 0 316.956066 0.;</t>
  </si>
  <si>
    <t>38, 12 0 317.531285 0.;</t>
  </si>
  <si>
    <t>39, 12 0 0. 0.;</t>
  </si>
  <si>
    <t>40, 12 0 0. 0.;</t>
  </si>
  <si>
    <t>41, 12 0 317.115939 0.;</t>
  </si>
  <si>
    <t>42, 12 0 316.984331 0.;</t>
  </si>
  <si>
    <t>43, 13 0 317.63426 0.;</t>
  </si>
  <si>
    <t>44, 13 0 356.763257 0.;</t>
  </si>
  <si>
    <t>45, 13 0 0. 0.;</t>
  </si>
  <si>
    <t>46, 14 0 315.471658 0.;</t>
  </si>
  <si>
    <t>47, 14 0 316.123478 0.;</t>
  </si>
  <si>
    <t>48, 15 0 321.932603 0.;</t>
  </si>
  <si>
    <t>49, 15 0 237.647119 0.;</t>
  </si>
  <si>
    <t>50, 15 0 236.059078 0.;</t>
  </si>
  <si>
    <t>56, 16 0 335.058271 0.;</t>
  </si>
  <si>
    <t>58, 16 0 0. 0.;</t>
  </si>
  <si>
    <t>LSY2_rec8</t>
  </si>
  <si>
    <t>2, 2 0 394.213486 0.;</t>
  </si>
  <si>
    <t>3, 2 0 397.297302 0.;</t>
  </si>
  <si>
    <t>4, 2 0 396.663292 0.;</t>
  </si>
  <si>
    <t>10/16 : 3/16</t>
  </si>
  <si>
    <t>11/16 : 2/16</t>
  </si>
  <si>
    <t>5, 3 0 356.52102 0.;</t>
  </si>
  <si>
    <t>6, 3 0 357.365331 0.;</t>
  </si>
  <si>
    <t>7, 4 0 356.146341 0.;</t>
  </si>
  <si>
    <t>11, 4 0 355.802835 0.;</t>
  </si>
  <si>
    <t>12, 4 0 356.060148 0.;</t>
  </si>
  <si>
    <t>13, 5 0 356.84991 0.;</t>
  </si>
  <si>
    <t>14, 5 0 0. 0.;</t>
  </si>
  <si>
    <t>15, 5 0 358.952587 0.;</t>
  </si>
  <si>
    <t>16, 6 0 315.475846 0.;</t>
  </si>
  <si>
    <t>17, 6 0 317.493035 0.;</t>
  </si>
  <si>
    <t>18, 7 0 236.043326 0.;</t>
  </si>
  <si>
    <t>19, 7 0 0. 0.;</t>
  </si>
  <si>
    <t>20, 8 0 0. 0.;</t>
  </si>
  <si>
    <t>21, 8 0 0. 0.;</t>
  </si>
  <si>
    <t>26, 8 0 238.817983 0.;</t>
  </si>
  <si>
    <t>28, 9 0 314.97186 0.;</t>
  </si>
  <si>
    <t>29, 10 0 316.418119 0.;</t>
  </si>
  <si>
    <t>30, 10 0 235.545755 0.;</t>
  </si>
  <si>
    <t>31, 10 0 236.393248 0.;</t>
  </si>
  <si>
    <t>32, 11 0 407.53891 0.;</t>
  </si>
  <si>
    <t>33, 11 0 407.793915 0.;</t>
  </si>
  <si>
    <t>34, 12 0 385.691614 0.;</t>
  </si>
  <si>
    <t>35, 12 0 0. 0.;</t>
  </si>
  <si>
    <t>37, 12 0 0. 0.;</t>
  </si>
  <si>
    <t>38, 12 0 0. 0.;</t>
  </si>
  <si>
    <t>39, 12 0 315.769224 0.;</t>
  </si>
  <si>
    <t>40, 12 0 317.209165 0.;</t>
  </si>
  <si>
    <t>41, 13 0 0. 0.;</t>
  </si>
  <si>
    <t>42, 13 0 0. 0.;</t>
  </si>
  <si>
    <t>43, 13 0 0. 0.;</t>
  </si>
  <si>
    <t>44, 14 0 315.636001 0.;</t>
  </si>
  <si>
    <t>45, 14 0 316.172011 0.;</t>
  </si>
  <si>
    <t>47, 15 0 237.816614 0.;</t>
  </si>
  <si>
    <t>48, 16 0 239.390759 0.;</t>
  </si>
  <si>
    <t>49, 16 0 238.905006 0.;</t>
  </si>
  <si>
    <t>LSY2_rec29</t>
  </si>
  <si>
    <t>2, 1 0 357.887008 0.;</t>
  </si>
  <si>
    <t>3, 1 0 357.186476 0.;</t>
  </si>
  <si>
    <t>4, 1 0 364.215544 0.;</t>
  </si>
  <si>
    <t>14/16 : 1/16</t>
  </si>
  <si>
    <t>5, 2 0 489.054962 0.;</t>
  </si>
  <si>
    <t>6, 2 0 482.282362 0.;</t>
  </si>
  <si>
    <t>7, 3 0 363.117463 0.;</t>
  </si>
  <si>
    <t>8, 3 0 365.005098 0.;</t>
  </si>
  <si>
    <t>9, 4 0 364.375148 0.;</t>
  </si>
  <si>
    <t>14, 4 0 363.012984 0.;</t>
  </si>
  <si>
    <t>15, 4 0 364.772828 0.;</t>
  </si>
  <si>
    <t>16, 5 0 365.647697 0.;</t>
  </si>
  <si>
    <t>17, 5 0 364.930521 0.;</t>
  </si>
  <si>
    <t>18, 5 0 363.951758 0.;</t>
  </si>
  <si>
    <t>19, 6 0 364.148599 0.;</t>
  </si>
  <si>
    <t>20, 6 0 319.036637 0.;</t>
  </si>
  <si>
    <t>21, 6 0 321.320073 0.;</t>
  </si>
  <si>
    <t>23, 7 0 239.542387 0.;</t>
  </si>
  <si>
    <t>24, 8 0 239.392048 0.;</t>
  </si>
  <si>
    <t>25, 8 0 238.928112 0.;</t>
  </si>
  <si>
    <t>30, 8 0 240.006464 0.;</t>
  </si>
  <si>
    <t>32, 9 0 0. 0.;</t>
  </si>
  <si>
    <t>33, 9 0 321.485467 0.;</t>
  </si>
  <si>
    <t>34, 9 0 323.410873 0.;</t>
  </si>
  <si>
    <t>35, 10 0 240.196075 0.;</t>
  </si>
  <si>
    <t>36, 10 0 239.119992 0.;</t>
  </si>
  <si>
    <t>37, 10 0 238.06499 0.;</t>
  </si>
  <si>
    <t>38, 11 0 492.133042 0.;</t>
  </si>
  <si>
    <t>39, 11 0 481.166962 0.;</t>
  </si>
  <si>
    <t>40, 12 0 468.833929 0.;</t>
  </si>
  <si>
    <t>41, 12 0 320.950428 0.;</t>
  </si>
  <si>
    <t>42, 12 0 323.209178 0.;</t>
  </si>
  <si>
    <t>43, 12 0 0. 0.;</t>
  </si>
  <si>
    <t>44, 12 0 322.976957 0.;</t>
  </si>
  <si>
    <t>45, 12 0 322.012479 0.;</t>
  </si>
  <si>
    <t>46, 12 0 322.55282 0.;</t>
  </si>
  <si>
    <t>47, 12 0 325.912976 0.;</t>
  </si>
  <si>
    <t>48, 13 0 354.581242 0.;</t>
  </si>
  <si>
    <t>49, 13 0 354.669779 0.;</t>
  </si>
  <si>
    <t>50, 14 0 360.572032 0.;</t>
  </si>
  <si>
    <t>51, 14 0 320.402844 0.;</t>
  </si>
  <si>
    <t>52, 14 0 321.557646 0.;</t>
  </si>
  <si>
    <t>53, 15 0 473.600068 0.;</t>
  </si>
  <si>
    <t>54, 15 0 283.542646 0.;</t>
  </si>
  <si>
    <t>55, 15 0 474.58606 0.;</t>
  </si>
  <si>
    <t>56, 16 0 245.539728 0.;</t>
  </si>
  <si>
    <t>59, 16 0 0. 0.;</t>
  </si>
  <si>
    <t>60, 16 0 0. 0.;</t>
  </si>
  <si>
    <t>62, 16 0 0. 0.;</t>
  </si>
  <si>
    <t>RCM1_rec5</t>
  </si>
  <si>
    <t>4, 1 0 436.357618 0.;</t>
  </si>
  <si>
    <t>1/16 : 10/16</t>
  </si>
  <si>
    <t>5, 1 0 380.172424 0.;</t>
  </si>
  <si>
    <t>6, 2 0 572.601673 0.;</t>
  </si>
  <si>
    <t>7, 2 0 597.293449 0.;</t>
  </si>
  <si>
    <t>8, 2 0 594.833725 0.;</t>
  </si>
  <si>
    <t>13, 4 0 437.906995 0.;</t>
  </si>
  <si>
    <t>15, 4 0 440.283559 0.;</t>
  </si>
  <si>
    <t>16, 4 0 442.435232 0.;</t>
  </si>
  <si>
    <t>26, 5 0 443.233535 0.;</t>
  </si>
  <si>
    <t>27, 5 0 442.009759 0.;</t>
  </si>
  <si>
    <t>28, 6 0 393.111847 0.;</t>
  </si>
  <si>
    <t>29, 6 0 391.925095 0.;</t>
  </si>
  <si>
    <t>30, 6 0 390.110979 0.;</t>
  </si>
  <si>
    <t>31, 7 0 0. 0.;</t>
  </si>
  <si>
    <t>32, 7 0 299.271285 0.;</t>
  </si>
  <si>
    <t>33, 7 0 300.714456 0.;</t>
  </si>
  <si>
    <t>34, 8 0 302.362863 0.;</t>
  </si>
  <si>
    <t>35, 8 0 304.768494 0.;</t>
  </si>
  <si>
    <t>36, 8 0 301.619873 0.;</t>
  </si>
  <si>
    <t>37, 8 0 303.947357 0.;</t>
  </si>
  <si>
    <t>38, 8 0 307.103058 0.;</t>
  </si>
  <si>
    <t>39, 8 0 302.330902 0.;</t>
  </si>
  <si>
    <t>44, 9 0 0. 0.;</t>
  </si>
  <si>
    <t>46, 9 0 0. 0.;</t>
  </si>
  <si>
    <t>47, 9 0 776.408447 0.;</t>
  </si>
  <si>
    <t>48, 9 0 388.67298 0.;</t>
  </si>
  <si>
    <t>49, 10 0 387.916656 0.;</t>
  </si>
  <si>
    <t>50, 10 0 291.465883 0.;</t>
  </si>
  <si>
    <t>51, 10 0 297.817979 0.;</t>
  </si>
  <si>
    <t>52, 10 0 0. 0.;</t>
  </si>
  <si>
    <t>53, 11 0 0. 0.;</t>
  </si>
  <si>
    <t>54, 11 0 572.736554 0.;</t>
  </si>
  <si>
    <t>55, 11 0 594.628612 0.;</t>
  </si>
  <si>
    <t>56, 11 0 598.733777 0.;</t>
  </si>
  <si>
    <t>58, 12 0 384.495819 0.;</t>
  </si>
  <si>
    <t>59, 12 0 383.282227 0.;</t>
  </si>
  <si>
    <t>60, 12 0 379.827759 0.;</t>
  </si>
  <si>
    <t>61, 12 0 383.637115 0.;</t>
  </si>
  <si>
    <t>62, 12 0 385.152832 0.;</t>
  </si>
  <si>
    <t>63, 12 0 377.048548 0.;</t>
  </si>
  <si>
    <t>69, 13 0 0. 0.;</t>
  </si>
  <si>
    <t>70, 13 0 0. 0.;</t>
  </si>
  <si>
    <t>71, 13 0 0. 0.;</t>
  </si>
  <si>
    <t>72, 14 0 0. 0.;</t>
  </si>
  <si>
    <t>73, 14 0 0. 0.;</t>
  </si>
  <si>
    <t>74, 14 0 0. 0.;</t>
  </si>
  <si>
    <t>75, 14 0 0. 0.;</t>
  </si>
  <si>
    <t>76, 14 0 0. 0.;</t>
  </si>
  <si>
    <t>77, 14 0 0. 0.;</t>
  </si>
  <si>
    <t>78, 14 0 0. 0.;</t>
  </si>
  <si>
    <t>79, 14 0 0. 0.;</t>
  </si>
  <si>
    <t>80, 15 0 0. 0.;</t>
  </si>
  <si>
    <t>RCM1_rec19</t>
  </si>
  <si>
    <t>2/16 : 9/16</t>
  </si>
  <si>
    <t>1/16 : 11/16</t>
  </si>
  <si>
    <t>7, 1 0 442.204319 0.;</t>
  </si>
  <si>
    <t>9, 2 0 561.156358 0.;</t>
  </si>
  <si>
    <t>10, 2 0 583.903484 0.;</t>
  </si>
  <si>
    <t>11, 2 0 568.146874 0.;</t>
  </si>
  <si>
    <t>14, 3 0 438.423826 0.;</t>
  </si>
  <si>
    <t>20, 4 0 405.193917 0.;</t>
  </si>
  <si>
    <t>26, 6 0 395.472183 0.;</t>
  </si>
  <si>
    <t>27, 6 0 390.111511 0.;</t>
  </si>
  <si>
    <t>28, 6 0 389.150983 0.;</t>
  </si>
  <si>
    <t>30, 7 0 0. 0.;</t>
  </si>
  <si>
    <t>33, 8 0 292.14918 0.;</t>
  </si>
  <si>
    <t>39, 9 0 0. 0.;</t>
  </si>
  <si>
    <t>40, 9 0 382.83728 0.;</t>
  </si>
  <si>
    <t>41, 9 0 385.789621 0.;</t>
  </si>
  <si>
    <t>42, 9 0 389.084321 0.;</t>
  </si>
  <si>
    <t>44, 10 0 365.524557 0.;</t>
  </si>
  <si>
    <t>45, 10 0 295.786108 0.;</t>
  </si>
  <si>
    <t>46, 11 0 0. 0.;</t>
  </si>
  <si>
    <t>48, 11 0 533.903952 0.;</t>
  </si>
  <si>
    <t>49, 11 0 573.03831 0.;</t>
  </si>
  <si>
    <t>50, 11 0 573.677164 0.;</t>
  </si>
  <si>
    <t>54, 12 0 385.828303 0.;</t>
  </si>
  <si>
    <t>61, 15 0 0. 0.;</t>
  </si>
  <si>
    <t>63, 15 0 0. 0.;</t>
  </si>
  <si>
    <t>64, 14 0 391.926682 0.;</t>
  </si>
  <si>
    <t>65, 14 0 0. 0.;</t>
  </si>
  <si>
    <t>66, 14 0 0. 0.;</t>
  </si>
  <si>
    <t>68, 14 0 0. 0.;</t>
  </si>
  <si>
    <t>70, 16 0 291.859304 0.;</t>
  </si>
  <si>
    <t>71, 16 0 291.643349 0.;</t>
  </si>
  <si>
    <t>RCM1_rec31</t>
  </si>
  <si>
    <t>3, 1 0 200.678152 0.;</t>
  </si>
  <si>
    <t>4, 1 0 430.265793 0.;</t>
  </si>
  <si>
    <t>3/16 : 7/16</t>
  </si>
  <si>
    <t>5, 1 0 429.626727 0.;</t>
  </si>
  <si>
    <t>6, 2 0 426.830829 0.;</t>
  </si>
  <si>
    <t>11, 2 0 564.467329 0.;</t>
  </si>
  <si>
    <t>12, 3 0 209.823639 0.;</t>
  </si>
  <si>
    <t>13, 3 0 433.714548 0.;</t>
  </si>
  <si>
    <t>14, 3 0 427.553208 0.;</t>
  </si>
  <si>
    <t>16, 4 0 429.212494 0.;</t>
  </si>
  <si>
    <t>17, 4 0 425.109108 0.;</t>
  </si>
  <si>
    <t>18, 4 0 407.303217 0.;</t>
  </si>
  <si>
    <t>23, 5 0 425.859349 0.;</t>
  </si>
  <si>
    <t>24, 5 0 430.924894 0.;</t>
  </si>
  <si>
    <t>25, 6 0 416.324282 0.;</t>
  </si>
  <si>
    <t>26, 6 0 390.518029 0.;</t>
  </si>
  <si>
    <t>27, 6 0 390.630157 0.;</t>
  </si>
  <si>
    <t>28, 7 0 392.748108 0.;</t>
  </si>
  <si>
    <t>30, 7 0 296.466812 0.;</t>
  </si>
  <si>
    <t>41, 8 0 372.305278 0.;</t>
  </si>
  <si>
    <t>42, 9 0 377.630192 0.;</t>
  </si>
  <si>
    <t>43, 9 0 378.721375 0.;</t>
  </si>
  <si>
    <t>45, 10 0 301.464844 0.;</t>
  </si>
  <si>
    <t>46, 10 0 300.926507 0.;</t>
  </si>
  <si>
    <t>48, 11 0 244.095932 0.;</t>
  </si>
  <si>
    <t>49, 11 0 560.737171 0.;</t>
  </si>
  <si>
    <t>50, 11 0 558.493871 0.;</t>
  </si>
  <si>
    <t>56, 12 0 364.792227 0.;</t>
  </si>
  <si>
    <t>61, 13 0 428.371974 0.;</t>
  </si>
  <si>
    <t>70, 16 0 295.714294 0.;</t>
  </si>
  <si>
    <t>71, 16 0 292.17956 0.;</t>
  </si>
  <si>
    <t>RCM2_rec5</t>
  </si>
  <si>
    <t>11/16 : 3/16</t>
  </si>
  <si>
    <t>6, 1 0 414.267275 0.;</t>
  </si>
  <si>
    <t>7, 1 0 417.333255 0.;</t>
  </si>
  <si>
    <t>8, 1 0 407.775102 0.;</t>
  </si>
  <si>
    <t>9, 2 0 521.21279 0.;</t>
  </si>
  <si>
    <t>10, 2 0 574.853609 0.;</t>
  </si>
  <si>
    <t>11, 2 0 561.654888 0.;</t>
  </si>
  <si>
    <t>12, 3 0 758.476685 0.;</t>
  </si>
  <si>
    <t>13, 3 0 426.455214 0.;</t>
  </si>
  <si>
    <t>14, 3 0 425.545816 0.;</t>
  </si>
  <si>
    <t>15, 4 0 424.28614 0.;</t>
  </si>
  <si>
    <t>16, 4 0 206.503647 0.;</t>
  </si>
  <si>
    <t>17, 4 0 410.668847 0.;</t>
  </si>
  <si>
    <t>18, 4 0 415.453145 0.;</t>
  </si>
  <si>
    <t>19, 4 0 417.192269 0.;</t>
  </si>
  <si>
    <t>20, 4 0 414.895549 0.;</t>
  </si>
  <si>
    <t>21, 4 0 385.995636 0.;</t>
  </si>
  <si>
    <t>22, 4 0 414.379189 0.;</t>
  </si>
  <si>
    <t>23, 4 0 416.03775 0.;</t>
  </si>
  <si>
    <t>26, 5 0 426.864816 0.;</t>
  </si>
  <si>
    <t>27, 5 0 424.929996 0.;</t>
  </si>
  <si>
    <t>28, 5 0 426.009042 0.;</t>
  </si>
  <si>
    <t>29, 6 0 374.751722 0.;</t>
  </si>
  <si>
    <t>30, 6 0 386.932756 0.;</t>
  </si>
  <si>
    <t>31, 6 0 386.942217 0.;</t>
  </si>
  <si>
    <t>33, 7 0 286.939914 0.;</t>
  </si>
  <si>
    <t>34, 7 0 285.641249 0.;</t>
  </si>
  <si>
    <t>35, 7 0 284.579099 0.;</t>
  </si>
  <si>
    <t>36, 8 0 285.242258 0.;</t>
  </si>
  <si>
    <t>37, 8 0 283.94791 0.;</t>
  </si>
  <si>
    <t>38, 8 0 281.944559 0.;</t>
  </si>
  <si>
    <t>39, 8 0 286.823454 0.;</t>
  </si>
  <si>
    <t>40, 8 0 287.356286 0.;</t>
  </si>
  <si>
    <t>41, 8 0 288.215788 0.;</t>
  </si>
  <si>
    <t>46, 9 0 385.857034 0.;</t>
  </si>
  <si>
    <t>47, 9 0 384.865874 0.;</t>
  </si>
  <si>
    <t>48, 9 0 386.656354 0.;</t>
  </si>
  <si>
    <t>49, 10 0 386.278093 0.;</t>
  </si>
  <si>
    <t>51, 10 0 282.406696 0.;</t>
  </si>
  <si>
    <t>52, 10 0 285.170593 0.;</t>
  </si>
  <si>
    <t>53, 10 0 284.137662 0.;</t>
  </si>
  <si>
    <t>54, 11 0 511.092712 0.;</t>
  </si>
  <si>
    <t>55, 11 0 548.024734 0.;</t>
  </si>
  <si>
    <t>56, 11 0 564.701822 0.;</t>
  </si>
  <si>
    <t>57, 12 0 547.776894 0.;</t>
  </si>
  <si>
    <t>58, 12 0 374.094255 0.;</t>
  </si>
  <si>
    <t>59, 12 0 377.245514 0.;</t>
  </si>
  <si>
    <t>60, 12 0 382.281588 0.;</t>
  </si>
  <si>
    <t>61, 12 0 381.996468 0.;</t>
  </si>
  <si>
    <t>62, 12 0 379.704773 0.;</t>
  </si>
  <si>
    <t>63, 12 0 385.073802 0.;</t>
  </si>
  <si>
    <t>64, 12 0 385.383398 0.;</t>
  </si>
  <si>
    <t>65, 12 0 385.495448 0.;</t>
  </si>
  <si>
    <t>67, 13 0 417.548053 0.;</t>
  </si>
  <si>
    <t>68, 13 0 423.993165 0.;</t>
  </si>
  <si>
    <t>69, 13 0 423.464071 0.;</t>
  </si>
  <si>
    <t>70, 13 0 426.152419 0.;</t>
  </si>
  <si>
    <t>71, 14 0 390.430023 0.;</t>
  </si>
  <si>
    <t>72, 14 0 387.210911 0.;</t>
  </si>
  <si>
    <t>73, 14 0 385.693106 0.;</t>
  </si>
  <si>
    <t>74, 15 0 0. 0.;</t>
  </si>
  <si>
    <t>75, 15 0 512.79071 0.;</t>
  </si>
  <si>
    <t>76, 15 0 0. 0.;</t>
  </si>
  <si>
    <t>78, 15 0 0. 0.;</t>
  </si>
  <si>
    <t>RCM2_rec19</t>
  </si>
  <si>
    <t>3, 1 0 416.899204 0.;</t>
  </si>
  <si>
    <t>4, 1 0 417.325578 0.;</t>
  </si>
  <si>
    <t>7/16 : 2/16</t>
  </si>
  <si>
    <t>13/16 : 3/16</t>
  </si>
  <si>
    <t>5, 1 0 417.009489 0.;</t>
  </si>
  <si>
    <t>8, 2 0 516.524291 0.;</t>
  </si>
  <si>
    <t>9, 2 0 524.375732 0.;</t>
  </si>
  <si>
    <t>10, 2 0 551.840988 0.;</t>
  </si>
  <si>
    <t>11, 3 0 546.983764 0.;</t>
  </si>
  <si>
    <t>12, 3 0 418.087654 0.;</t>
  </si>
  <si>
    <t>13, 3 0 421.726025 0.;</t>
  </si>
  <si>
    <t>14, 4 0 423.265953 0.;</t>
  </si>
  <si>
    <t>15, 4 0 424.240454 0.;</t>
  </si>
  <si>
    <t>18, 4 0 407.700538 0.;</t>
  </si>
  <si>
    <t>19, 4 0 408.243119 0.;</t>
  </si>
  <si>
    <t>20, 4 0 412.502332 0.;</t>
  </si>
  <si>
    <t>21, 4 0 397.856786 0.;</t>
  </si>
  <si>
    <t>22, 4 0 395.158149 0.;</t>
  </si>
  <si>
    <t>24, 5 0 424.905758 0.;</t>
  </si>
  <si>
    <t>25, 5 0 428.634518 0.;</t>
  </si>
  <si>
    <t>26, 6 0 419.63728 0.;</t>
  </si>
  <si>
    <t>27, 6 0 383.874604 0.;</t>
  </si>
  <si>
    <t>28, 6 0 378.62128 0.;</t>
  </si>
  <si>
    <t>29, 6 0 375.89486 0.;</t>
  </si>
  <si>
    <t>31, 7 0 287.099825 0.;</t>
  </si>
  <si>
    <t>32, 7 0 279.636612 0.;</t>
  </si>
  <si>
    <t>33, 8 0 285.755202 0.;</t>
  </si>
  <si>
    <t>34, 8 0 284.033022 0.;</t>
  </si>
  <si>
    <t>35, 8 0 280.982734 0.;</t>
  </si>
  <si>
    <t>36, 8 0 265.662659 0.;</t>
  </si>
  <si>
    <t>37, 8 0 277.293172 0.;</t>
  </si>
  <si>
    <t>38, 8 0 273.573229 0.;</t>
  </si>
  <si>
    <t>39, 8 0 276.869085 0.;</t>
  </si>
  <si>
    <t>42, 9 0 379.191742 0.;</t>
  </si>
  <si>
    <t>43, 9 0 381.720978 0.;</t>
  </si>
  <si>
    <t>44, 9 0 382.705883 0.;</t>
  </si>
  <si>
    <t>46, 10 0 286.121104 0.;</t>
  </si>
  <si>
    <t>47, 10 0 284.535898 0.;</t>
  </si>
  <si>
    <t>48, 11 0 0. 0.;</t>
  </si>
  <si>
    <t>49, 11 0 557.655683 0.;</t>
  </si>
  <si>
    <t>50, 11 0 562.183848 0.;</t>
  </si>
  <si>
    <t>51, 11 0 544.883789 0.;</t>
  </si>
  <si>
    <t>52, 12 0 392.854977 0.;</t>
  </si>
  <si>
    <t>53, 12 0 386.341554 0.;</t>
  </si>
  <si>
    <t>54, 12 0 382.002547 0.;</t>
  </si>
  <si>
    <t>55, 12 0 383.248222 0.;</t>
  </si>
  <si>
    <t>56, 12 0 383.849152 0.;</t>
  </si>
  <si>
    <t>57, 12 0 379.445496 0.;</t>
  </si>
  <si>
    <t>58, 12 0 380.275023 0.;</t>
  </si>
  <si>
    <t>59, 12 0 365.53535 0.;</t>
  </si>
  <si>
    <t>61, 13 0 414.951699 0.;</t>
  </si>
  <si>
    <t>62, 13 0 422.330759 0.;</t>
  </si>
  <si>
    <t>63, 13 0 423.105109 0.;</t>
  </si>
  <si>
    <t>64, 14 0 389.293642 0.;</t>
  </si>
  <si>
    <t>65, 14 0 382.923309 0.;</t>
  </si>
  <si>
    <t>66, 14 0 380.320043 0.;</t>
  </si>
  <si>
    <t>68, 15 0 359.266815 0.;</t>
  </si>
  <si>
    <t>69, 15 0 288.752768 0.;</t>
  </si>
  <si>
    <t>70, 15 0 292.888727 0.;</t>
  </si>
  <si>
    <t>71, 16 0 292.000605 0.;</t>
  </si>
  <si>
    <t>72, 16 0 279.113922 0.;</t>
  </si>
  <si>
    <t>73, 16 0 271.082735 0.;</t>
  </si>
  <si>
    <t>74, 16 0 534.295974 0.;</t>
  </si>
  <si>
    <t>75, 16 0 537.039086 0.;</t>
  </si>
  <si>
    <t>RCM2_rec21</t>
  </si>
  <si>
    <t>4, 1 0 226.735214 0.;</t>
  </si>
  <si>
    <t>11/16 : 5/16</t>
  </si>
  <si>
    <t>5, 1 0 213.856544 0.;</t>
  </si>
  <si>
    <t>6, 1 0 200.090744 0.;</t>
  </si>
  <si>
    <t>8, 2 0 483.76172 0.;</t>
  </si>
  <si>
    <t>9, 2 0 544.049929 0.;</t>
  </si>
  <si>
    <t>10, 2 0 564.746408 0.;</t>
  </si>
  <si>
    <t>11, 3 0 209.335434 0.;</t>
  </si>
  <si>
    <t>12, 3 0 428.318412 0.;</t>
  </si>
  <si>
    <t>13, 3 0 426.049542 0.;</t>
  </si>
  <si>
    <t>14, 3 0 399.334595 0.;</t>
  </si>
  <si>
    <t>15, 4 0 200.588673 0.;</t>
  </si>
  <si>
    <t>16, 4 0 417.756858 0.;</t>
  </si>
  <si>
    <t>17, 4 0 417.108541 0.;</t>
  </si>
  <si>
    <t>18, 4 0 417.915504 0.;</t>
  </si>
  <si>
    <t>19, 4 0 422.17636 0.;</t>
  </si>
  <si>
    <t>20, 4 0 419.501046 0.;</t>
  </si>
  <si>
    <t>21, 4 0 411.966579 0.;</t>
  </si>
  <si>
    <t>23, 5 0 424.321604 0.;</t>
  </si>
  <si>
    <t>24, 5 0 424.450465 0.;</t>
  </si>
  <si>
    <t>25, 5 0 422.609941 0.;</t>
  </si>
  <si>
    <t>26, 5 0 411.308698 0.;</t>
  </si>
  <si>
    <t>27, 6 0 383.308474 0.;</t>
  </si>
  <si>
    <t>28, 6 0 381.818176 0.;</t>
  </si>
  <si>
    <t>30, 7 0 285.395305 0.;</t>
  </si>
  <si>
    <t>31, 7 0 279.042375 0.;</t>
  </si>
  <si>
    <t>32, 8 0 280.729156 0.;</t>
  </si>
  <si>
    <t>33, 8 0 281.019743 0.;</t>
  </si>
  <si>
    <t>34, 8 0 282.325147 0.;</t>
  </si>
  <si>
    <t>35, 8 0 281.96933 0.;</t>
  </si>
  <si>
    <t>36, 8 0 285.304993 0.;</t>
  </si>
  <si>
    <t>37, 8 0 285.416432 0.;</t>
  </si>
  <si>
    <t>38, 8 0 286.811257 0.;</t>
  </si>
  <si>
    <t>39, 8 0 287.068124 0.;</t>
  </si>
  <si>
    <t>42, 9 0 391.660959 0.;</t>
  </si>
  <si>
    <t>43, 9 0 388.85039 0.;</t>
  </si>
  <si>
    <t>44, 9 0 390.657355 0.;</t>
  </si>
  <si>
    <t>46, 10 0 265.051747 0.;</t>
  </si>
  <si>
    <t>47, 10 0 288.052416 0.;</t>
  </si>
  <si>
    <t>49, 11 0 549.207034 0.;</t>
  </si>
  <si>
    <t>50, 11 0 575.865276 0.;</t>
  </si>
  <si>
    <t>51, 11 0 568.014132 0.;</t>
  </si>
  <si>
    <t>52, 12 0 503.281036 0.;</t>
  </si>
  <si>
    <t>53, 12 0 385.05248 0.;</t>
  </si>
  <si>
    <t>54, 12 0 382.427635 0.;</t>
  </si>
  <si>
    <t>55, 12 0 387.222791 0.;</t>
  </si>
  <si>
    <t>56, 12 0 388.546265 0.;</t>
  </si>
  <si>
    <t>57, 12 0 390.101074 0.;</t>
  </si>
  <si>
    <t>58, 12 0 392. 0.;</t>
  </si>
  <si>
    <t>59, 12 0 383.398421 0.;</t>
  </si>
  <si>
    <t>61, 13 0 428.824797 0.;</t>
  </si>
  <si>
    <t>62, 13 0 426.213956 0.;</t>
  </si>
  <si>
    <t>63, 13 0 422.99505 0.;</t>
  </si>
  <si>
    <t>64, 14 0 389.964718 0.;</t>
  </si>
  <si>
    <t>65, 14 0 392.102509 0.;</t>
  </si>
  <si>
    <t>66, 14 0 392. 0.;</t>
  </si>
  <si>
    <t>68, 15 0 287.212933 0.;</t>
  </si>
  <si>
    <t>69, 15 0 286.126841 0.;</t>
  </si>
  <si>
    <t>70, 15 0 282.730863 0.;</t>
  </si>
  <si>
    <t>71, 16 0 283.308833 0.;</t>
  </si>
  <si>
    <t>74, 16 0 275.430347 0.;</t>
  </si>
  <si>
    <t>75, 16 0 284.917 0.;</t>
  </si>
  <si>
    <t>tae</t>
  </si>
  <si>
    <t>im</t>
  </si>
  <si>
    <t>hwang</t>
  </si>
  <si>
    <t>bae-im</t>
  </si>
  <si>
    <t>target_note</t>
  </si>
  <si>
    <t>TIMESTAMPS (score#/frame#)</t>
  </si>
  <si>
    <t>not right : right ratio</t>
  </si>
  <si>
    <t>motiondata_rec4</t>
  </si>
  <si>
    <t>RTpitchcorrectnessdata4</t>
  </si>
  <si>
    <t xml:space="preserve"> . z;</t>
  </si>
  <si>
    <t xml:space="preserve"> right z;</t>
  </si>
  <si>
    <t xml:space="preserve"> . not right;</t>
  </si>
  <si>
    <t>4/24 : 5/24</t>
  </si>
  <si>
    <t>motiondata_rec6</t>
  </si>
  <si>
    <t>RTpitchcorrectnessdata6</t>
  </si>
  <si>
    <t>0/24 : 0/24</t>
  </si>
  <si>
    <t>motiondata_rec7</t>
  </si>
  <si>
    <t>RTpitchcorrectnessdata7</t>
  </si>
  <si>
    <t xml:space="preserve"> right not right;</t>
  </si>
  <si>
    <t>7/24 : 5/24</t>
  </si>
  <si>
    <t>motiondata_rec8</t>
  </si>
  <si>
    <t>RTpitchcorrectnessdata8</t>
  </si>
  <si>
    <t>motiondata_rec9</t>
  </si>
  <si>
    <t>RTpitchcorrectnessdata9</t>
  </si>
  <si>
    <t>motiondata_rec10</t>
  </si>
  <si>
    <t>RTpitchcorrectnessdata10</t>
  </si>
  <si>
    <t>motiondata_rec11</t>
  </si>
  <si>
    <t>RTpitchcorrectnessdata11</t>
  </si>
  <si>
    <t>motiondata_rec12</t>
  </si>
  <si>
    <t>RTpitchcorrectnessdata12</t>
  </si>
  <si>
    <t>motiondata_rec13</t>
  </si>
  <si>
    <t>RTpitchcorrectnessdata13</t>
  </si>
  <si>
    <t>motiondata_rec2</t>
  </si>
  <si>
    <t>RTpitchcorrectnessdata2</t>
  </si>
  <si>
    <t>motiondata_rec5</t>
  </si>
  <si>
    <t>RTpitchcorrectnessdata5</t>
  </si>
  <si>
    <t>5/24 : 12/24</t>
  </si>
  <si>
    <t>1/24 : 1/24</t>
  </si>
  <si>
    <t>6/24 : 11/24</t>
  </si>
  <si>
    <t>5/24 : 1/24</t>
  </si>
  <si>
    <t>9/24 : 8/24</t>
  </si>
  <si>
    <t>6/24 : 13/24</t>
  </si>
  <si>
    <t>18/24 : 0/24</t>
  </si>
  <si>
    <t>8/24 : 3/24</t>
  </si>
  <si>
    <t>14/24 : 0/24</t>
  </si>
  <si>
    <t>18/24 : 3/24</t>
  </si>
  <si>
    <t>16/24 : 1/24</t>
  </si>
  <si>
    <t>18/24 : 1/24</t>
  </si>
  <si>
    <t>14/24 : 6/24</t>
  </si>
  <si>
    <t>14/24 : 7/24</t>
  </si>
  <si>
    <t>motiondata_rec15</t>
  </si>
  <si>
    <t>RTpitchcorrectnessdata15</t>
  </si>
  <si>
    <t>motiondata_rec17</t>
  </si>
  <si>
    <t>RTpitchcorrectnessdata17</t>
  </si>
  <si>
    <t>motiondata_rec18</t>
  </si>
  <si>
    <t>RTpitchcorrectnessdata18</t>
  </si>
  <si>
    <t>16/24 : 3/24</t>
  </si>
  <si>
    <t>motiondata_rec19</t>
  </si>
  <si>
    <t>RTpitchcorrectnessdata19</t>
  </si>
  <si>
    <t>14/24 : 3/24</t>
  </si>
  <si>
    <t>motiondata_rec20</t>
  </si>
  <si>
    <t>RTpitchcorrectnessdata20</t>
  </si>
  <si>
    <t>16/24 : 5/24</t>
  </si>
  <si>
    <t>motiondata_rec21</t>
  </si>
  <si>
    <t>RTpitchcorrectnessdata21</t>
  </si>
  <si>
    <t>motiondata_rec22</t>
  </si>
  <si>
    <t>RTpitchcorrectnessdata22</t>
  </si>
  <si>
    <t>11/24 : 1/24</t>
  </si>
  <si>
    <t>motiondata_rec23</t>
  </si>
  <si>
    <t>RTpitchcorrectnessdata23</t>
  </si>
  <si>
    <t>12/24 : 0/24</t>
  </si>
  <si>
    <t>motiondata_rec24</t>
  </si>
  <si>
    <t>RTpitchcorrectnessdata24</t>
  </si>
  <si>
    <t>motiondata_rec25</t>
  </si>
  <si>
    <t>RTpitchcorrectnessdata25</t>
  </si>
  <si>
    <t>20/24 : 4/24</t>
  </si>
  <si>
    <t>motiondata_rec26</t>
  </si>
  <si>
    <t>RTpitchcorrectnessdata26</t>
  </si>
  <si>
    <t>17/24 : 2/24</t>
  </si>
  <si>
    <t>motiondata_rec27</t>
  </si>
  <si>
    <t>RTpitchcorrectnessdata27</t>
  </si>
  <si>
    <t>15/24 : 2/24</t>
  </si>
  <si>
    <t>motiondata_rec28</t>
  </si>
  <si>
    <t>RTpitchcorrectnessdata28</t>
  </si>
  <si>
    <t>motiondata_rec29</t>
  </si>
  <si>
    <t>RTpitchcorrectnessdata29</t>
  </si>
  <si>
    <t>9/24 : 0/24</t>
  </si>
  <si>
    <t>10/24 : 4/24</t>
  </si>
  <si>
    <t>10/24 : 6/24</t>
  </si>
  <si>
    <t>11/24 : 7/24</t>
  </si>
  <si>
    <t>11/24 : 6/24</t>
  </si>
  <si>
    <t>15/24 : 6/24</t>
  </si>
  <si>
    <t>14/24 : 4/24</t>
  </si>
  <si>
    <t>4/24 : 2/24</t>
  </si>
  <si>
    <t>5/24 : 3/24</t>
  </si>
  <si>
    <t>7/24 : 2/24</t>
  </si>
  <si>
    <t>13/24 : 5/24</t>
  </si>
  <si>
    <t>14/24 : 9/24</t>
  </si>
  <si>
    <t>9/24 : 13/24</t>
  </si>
  <si>
    <t>15/24 : 4/24</t>
  </si>
  <si>
    <t>9/24 : 11/24</t>
  </si>
  <si>
    <t>7/24 : 6/24</t>
  </si>
  <si>
    <t>motiondata_rec30</t>
  </si>
  <si>
    <t>RTpitchcorrectnessdata30</t>
  </si>
  <si>
    <t>8/24 : 8/24</t>
  </si>
  <si>
    <t>motiondata_rec31</t>
  </si>
  <si>
    <t>RTpitchcorrectnessdata31</t>
  </si>
  <si>
    <t>motiondata_rec3</t>
  </si>
  <si>
    <t>RTpitchcorrectnessdata3</t>
  </si>
  <si>
    <t>9/24 : 3/24</t>
  </si>
  <si>
    <t>8/24 : 4/24</t>
  </si>
  <si>
    <t>6/24 : 3/24</t>
  </si>
  <si>
    <t>8/24 : 1/24</t>
  </si>
  <si>
    <t>5/24 : 0/24</t>
  </si>
  <si>
    <t>motiondata_rec14</t>
  </si>
  <si>
    <t>RTpitchcorrectnessdata14</t>
  </si>
  <si>
    <t>2/24 : 0/24</t>
  </si>
  <si>
    <t>motiondata_rec16</t>
  </si>
  <si>
    <t>RTpitchcorrectnessdata16</t>
  </si>
  <si>
    <t>3/24 : 0/24</t>
  </si>
  <si>
    <t>1/24 : 0/24</t>
  </si>
  <si>
    <t>4/24 : 0/24</t>
  </si>
  <si>
    <t>4/24 : 1/24</t>
  </si>
  <si>
    <t>10/24 : 0/24</t>
  </si>
  <si>
    <t>7/24 : 1/24</t>
  </si>
  <si>
    <t>13/24 : 3/24</t>
  </si>
  <si>
    <t>9/24 : 2/24</t>
  </si>
  <si>
    <t>16/24 : 0/24</t>
  </si>
  <si>
    <t>10/24 : 3/24</t>
  </si>
  <si>
    <t>1/24 : 3/24</t>
  </si>
  <si>
    <t>6/24 : 2/24</t>
  </si>
  <si>
    <t>4/24 : 4/24</t>
  </si>
  <si>
    <t>9/24 : 6/24</t>
  </si>
  <si>
    <t>13/24 : 2/24</t>
  </si>
  <si>
    <t>10/24 : 5/24</t>
  </si>
  <si>
    <t>8/24 : 5/24</t>
  </si>
  <si>
    <t>6/24 : 1/24</t>
  </si>
  <si>
    <t>2/24 : 4/24</t>
  </si>
  <si>
    <t>8/24 : 0/24</t>
  </si>
  <si>
    <t>6/24 : 4/24</t>
  </si>
  <si>
    <t>3/24 : 3/24</t>
  </si>
  <si>
    <t>14/24 : 1/24</t>
  </si>
  <si>
    <t>motiondata_rec32</t>
  </si>
  <si>
    <t>RTpitchcorrectnessdata32</t>
  </si>
  <si>
    <t>motiondata_rec33</t>
  </si>
  <si>
    <t>RTpitchcorrectnessdata33</t>
  </si>
  <si>
    <t>12/24 : 5/24</t>
  </si>
  <si>
    <t>motiondata_rec34</t>
  </si>
  <si>
    <t>RTpitchcorrectnessdata34</t>
  </si>
  <si>
    <t>motiondata_rec35</t>
  </si>
  <si>
    <t>RTpitchcorrectnessdata35</t>
  </si>
  <si>
    <t>12/24 : 3/24</t>
  </si>
  <si>
    <t>motiondata_rec36</t>
  </si>
  <si>
    <t>RTpitchcorrectnessdata36</t>
  </si>
  <si>
    <t>motiondata_rec37</t>
  </si>
  <si>
    <t>RTpitchcorrectnessdata37</t>
  </si>
  <si>
    <t>5/24 : 4/24</t>
  </si>
  <si>
    <t>motiondata_rec38</t>
  </si>
  <si>
    <t>RTpitchcorrectnessdata38</t>
  </si>
  <si>
    <t>11/24 : 4/24</t>
  </si>
  <si>
    <t>motiondata_rec39</t>
  </si>
  <si>
    <t>RTpitchcorrectnessdata39</t>
  </si>
  <si>
    <t>motiondata_rec40</t>
  </si>
  <si>
    <t>RTpitchcorrectnessdata40</t>
  </si>
  <si>
    <t>motiondata_rec41</t>
  </si>
  <si>
    <t>RTpitchcorrectnessdata41</t>
  </si>
  <si>
    <t>motiondata_rec42</t>
  </si>
  <si>
    <t>RTpitchcorrectnessdata42</t>
  </si>
  <si>
    <t>8/24 : 9/24</t>
  </si>
  <si>
    <t>14/24 : 10/24</t>
  </si>
  <si>
    <t>9/24 : 12/24</t>
  </si>
  <si>
    <t>5/24 : 14/24</t>
  </si>
  <si>
    <t>7/24 : 14/24</t>
  </si>
  <si>
    <t>8/24 : 11/24</t>
  </si>
  <si>
    <t>7/24 : 12/24</t>
  </si>
  <si>
    <t>7/24 : 10/24</t>
  </si>
  <si>
    <t>6/24 : 15/24</t>
  </si>
  <si>
    <t>8/24 : 14/24</t>
  </si>
  <si>
    <t>7/24 : 16/24</t>
  </si>
  <si>
    <t>5/24 : 18/24</t>
  </si>
  <si>
    <t>6/24 : 17/24</t>
  </si>
  <si>
    <t>10/24 : 1/24</t>
  </si>
  <si>
    <t>15/24 : 1/24</t>
  </si>
  <si>
    <t>13/24 : 1/24</t>
  </si>
  <si>
    <t>12/24 : 4/24</t>
  </si>
  <si>
    <t>11/24 : 9/24</t>
  </si>
  <si>
    <t>12/24 : 8/24</t>
  </si>
  <si>
    <t>9/24 : 7/24</t>
  </si>
  <si>
    <t>6/24 : 6/24</t>
  </si>
  <si>
    <t>10/24 : 8/24</t>
  </si>
  <si>
    <t>4/24 : 12/24</t>
  </si>
  <si>
    <t>11/24 : 3/24</t>
  </si>
  <si>
    <t>3/24 : 2/24</t>
  </si>
  <si>
    <t>5/24 : 8/24</t>
  </si>
  <si>
    <t>KBR1_rec12.mp3</t>
  </si>
  <si>
    <t>note_index</t>
  </si>
  <si>
    <t>target_freq_hz</t>
  </si>
  <si>
    <t>predicted_note</t>
  </si>
  <si>
    <t>target_cent_deviation</t>
  </si>
  <si>
    <t>target_within_40c</t>
  </si>
  <si>
    <t>gt_onset_sec</t>
  </si>
  <si>
    <t>detected_onset_sec</t>
  </si>
  <si>
    <t>timing_error_sec</t>
  </si>
  <si>
    <t>clip_start_sec</t>
  </si>
  <si>
    <t>clip_end_sec</t>
  </si>
  <si>
    <t>clip_duration_sec</t>
  </si>
  <si>
    <t>pink_start_global_sec</t>
  </si>
  <si>
    <t>pink_end_global_sec</t>
  </si>
  <si>
    <t>pink_duration_sec</t>
  </si>
  <si>
    <t>KBR2_rec12.mp3</t>
  </si>
  <si>
    <t>KYS1_rec27.mp3</t>
  </si>
  <si>
    <t>jung</t>
  </si>
  <si>
    <t>dae</t>
  </si>
  <si>
    <t>ie</t>
  </si>
  <si>
    <t>bae-eung</t>
  </si>
  <si>
    <t>KYS2_rec30.mp3</t>
  </si>
  <si>
    <t>LSB1_rec26.mp3</t>
  </si>
  <si>
    <t>go</t>
  </si>
  <si>
    <t>LSB2_rec20.mp3</t>
  </si>
  <si>
    <t>bae-nam</t>
  </si>
  <si>
    <t>bae-ie</t>
  </si>
  <si>
    <t>bae-yu</t>
  </si>
  <si>
    <t>LSY1_rec40.mp3</t>
  </si>
  <si>
    <t>yu</t>
  </si>
  <si>
    <t>hyeop</t>
  </si>
  <si>
    <t>LSY2_rec29.mp3</t>
  </si>
  <si>
    <t>RCM1_rec31.mp3</t>
  </si>
  <si>
    <t>RCM2_rec21.mp3</t>
  </si>
  <si>
    <t>KBR1</t>
  </si>
  <si>
    <t>GT_Null</t>
  </si>
  <si>
    <t>GT_Right</t>
  </si>
  <si>
    <t>Motion_Right</t>
  </si>
  <si>
    <t>Motion_Wrong</t>
  </si>
  <si>
    <t>Motion_Null</t>
  </si>
  <si>
    <t>KBR2</t>
  </si>
  <si>
    <t>KYS1</t>
  </si>
  <si>
    <t>KYS2</t>
  </si>
  <si>
    <t>LSB1</t>
  </si>
  <si>
    <t>LSB2</t>
  </si>
  <si>
    <t>LSY1</t>
  </si>
  <si>
    <t>LSY2</t>
  </si>
  <si>
    <t>RCM1</t>
  </si>
  <si>
    <t>RCM2</t>
  </si>
  <si>
    <t>Motion_onset_n</t>
  </si>
  <si>
    <t>Stability_x</t>
  </si>
  <si>
    <t>Stability_y</t>
  </si>
  <si>
    <t>Stability_z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</si>
</sst>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rgb="FF00000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rgb="FF006100"/>
      <name val="Calibri"/>
      <family val="2"/>
      <scheme val="minor"/>
    </font>
    <font>
      <sz val="9"/>
      <color rgb="FF006100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000000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11"/>
      <color rgb="FF9C5700"/>
      <name val="Calibri"/>
      <family val="2"/>
      <scheme val="minor"/>
    </font>
    <font>
      <sz val="11"/>
      <color indexed="8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FF0000"/>
      <name val="Calibri"/>
      <family val="2"/>
    </font>
    <font>
      <b/>
      <sz val="11"/>
      <color indexed="8"/>
      <name val="Calibri"/>
      <family val="2"/>
      <scheme val="minor"/>
    </font>
    <font>
      <b/>
      <sz val="9"/>
      <name val="Calibri"/>
      <family val="2"/>
    </font>
    <font>
      <sz val="9"/>
      <name val="Calibri"/>
      <family val="2"/>
    </font>
    <font>
      <sz val="9"/>
      <color theme="1"/>
      <name val="Calibri"/>
      <family val="2"/>
    </font>
    <font>
      <b/>
      <sz val="9"/>
      <color theme="1"/>
      <name val="Calibri"/>
      <family val="2"/>
    </font>
    <font>
      <b/>
      <sz val="9"/>
      <color theme="9" tint="-0.249977111117893"/>
      <name val="Calibri"/>
      <family val="2"/>
    </font>
    <font>
      <sz val="9"/>
      <color theme="9" tint="-0.249977111117893"/>
      <name val="Calibri"/>
      <family val="2"/>
    </font>
    <font>
      <b/>
      <sz val="11"/>
      <name val="Calibri"/>
    </font>
    <font>
      <sz val="11"/>
      <name val="Calibri"/>
    </font>
    <font>
      <b/>
      <sz val="9"/>
      <color theme="9" tint="-0.249977111117893"/>
      <name val="Calibri"/>
      <family val="2"/>
      <scheme val="minor"/>
    </font>
    <font>
      <sz val="9"/>
      <color theme="9" tint="-0.249977111117893"/>
      <name val="Calibri"/>
      <family val="2"/>
      <scheme val="minor"/>
    </font>
    <font>
      <sz val="11"/>
      <color theme="9" tint="-0.249977111117893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2F2F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indexed="22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249977111117893"/>
        <bgColor indexed="65"/>
      </patternFill>
    </fill>
    <fill>
      <patternFill patternType="solid">
        <fgColor theme="8" tint="0.79995117038483843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79995117038483843"/>
        <bgColor indexed="65"/>
      </patternFill>
    </fill>
    <fill>
      <patternFill patternType="solid">
        <fgColor theme="0" tint="-4.9989318521683403E-2"/>
        <bgColor indexed="64"/>
      </patternFill>
    </fill>
  </fills>
  <borders count="21">
    <border>
      <left/>
      <right/>
      <top/>
      <bottom/>
      <diagonal/>
    </border>
    <border>
      <left style="medium">
        <color rgb="FFBFBFBF"/>
      </left>
      <right style="medium">
        <color rgb="FFBFBFBF"/>
      </right>
      <top style="medium">
        <color rgb="FFBFBFBF"/>
      </top>
      <bottom style="medium">
        <color rgb="FFBFBFBF"/>
      </bottom>
      <diagonal/>
    </border>
    <border>
      <left/>
      <right style="medium">
        <color rgb="FFBFBFBF"/>
      </right>
      <top style="medium">
        <color rgb="FFBFBFBF"/>
      </top>
      <bottom style="medium">
        <color rgb="FFBFBFBF"/>
      </bottom>
      <diagonal/>
    </border>
    <border>
      <left style="medium">
        <color rgb="FFBFBFBF"/>
      </left>
      <right style="medium">
        <color rgb="FFBFBFBF"/>
      </right>
      <top/>
      <bottom style="medium">
        <color rgb="FFBFBFBF"/>
      </bottom>
      <diagonal/>
    </border>
    <border>
      <left/>
      <right style="medium">
        <color rgb="FFBFBFBF"/>
      </right>
      <top/>
      <bottom style="medium">
        <color rgb="FFBFBFBF"/>
      </bottom>
      <diagonal/>
    </border>
    <border>
      <left style="medium">
        <color rgb="FFBFBFBF"/>
      </left>
      <right/>
      <top style="medium">
        <color rgb="FFBFBFBF"/>
      </top>
      <bottom style="medium">
        <color rgb="FFBFBFBF"/>
      </bottom>
      <diagonal/>
    </border>
    <border>
      <left/>
      <right/>
      <top style="medium">
        <color rgb="FFBFBFBF"/>
      </top>
      <bottom style="medium">
        <color rgb="FFBFBFBF"/>
      </bottom>
      <diagonal/>
    </border>
    <border>
      <left/>
      <right/>
      <top/>
      <bottom style="medium">
        <color rgb="FFBFBFBF"/>
      </bottom>
      <diagonal/>
    </border>
    <border>
      <left style="medium">
        <color rgb="FFBFBFBF"/>
      </left>
      <right style="medium">
        <color rgb="FFBFBFBF"/>
      </right>
      <top/>
      <bottom/>
      <diagonal/>
    </border>
    <border>
      <left style="medium">
        <color rgb="FFBFBFBF"/>
      </left>
      <right style="medium">
        <color rgb="FFBFBFBF"/>
      </right>
      <top style="medium">
        <color rgb="FFBFBFBF"/>
      </top>
      <bottom/>
      <diagonal/>
    </border>
    <border>
      <left style="medium">
        <color rgb="FFBFBFBF"/>
      </left>
      <right/>
      <top/>
      <bottom style="medium">
        <color rgb="FFBFBFBF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/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  <border>
      <left style="thin">
        <color indexed="64"/>
      </left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/>
      <bottom/>
      <diagonal/>
    </border>
    <border>
      <left/>
      <right/>
      <top/>
      <bottom style="thick">
        <color theme="2" tint="-9.9978637043366805E-2"/>
      </bottom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2" fillId="2" borderId="0" applyNumberFormat="0" applyBorder="0" applyAlignment="0" applyProtection="0"/>
    <xf numFmtId="2" fontId="6" fillId="0" borderId="1" applyFont="0">
      <alignment horizontal="center" vertical="center"/>
    </xf>
    <xf numFmtId="0" fontId="15" fillId="0" borderId="0"/>
  </cellStyleXfs>
  <cellXfs count="290">
    <xf numFmtId="0" fontId="0" fillId="0" borderId="0" xfId="0"/>
    <xf numFmtId="0" fontId="6" fillId="0" borderId="4" xfId="0" applyFont="1" applyBorder="1" applyAlignment="1">
      <alignment horizontal="right" vertical="center" wrapText="1"/>
    </xf>
    <xf numFmtId="0" fontId="0" fillId="0" borderId="0" xfId="0" applyAlignment="1">
      <alignment horizontal="center" vertical="center"/>
    </xf>
    <xf numFmtId="0" fontId="6" fillId="0" borderId="4" xfId="0" applyFont="1" applyBorder="1" applyAlignment="1">
      <alignment horizontal="right" vertical="center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center"/>
    </xf>
    <xf numFmtId="0" fontId="0" fillId="0" borderId="0" xfId="0" applyAlignment="1">
      <alignment horizontal="center"/>
    </xf>
    <xf numFmtId="0" fontId="7" fillId="0" borderId="4" xfId="0" applyFont="1" applyBorder="1" applyAlignment="1">
      <alignment horizontal="center" vertical="center"/>
    </xf>
    <xf numFmtId="0" fontId="7" fillId="0" borderId="0" xfId="0" applyFont="1"/>
    <xf numFmtId="2" fontId="6" fillId="0" borderId="4" xfId="0" applyNumberFormat="1" applyFont="1" applyBorder="1" applyAlignment="1">
      <alignment horizontal="right" vertical="center"/>
    </xf>
    <xf numFmtId="2" fontId="6" fillId="0" borderId="4" xfId="0" applyNumberFormat="1" applyFont="1" applyBorder="1" applyAlignment="1">
      <alignment vertical="center"/>
    </xf>
    <xf numFmtId="0" fontId="10" fillId="0" borderId="0" xfId="0" applyFont="1" applyAlignment="1">
      <alignment vertical="center"/>
    </xf>
    <xf numFmtId="0" fontId="6" fillId="0" borderId="4" xfId="0" applyFont="1" applyBorder="1" applyAlignment="1">
      <alignment horizontal="center" vertical="center"/>
    </xf>
    <xf numFmtId="0" fontId="0" fillId="0" borderId="3" xfId="0" applyBorder="1" applyAlignment="1">
      <alignment vertical="center"/>
    </xf>
    <xf numFmtId="0" fontId="7" fillId="0" borderId="0" xfId="0" applyFont="1" applyAlignment="1">
      <alignment vertical="center"/>
    </xf>
    <xf numFmtId="0" fontId="6" fillId="0" borderId="2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1" fontId="6" fillId="0" borderId="4" xfId="0" applyNumberFormat="1" applyFont="1" applyBorder="1" applyAlignment="1">
      <alignment horizontal="right" vertical="center"/>
    </xf>
    <xf numFmtId="1" fontId="6" fillId="0" borderId="2" xfId="0" applyNumberFormat="1" applyFont="1" applyBorder="1" applyAlignment="1">
      <alignment horizontal="right" vertical="center"/>
    </xf>
    <xf numFmtId="2" fontId="6" fillId="0" borderId="2" xfId="0" applyNumberFormat="1" applyFont="1" applyBorder="1" applyAlignment="1">
      <alignment horizontal="right" vertical="center"/>
    </xf>
    <xf numFmtId="1" fontId="6" fillId="0" borderId="4" xfId="0" applyNumberFormat="1" applyFont="1" applyBorder="1" applyAlignment="1">
      <alignment vertical="center"/>
    </xf>
    <xf numFmtId="0" fontId="11" fillId="0" borderId="4" xfId="0" applyFont="1" applyBorder="1" applyAlignment="1">
      <alignment horizontal="right" vertical="center"/>
    </xf>
    <xf numFmtId="1" fontId="11" fillId="0" borderId="4" xfId="0" applyNumberFormat="1" applyFont="1" applyBorder="1" applyAlignment="1">
      <alignment horizontal="right" vertical="center"/>
    </xf>
    <xf numFmtId="0" fontId="11" fillId="0" borderId="2" xfId="0" applyFont="1" applyBorder="1" applyAlignment="1">
      <alignment horizontal="right" vertical="center"/>
    </xf>
    <xf numFmtId="1" fontId="5" fillId="0" borderId="0" xfId="0" applyNumberFormat="1" applyFont="1" applyFill="1"/>
    <xf numFmtId="1" fontId="11" fillId="0" borderId="2" xfId="0" applyNumberFormat="1" applyFont="1" applyBorder="1" applyAlignment="1">
      <alignment horizontal="right" vertical="center"/>
    </xf>
    <xf numFmtId="0" fontId="11" fillId="0" borderId="4" xfId="0" applyFont="1" applyBorder="1" applyAlignment="1">
      <alignment vertical="center"/>
    </xf>
    <xf numFmtId="0" fontId="6" fillId="3" borderId="4" xfId="0" applyFont="1" applyFill="1" applyBorder="1" applyAlignment="1">
      <alignment horizontal="center" vertical="center"/>
    </xf>
    <xf numFmtId="0" fontId="0" fillId="3" borderId="4" xfId="0" applyFill="1" applyBorder="1" applyAlignment="1">
      <alignment vertical="center"/>
    </xf>
    <xf numFmtId="0" fontId="11" fillId="3" borderId="4" xfId="0" applyFont="1" applyFill="1" applyBorder="1" applyAlignment="1">
      <alignment horizontal="center" vertical="center"/>
    </xf>
    <xf numFmtId="0" fontId="11" fillId="3" borderId="3" xfId="0" applyFont="1" applyFill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0" fillId="3" borderId="3" xfId="0" applyFill="1" applyBorder="1" applyAlignment="1">
      <alignment vertical="center"/>
    </xf>
    <xf numFmtId="0" fontId="11" fillId="3" borderId="3" xfId="0" applyFont="1" applyFill="1" applyBorder="1" applyAlignment="1">
      <alignment vertical="center"/>
    </xf>
    <xf numFmtId="0" fontId="0" fillId="3" borderId="4" xfId="0" applyFill="1" applyBorder="1" applyAlignment="1">
      <alignment vertical="top"/>
    </xf>
    <xf numFmtId="0" fontId="0" fillId="0" borderId="3" xfId="0" applyBorder="1" applyAlignment="1">
      <alignment vertical="top"/>
    </xf>
    <xf numFmtId="0" fontId="0" fillId="3" borderId="3" xfId="0" applyFill="1" applyBorder="1" applyAlignment="1">
      <alignment vertical="top"/>
    </xf>
    <xf numFmtId="0" fontId="11" fillId="3" borderId="4" xfId="0" applyFont="1" applyFill="1" applyBorder="1" applyAlignment="1">
      <alignment vertical="center"/>
    </xf>
    <xf numFmtId="0" fontId="11" fillId="3" borderId="4" xfId="0" applyFont="1" applyFill="1" applyBorder="1" applyAlignment="1">
      <alignment horizontal="right" vertical="center"/>
    </xf>
    <xf numFmtId="0" fontId="11" fillId="3" borderId="3" xfId="0" applyFont="1" applyFill="1" applyBorder="1" applyAlignment="1">
      <alignment horizontal="right" vertical="center" wrapText="1"/>
    </xf>
    <xf numFmtId="0" fontId="6" fillId="3" borderId="4" xfId="0" applyFont="1" applyFill="1" applyBorder="1" applyAlignment="1">
      <alignment horizontal="right" vertical="center" wrapText="1"/>
    </xf>
    <xf numFmtId="0" fontId="6" fillId="3" borderId="4" xfId="0" applyFont="1" applyFill="1" applyBorder="1" applyAlignment="1">
      <alignment horizontal="right" vertical="center"/>
    </xf>
    <xf numFmtId="0" fontId="11" fillId="0" borderId="3" xfId="0" applyFont="1" applyBorder="1" applyAlignment="1">
      <alignment horizontal="right" vertical="center" wrapText="1"/>
    </xf>
    <xf numFmtId="0" fontId="11" fillId="3" borderId="3" xfId="0" applyFont="1" applyFill="1" applyBorder="1" applyAlignment="1">
      <alignment horizontal="center" vertical="center" wrapText="1"/>
    </xf>
    <xf numFmtId="0" fontId="6" fillId="3" borderId="4" xfId="0" applyFont="1" applyFill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4" xfId="0" applyFont="1" applyBorder="1" applyAlignment="1">
      <alignment horizontal="center" vertical="center" wrapText="1"/>
    </xf>
    <xf numFmtId="0" fontId="11" fillId="3" borderId="4" xfId="0" applyFont="1" applyFill="1" applyBorder="1" applyAlignment="1">
      <alignment horizontal="center" vertical="center" wrapText="1"/>
    </xf>
    <xf numFmtId="0" fontId="9" fillId="0" borderId="0" xfId="2" applyFont="1" applyFill="1"/>
    <xf numFmtId="2" fontId="9" fillId="0" borderId="0" xfId="2" applyNumberFormat="1" applyFont="1" applyFill="1" applyAlignment="1">
      <alignment vertical="center"/>
    </xf>
    <xf numFmtId="0" fontId="7" fillId="0" borderId="0" xfId="0" applyFont="1" applyFill="1" applyAlignment="1">
      <alignment vertical="center"/>
    </xf>
    <xf numFmtId="164" fontId="7" fillId="0" borderId="0" xfId="0" applyNumberFormat="1" applyFont="1" applyFill="1" applyAlignment="1">
      <alignment vertical="center"/>
    </xf>
    <xf numFmtId="9" fontId="7" fillId="0" borderId="0" xfId="1" applyFont="1" applyFill="1" applyAlignment="1">
      <alignment vertical="center"/>
    </xf>
    <xf numFmtId="2" fontId="0" fillId="0" borderId="0" xfId="0" applyNumberFormat="1" applyAlignment="1">
      <alignment horizontal="center" vertical="center"/>
    </xf>
    <xf numFmtId="2" fontId="6" fillId="0" borderId="4" xfId="0" applyNumberFormat="1" applyFont="1" applyBorder="1" applyAlignment="1">
      <alignment horizontal="center" vertical="center"/>
    </xf>
    <xf numFmtId="0" fontId="7" fillId="0" borderId="0" xfId="0" applyFont="1" applyFill="1" applyAlignment="1">
      <alignment horizontal="center" vertical="center"/>
    </xf>
    <xf numFmtId="9" fontId="7" fillId="0" borderId="0" xfId="1" applyFont="1"/>
    <xf numFmtId="0" fontId="7" fillId="4" borderId="0" xfId="0" applyFont="1" applyFill="1" applyAlignment="1">
      <alignment horizontal="center" vertical="center"/>
    </xf>
    <xf numFmtId="2" fontId="6" fillId="0" borderId="1" xfId="3" applyFont="1">
      <alignment horizontal="center" vertical="center"/>
    </xf>
    <xf numFmtId="2" fontId="7" fillId="0" borderId="1" xfId="3" applyFont="1">
      <alignment horizontal="center" vertical="center"/>
    </xf>
    <xf numFmtId="2" fontId="5" fillId="0" borderId="1" xfId="3" applyFont="1">
      <alignment horizontal="center" vertical="center"/>
    </xf>
    <xf numFmtId="2" fontId="5" fillId="4" borderId="1" xfId="3" applyFont="1" applyFill="1">
      <alignment horizontal="center" vertical="center"/>
    </xf>
    <xf numFmtId="2" fontId="5" fillId="4" borderId="1" xfId="3" applyFont="1" applyFill="1" applyAlignment="1">
      <alignment horizontal="center" vertical="center" wrapText="1"/>
    </xf>
    <xf numFmtId="2" fontId="13" fillId="0" borderId="1" xfId="3" applyFont="1">
      <alignment horizontal="center" vertical="center"/>
    </xf>
    <xf numFmtId="2" fontId="0" fillId="0" borderId="1" xfId="3" applyFont="1">
      <alignment horizontal="center" vertical="center"/>
    </xf>
    <xf numFmtId="2" fontId="11" fillId="4" borderId="1" xfId="3" applyFont="1" applyFill="1">
      <alignment horizontal="center" vertical="center"/>
    </xf>
    <xf numFmtId="2" fontId="0" fillId="4" borderId="1" xfId="3" applyFont="1" applyFill="1">
      <alignment horizontal="center" vertical="center"/>
    </xf>
    <xf numFmtId="2" fontId="12" fillId="4" borderId="1" xfId="3" applyFont="1" applyFill="1">
      <alignment horizontal="center" vertical="center"/>
    </xf>
    <xf numFmtId="2" fontId="9" fillId="0" borderId="1" xfId="3" applyFont="1">
      <alignment horizontal="center" vertical="center"/>
    </xf>
    <xf numFmtId="2" fontId="6" fillId="0" borderId="1" xfId="3" applyNumberFormat="1" applyFont="1">
      <alignment horizontal="center" vertical="center"/>
    </xf>
    <xf numFmtId="2" fontId="13" fillId="0" borderId="1" xfId="3" applyNumberFormat="1" applyFont="1">
      <alignment horizontal="center" vertical="center"/>
    </xf>
    <xf numFmtId="2" fontId="7" fillId="0" borderId="1" xfId="3" applyNumberFormat="1" applyFont="1">
      <alignment horizontal="center" vertical="center"/>
    </xf>
    <xf numFmtId="1" fontId="7" fillId="0" borderId="1" xfId="3" applyNumberFormat="1" applyFont="1">
      <alignment horizontal="center" vertical="center"/>
    </xf>
    <xf numFmtId="1" fontId="6" fillId="0" borderId="1" xfId="3" applyNumberFormat="1" applyFont="1">
      <alignment horizontal="center" vertical="center"/>
    </xf>
    <xf numFmtId="0" fontId="0" fillId="0" borderId="0" xfId="0" applyBorder="1" applyAlignment="1">
      <alignment horizontal="center" vertical="center"/>
    </xf>
    <xf numFmtId="1" fontId="6" fillId="4" borderId="1" xfId="3" applyNumberFormat="1" applyFont="1" applyFill="1">
      <alignment horizontal="center" vertical="center"/>
    </xf>
    <xf numFmtId="1" fontId="5" fillId="4" borderId="1" xfId="3" applyNumberFormat="1" applyFont="1" applyFill="1">
      <alignment horizontal="center" vertical="center"/>
    </xf>
    <xf numFmtId="2" fontId="6" fillId="0" borderId="1" xfId="3" applyFont="1" applyFill="1">
      <alignment horizontal="center" vertical="center"/>
    </xf>
    <xf numFmtId="2" fontId="0" fillId="0" borderId="1" xfId="3" applyFont="1" applyFill="1">
      <alignment horizontal="center" vertical="center"/>
    </xf>
    <xf numFmtId="2" fontId="11" fillId="0" borderId="1" xfId="3" applyFont="1" applyFill="1">
      <alignment horizontal="center" vertical="center"/>
    </xf>
    <xf numFmtId="1" fontId="0" fillId="4" borderId="1" xfId="3" applyNumberFormat="1" applyFont="1" applyFill="1">
      <alignment horizontal="center" vertical="center"/>
    </xf>
    <xf numFmtId="1" fontId="7" fillId="0" borderId="0" xfId="0" applyNumberFormat="1" applyFont="1" applyFill="1" applyAlignment="1">
      <alignment vertical="center"/>
    </xf>
    <xf numFmtId="1" fontId="7" fillId="0" borderId="0" xfId="0" applyNumberFormat="1" applyFont="1"/>
    <xf numFmtId="9" fontId="6" fillId="0" borderId="1" xfId="1" applyFont="1" applyBorder="1" applyAlignment="1">
      <alignment horizontal="center" vertical="center"/>
    </xf>
    <xf numFmtId="9" fontId="7" fillId="0" borderId="1" xfId="1" applyFont="1" applyBorder="1" applyAlignment="1">
      <alignment horizontal="center" vertical="center"/>
    </xf>
    <xf numFmtId="2" fontId="3" fillId="0" borderId="1" xfId="3" applyFont="1">
      <alignment horizontal="center" vertical="center"/>
    </xf>
    <xf numFmtId="1" fontId="0" fillId="0" borderId="1" xfId="3" applyNumberFormat="1" applyFont="1">
      <alignment horizontal="center" vertical="center"/>
    </xf>
    <xf numFmtId="1" fontId="3" fillId="0" borderId="1" xfId="3" applyNumberFormat="1" applyFont="1">
      <alignment horizontal="center" vertical="center"/>
    </xf>
    <xf numFmtId="2" fontId="4" fillId="4" borderId="1" xfId="3" applyFont="1" applyFill="1" applyAlignment="1">
      <alignment horizontal="center" vertical="center" wrapText="1"/>
    </xf>
    <xf numFmtId="2" fontId="14" fillId="4" borderId="1" xfId="3" applyFont="1" applyFill="1" applyAlignment="1">
      <alignment horizontal="center" vertical="center" wrapText="1"/>
    </xf>
    <xf numFmtId="0" fontId="0" fillId="0" borderId="0" xfId="0" applyAlignment="1">
      <alignment wrapText="1"/>
    </xf>
    <xf numFmtId="2" fontId="4" fillId="4" borderId="1" xfId="3" applyFont="1" applyFill="1" applyAlignment="1">
      <alignment horizontal="center" vertical="center" wrapText="1"/>
    </xf>
    <xf numFmtId="1" fontId="0" fillId="0" borderId="0" xfId="0" applyNumberFormat="1"/>
    <xf numFmtId="0" fontId="6" fillId="0" borderId="6" xfId="0" applyFont="1" applyBorder="1" applyAlignment="1">
      <alignment horizontal="center" vertical="center"/>
    </xf>
    <xf numFmtId="2" fontId="11" fillId="4" borderId="1" xfId="3" applyFont="1" applyFill="1" applyAlignment="1">
      <alignment horizontal="center" vertical="center" wrapText="1"/>
    </xf>
    <xf numFmtId="1" fontId="11" fillId="4" borderId="1" xfId="3" applyNumberFormat="1" applyFont="1" applyFill="1" applyAlignment="1">
      <alignment horizontal="center" vertical="center" wrapText="1"/>
    </xf>
    <xf numFmtId="2" fontId="11" fillId="4" borderId="1" xfId="3" applyNumberFormat="1" applyFont="1" applyFill="1" applyAlignment="1">
      <alignment horizontal="center" vertical="center" wrapText="1"/>
    </xf>
    <xf numFmtId="1" fontId="6" fillId="0" borderId="1" xfId="3" applyNumberFormat="1" applyFont="1" applyAlignment="1">
      <alignment horizontal="center" vertical="center"/>
    </xf>
    <xf numFmtId="2" fontId="6" fillId="0" borderId="1" xfId="3" applyNumberFormat="1" applyFont="1" applyAlignment="1">
      <alignment horizontal="center" vertical="center"/>
    </xf>
    <xf numFmtId="2" fontId="6" fillId="0" borderId="1" xfId="3" applyFont="1" applyAlignment="1">
      <alignment horizontal="center" vertical="center"/>
    </xf>
    <xf numFmtId="2" fontId="6" fillId="0" borderId="5" xfId="3" applyFont="1" applyBorder="1" applyAlignment="1">
      <alignment horizontal="center" vertical="center"/>
    </xf>
    <xf numFmtId="1" fontId="6" fillId="0" borderId="6" xfId="3" applyNumberFormat="1" applyFont="1" applyBorder="1" applyAlignment="1">
      <alignment horizontal="center" vertical="center"/>
    </xf>
    <xf numFmtId="2" fontId="6" fillId="0" borderId="6" xfId="3" applyNumberFormat="1" applyFont="1" applyBorder="1" applyAlignment="1">
      <alignment horizontal="center" vertical="center"/>
    </xf>
    <xf numFmtId="2" fontId="6" fillId="0" borderId="6" xfId="3" applyFont="1" applyBorder="1" applyAlignment="1">
      <alignment horizontal="center" vertical="center"/>
    </xf>
    <xf numFmtId="1" fontId="6" fillId="0" borderId="4" xfId="0" applyNumberFormat="1" applyFont="1" applyBorder="1" applyAlignment="1">
      <alignment horizontal="center" vertical="center"/>
    </xf>
    <xf numFmtId="1" fontId="6" fillId="0" borderId="7" xfId="0" applyNumberFormat="1" applyFont="1" applyBorder="1" applyAlignment="1">
      <alignment horizontal="center" vertical="center"/>
    </xf>
    <xf numFmtId="2" fontId="6" fillId="0" borderId="7" xfId="0" applyNumberFormat="1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1" fontId="11" fillId="0" borderId="4" xfId="0" applyNumberFormat="1" applyFont="1" applyBorder="1" applyAlignment="1">
      <alignment horizontal="center" vertical="center"/>
    </xf>
    <xf numFmtId="0" fontId="15" fillId="5" borderId="0" xfId="4" applyFill="1"/>
    <xf numFmtId="0" fontId="15" fillId="6" borderId="0" xfId="4" applyFill="1"/>
    <xf numFmtId="0" fontId="0" fillId="0" borderId="0" xfId="0" applyAlignment="1">
      <alignment horizontal="center" vertical="center"/>
    </xf>
    <xf numFmtId="0" fontId="0" fillId="6" borderId="0" xfId="0" applyFill="1" applyAlignment="1">
      <alignment vertical="top"/>
    </xf>
    <xf numFmtId="0" fontId="0" fillId="6" borderId="0" xfId="0" applyFill="1"/>
    <xf numFmtId="0" fontId="0" fillId="0" borderId="0" xfId="0"/>
    <xf numFmtId="0" fontId="17" fillId="0" borderId="12" xfId="0" applyFont="1" applyBorder="1"/>
    <xf numFmtId="0" fontId="0" fillId="7" borderId="0" xfId="0" applyFill="1"/>
    <xf numFmtId="0" fontId="0" fillId="7" borderId="11" xfId="0" applyFill="1" applyBorder="1"/>
    <xf numFmtId="0" fontId="0" fillId="0" borderId="0" xfId="0" applyAlignment="1">
      <alignment vertical="top"/>
    </xf>
    <xf numFmtId="0" fontId="0" fillId="8" borderId="0" xfId="0" applyFill="1" applyAlignment="1">
      <alignment horizontal="center"/>
    </xf>
    <xf numFmtId="0" fontId="0" fillId="0" borderId="11" xfId="0" applyBorder="1" applyAlignment="1">
      <alignment horizontal="center"/>
    </xf>
    <xf numFmtId="0" fontId="16" fillId="0" borderId="0" xfId="0" applyFont="1"/>
    <xf numFmtId="0" fontId="0" fillId="0" borderId="13" xfId="0" applyBorder="1"/>
    <xf numFmtId="0" fontId="17" fillId="9" borderId="0" xfId="0" applyFont="1" applyFill="1"/>
    <xf numFmtId="0" fontId="0" fillId="9" borderId="0" xfId="0" applyFill="1"/>
    <xf numFmtId="2" fontId="0" fillId="9" borderId="12" xfId="0" applyNumberFormat="1" applyFill="1" applyBorder="1"/>
    <xf numFmtId="2" fontId="0" fillId="9" borderId="14" xfId="0" applyNumberFormat="1" applyFill="1" applyBorder="1"/>
    <xf numFmtId="2" fontId="17" fillId="9" borderId="15" xfId="0" applyNumberFormat="1" applyFont="1" applyFill="1" applyBorder="1"/>
    <xf numFmtId="2" fontId="16" fillId="0" borderId="0" xfId="0" applyNumberFormat="1" applyFont="1"/>
    <xf numFmtId="2" fontId="17" fillId="9" borderId="12" xfId="0" applyNumberFormat="1" applyFont="1" applyFill="1" applyBorder="1"/>
    <xf numFmtId="2" fontId="0" fillId="9" borderId="16" xfId="0" applyNumberFormat="1" applyFill="1" applyBorder="1"/>
    <xf numFmtId="2" fontId="0" fillId="9" borderId="17" xfId="0" applyNumberFormat="1" applyFill="1" applyBorder="1"/>
    <xf numFmtId="2" fontId="17" fillId="9" borderId="16" xfId="0" applyNumberFormat="1" applyFont="1" applyFill="1" applyBorder="1"/>
    <xf numFmtId="0" fontId="17" fillId="9" borderId="18" xfId="0" applyFont="1" applyFill="1" applyBorder="1"/>
    <xf numFmtId="0" fontId="0" fillId="9" borderId="16" xfId="0" applyFill="1" applyBorder="1"/>
    <xf numFmtId="0" fontId="0" fillId="9" borderId="12" xfId="0" applyFill="1" applyBorder="1"/>
    <xf numFmtId="0" fontId="0" fillId="9" borderId="17" xfId="0" applyFill="1" applyBorder="1"/>
    <xf numFmtId="0" fontId="17" fillId="9" borderId="19" xfId="0" applyFont="1" applyFill="1" applyBorder="1"/>
    <xf numFmtId="2" fontId="0" fillId="0" borderId="12" xfId="0" applyNumberFormat="1" applyBorder="1"/>
    <xf numFmtId="2" fontId="0" fillId="0" borderId="14" xfId="0" applyNumberFormat="1" applyBorder="1"/>
    <xf numFmtId="2" fontId="17" fillId="0" borderId="12" xfId="0" applyNumberFormat="1" applyFont="1" applyBorder="1"/>
    <xf numFmtId="2" fontId="0" fillId="0" borderId="16" xfId="0" applyNumberFormat="1" applyBorder="1"/>
    <xf numFmtId="2" fontId="0" fillId="0" borderId="17" xfId="0" applyNumberFormat="1" applyBorder="1"/>
    <xf numFmtId="2" fontId="17" fillId="0" borderId="16" xfId="0" applyNumberFormat="1" applyFont="1" applyBorder="1"/>
    <xf numFmtId="0" fontId="0" fillId="0" borderId="18" xfId="0" applyBorder="1"/>
    <xf numFmtId="0" fontId="0" fillId="0" borderId="16" xfId="0" applyBorder="1"/>
    <xf numFmtId="0" fontId="0" fillId="0" borderId="12" xfId="0" applyBorder="1"/>
    <xf numFmtId="0" fontId="0" fillId="0" borderId="17" xfId="0" applyBorder="1"/>
    <xf numFmtId="0" fontId="17" fillId="0" borderId="19" xfId="0" applyFont="1" applyBorder="1"/>
    <xf numFmtId="0" fontId="17" fillId="0" borderId="0" xfId="0" applyFont="1"/>
    <xf numFmtId="0" fontId="0" fillId="10" borderId="0" xfId="0" applyFill="1"/>
    <xf numFmtId="2" fontId="0" fillId="10" borderId="12" xfId="0" applyNumberFormat="1" applyFill="1" applyBorder="1"/>
    <xf numFmtId="2" fontId="0" fillId="10" borderId="14" xfId="0" applyNumberFormat="1" applyFill="1" applyBorder="1"/>
    <xf numFmtId="2" fontId="17" fillId="10" borderId="12" xfId="0" applyNumberFormat="1" applyFont="1" applyFill="1" applyBorder="1"/>
    <xf numFmtId="2" fontId="0" fillId="10" borderId="16" xfId="0" applyNumberFormat="1" applyFill="1" applyBorder="1"/>
    <xf numFmtId="2" fontId="0" fillId="10" borderId="17" xfId="0" applyNumberFormat="1" applyFill="1" applyBorder="1"/>
    <xf numFmtId="0" fontId="0" fillId="10" borderId="18" xfId="0" applyFill="1" applyBorder="1"/>
    <xf numFmtId="0" fontId="0" fillId="10" borderId="16" xfId="0" applyFill="1" applyBorder="1"/>
    <xf numFmtId="0" fontId="0" fillId="10" borderId="12" xfId="0" applyFill="1" applyBorder="1"/>
    <xf numFmtId="0" fontId="0" fillId="10" borderId="17" xfId="0" applyFill="1" applyBorder="1"/>
    <xf numFmtId="0" fontId="17" fillId="10" borderId="0" xfId="0" applyFont="1" applyFill="1"/>
    <xf numFmtId="2" fontId="17" fillId="10" borderId="16" xfId="0" applyNumberFormat="1" applyFont="1" applyFill="1" applyBorder="1"/>
    <xf numFmtId="0" fontId="17" fillId="10" borderId="19" xfId="0" applyFont="1" applyFill="1" applyBorder="1"/>
    <xf numFmtId="0" fontId="16" fillId="0" borderId="13" xfId="0" applyFont="1" applyBorder="1"/>
    <xf numFmtId="0" fontId="0" fillId="0" borderId="11" xfId="0" applyBorder="1"/>
    <xf numFmtId="0" fontId="17" fillId="10" borderId="18" xfId="0" applyFont="1" applyFill="1" applyBorder="1"/>
    <xf numFmtId="0" fontId="0" fillId="9" borderId="18" xfId="0" applyFill="1" applyBorder="1"/>
    <xf numFmtId="0" fontId="7" fillId="0" borderId="0" xfId="0" applyFont="1" applyFill="1"/>
    <xf numFmtId="2" fontId="7" fillId="0" borderId="1" xfId="3" applyFont="1" applyFill="1">
      <alignment horizontal="center" vertical="center"/>
    </xf>
    <xf numFmtId="0" fontId="15" fillId="0" borderId="0" xfId="4" applyFill="1"/>
    <xf numFmtId="2" fontId="5" fillId="0" borderId="1" xfId="3" applyFont="1" applyFill="1" applyAlignment="1">
      <alignment horizontal="center" vertical="center" wrapText="1"/>
    </xf>
    <xf numFmtId="1" fontId="5" fillId="4" borderId="1" xfId="3" applyNumberFormat="1" applyFont="1" applyFill="1" applyAlignment="1">
      <alignment horizontal="center" vertical="center" wrapText="1"/>
    </xf>
    <xf numFmtId="1" fontId="7" fillId="0" borderId="1" xfId="3" applyNumberFormat="1" applyFont="1" applyFill="1">
      <alignment horizontal="center" vertical="center"/>
    </xf>
    <xf numFmtId="1" fontId="7" fillId="0" borderId="0" xfId="0" applyNumberFormat="1" applyFont="1" applyFill="1"/>
    <xf numFmtId="1" fontId="15" fillId="0" borderId="0" xfId="4" applyNumberFormat="1" applyFill="1"/>
    <xf numFmtId="1" fontId="5" fillId="0" borderId="1" xfId="3" applyNumberFormat="1" applyFont="1" applyFill="1" applyAlignment="1">
      <alignment horizontal="center" vertical="center" wrapText="1"/>
    </xf>
    <xf numFmtId="2" fontId="20" fillId="0" borderId="0" xfId="0" applyNumberFormat="1" applyFont="1" applyAlignment="1">
      <alignment horizontal="center" vertical="center"/>
    </xf>
    <xf numFmtId="0" fontId="21" fillId="0" borderId="0" xfId="0" applyFont="1"/>
    <xf numFmtId="0" fontId="4" fillId="0" borderId="0" xfId="0" applyFont="1"/>
    <xf numFmtId="2" fontId="19" fillId="4" borderId="1" xfId="3" applyFont="1" applyFill="1" applyAlignment="1">
      <alignment horizontal="center" vertical="center" wrapText="1"/>
    </xf>
    <xf numFmtId="2" fontId="23" fillId="4" borderId="1" xfId="3" applyFont="1" applyFill="1" applyAlignment="1">
      <alignment horizontal="center" vertical="center" wrapText="1"/>
    </xf>
    <xf numFmtId="2" fontId="22" fillId="4" borderId="1" xfId="3" applyFont="1" applyFill="1" applyAlignment="1">
      <alignment horizontal="center" vertical="center" wrapText="1"/>
    </xf>
    <xf numFmtId="0" fontId="4" fillId="0" borderId="0" xfId="0" applyFont="1" applyAlignment="1">
      <alignment wrapText="1"/>
    </xf>
    <xf numFmtId="2" fontId="20" fillId="0" borderId="1" xfId="3" applyFont="1">
      <alignment horizontal="center" vertical="center"/>
    </xf>
    <xf numFmtId="2" fontId="24" fillId="0" borderId="1" xfId="3" applyFont="1">
      <alignment horizontal="center" vertical="center"/>
    </xf>
    <xf numFmtId="2" fontId="21" fillId="0" borderId="1" xfId="3" applyFont="1">
      <alignment horizontal="center" vertical="center"/>
    </xf>
    <xf numFmtId="0" fontId="24" fillId="0" borderId="0" xfId="0" applyFont="1" applyAlignment="1">
      <alignment horizontal="left" vertical="center"/>
    </xf>
    <xf numFmtId="0" fontId="24" fillId="0" borderId="0" xfId="0" applyFont="1"/>
    <xf numFmtId="2" fontId="4" fillId="0" borderId="1" xfId="3" applyFont="1">
      <alignment horizontal="center" vertical="center"/>
    </xf>
    <xf numFmtId="2" fontId="15" fillId="0" borderId="1" xfId="3" applyFont="1" applyAlignment="1">
      <alignment horizontal="center" vertical="center" wrapText="1"/>
    </xf>
    <xf numFmtId="14" fontId="15" fillId="0" borderId="1" xfId="3" applyNumberFormat="1" applyFont="1">
      <alignment horizontal="center" vertical="center"/>
    </xf>
    <xf numFmtId="0" fontId="25" fillId="0" borderId="0" xfId="0" applyFont="1" applyAlignment="1">
      <alignment horizontal="center" vertical="center" wrapText="1"/>
    </xf>
    <xf numFmtId="1" fontId="25" fillId="0" borderId="0" xfId="0" applyNumberFormat="1" applyFont="1" applyAlignment="1">
      <alignment horizontal="center" vertical="center" wrapText="1"/>
    </xf>
    <xf numFmtId="2" fontId="25" fillId="0" borderId="0" xfId="0" applyNumberFormat="1" applyFont="1" applyAlignment="1">
      <alignment horizontal="center" vertical="center" wrapText="1"/>
    </xf>
    <xf numFmtId="0" fontId="26" fillId="0" borderId="0" xfId="0" applyFont="1" applyAlignment="1">
      <alignment horizontal="center" vertical="center"/>
    </xf>
    <xf numFmtId="1" fontId="26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2" fontId="26" fillId="0" borderId="0" xfId="0" applyNumberFormat="1" applyFont="1" applyAlignment="1">
      <alignment horizontal="center" vertical="center"/>
    </xf>
    <xf numFmtId="1" fontId="26" fillId="0" borderId="0" xfId="0" applyNumberFormat="1" applyFont="1" applyAlignment="1">
      <alignment horizontal="center"/>
    </xf>
    <xf numFmtId="0" fontId="26" fillId="0" borderId="0" xfId="0" applyFont="1"/>
    <xf numFmtId="2" fontId="26" fillId="0" borderId="0" xfId="0" applyNumberFormat="1" applyFont="1"/>
    <xf numFmtId="0" fontId="0" fillId="0" borderId="20" xfId="0" applyBorder="1"/>
    <xf numFmtId="1" fontId="19" fillId="4" borderId="1" xfId="3" applyNumberFormat="1" applyFont="1" applyFill="1" applyAlignment="1">
      <alignment horizontal="center" vertical="center" wrapText="1"/>
    </xf>
    <xf numFmtId="1" fontId="20" fillId="0" borderId="1" xfId="3" applyNumberFormat="1" applyFont="1">
      <alignment horizontal="center" vertical="center"/>
    </xf>
    <xf numFmtId="1" fontId="20" fillId="0" borderId="0" xfId="0" applyNumberFormat="1" applyFont="1" applyAlignment="1">
      <alignment vertical="center"/>
    </xf>
    <xf numFmtId="1" fontId="21" fillId="0" borderId="1" xfId="3" applyNumberFormat="1" applyFont="1">
      <alignment horizontal="center" vertical="center"/>
    </xf>
    <xf numFmtId="1" fontId="21" fillId="0" borderId="0" xfId="0" applyNumberFormat="1" applyFont="1"/>
    <xf numFmtId="2" fontId="27" fillId="4" borderId="1" xfId="3" applyFont="1" applyFill="1" applyAlignment="1">
      <alignment horizontal="center" vertical="center" wrapText="1"/>
    </xf>
    <xf numFmtId="2" fontId="28" fillId="0" borderId="1" xfId="3" applyFont="1" applyFill="1">
      <alignment horizontal="center" vertical="center"/>
    </xf>
    <xf numFmtId="0" fontId="28" fillId="0" borderId="0" xfId="0" applyFont="1" applyFill="1"/>
    <xf numFmtId="0" fontId="29" fillId="0" borderId="0" xfId="4" applyFont="1" applyFill="1"/>
    <xf numFmtId="2" fontId="27" fillId="0" borderId="1" xfId="3" applyFont="1" applyFill="1" applyAlignment="1">
      <alignment horizontal="center" vertical="center" wrapText="1"/>
    </xf>
    <xf numFmtId="1" fontId="4" fillId="11" borderId="1" xfId="3" applyNumberFormat="1" applyFont="1" applyFill="1" applyAlignment="1">
      <alignment horizontal="center" vertical="center" wrapText="1"/>
    </xf>
    <xf numFmtId="2" fontId="4" fillId="11" borderId="1" xfId="3" applyFont="1" applyFill="1" applyAlignment="1">
      <alignment horizontal="center" vertical="center" wrapText="1"/>
    </xf>
    <xf numFmtId="2" fontId="5" fillId="11" borderId="1" xfId="3" applyFont="1" applyFill="1" applyAlignment="1">
      <alignment horizontal="center" vertical="center" wrapText="1"/>
    </xf>
    <xf numFmtId="9" fontId="5" fillId="11" borderId="1" xfId="1" applyFont="1" applyFill="1" applyBorder="1" applyAlignment="1">
      <alignment horizontal="center" vertical="center" wrapText="1"/>
    </xf>
    <xf numFmtId="2" fontId="15" fillId="5" borderId="0" xfId="4" applyNumberFormat="1" applyFill="1"/>
    <xf numFmtId="2" fontId="15" fillId="6" borderId="0" xfId="4" applyNumberFormat="1" applyFill="1"/>
    <xf numFmtId="2" fontId="15" fillId="0" borderId="1" xfId="3" applyNumberFormat="1" applyFont="1">
      <alignment horizontal="center" vertical="center"/>
    </xf>
    <xf numFmtId="2" fontId="0" fillId="0" borderId="1" xfId="3" applyNumberFormat="1" applyFont="1">
      <alignment horizontal="center" vertical="center"/>
    </xf>
    <xf numFmtId="1" fontId="15" fillId="0" borderId="1" xfId="3" applyNumberFormat="1" applyFont="1">
      <alignment horizontal="center" vertical="center"/>
    </xf>
    <xf numFmtId="2" fontId="4" fillId="4" borderId="1" xfId="3" applyFont="1" applyFill="1">
      <alignment horizontal="center" vertical="center"/>
    </xf>
    <xf numFmtId="0" fontId="0" fillId="0" borderId="0" xfId="0" applyAlignment="1">
      <alignment horizontal="center"/>
    </xf>
    <xf numFmtId="0" fontId="11" fillId="3" borderId="5" xfId="0" applyFont="1" applyFill="1" applyBorder="1" applyAlignment="1">
      <alignment horizontal="center" vertical="center" wrapText="1"/>
    </xf>
    <xf numFmtId="0" fontId="11" fillId="3" borderId="6" xfId="0" applyFont="1" applyFill="1" applyBorder="1" applyAlignment="1">
      <alignment horizontal="center" vertical="center" wrapText="1"/>
    </xf>
    <xf numFmtId="0" fontId="11" fillId="3" borderId="2" xfId="0" applyFont="1" applyFill="1" applyBorder="1" applyAlignment="1">
      <alignment horizontal="center" vertical="center" wrapText="1"/>
    </xf>
    <xf numFmtId="0" fontId="11" fillId="0" borderId="5" xfId="0" applyFont="1" applyBorder="1" applyAlignment="1">
      <alignment horizontal="center" vertical="center" wrapText="1"/>
    </xf>
    <xf numFmtId="0" fontId="11" fillId="0" borderId="6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11" fillId="0" borderId="5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2" fontId="4" fillId="11" borderId="1" xfId="3" applyFont="1" applyFill="1">
      <alignment horizontal="center" vertical="center"/>
    </xf>
    <xf numFmtId="2" fontId="4" fillId="11" borderId="1" xfId="3" applyFont="1" applyFill="1" applyAlignment="1">
      <alignment horizontal="center" vertical="center" wrapText="1"/>
    </xf>
    <xf numFmtId="2" fontId="5" fillId="11" borderId="1" xfId="3" applyFont="1" applyFill="1">
      <alignment horizontal="center" vertical="center"/>
    </xf>
    <xf numFmtId="1" fontId="5" fillId="11" borderId="1" xfId="3" applyNumberFormat="1" applyFont="1" applyFill="1">
      <alignment horizontal="center" vertical="center"/>
    </xf>
    <xf numFmtId="2" fontId="11" fillId="11" borderId="1" xfId="3" applyFont="1" applyFill="1">
      <alignment horizontal="center" vertical="center"/>
    </xf>
    <xf numFmtId="2" fontId="8" fillId="11" borderId="1" xfId="3" applyFont="1" applyFill="1">
      <alignment horizontal="center" vertical="center"/>
    </xf>
    <xf numFmtId="2" fontId="8" fillId="11" borderId="9" xfId="3" applyFont="1" applyFill="1" applyBorder="1">
      <alignment horizontal="center" vertical="center"/>
    </xf>
    <xf numFmtId="2" fontId="8" fillId="11" borderId="3" xfId="3" applyFont="1" applyFill="1" applyBorder="1">
      <alignment horizontal="center" vertical="center"/>
    </xf>
    <xf numFmtId="2" fontId="11" fillId="4" borderId="1" xfId="3" applyFont="1" applyFill="1">
      <alignment horizontal="center" vertical="center"/>
    </xf>
    <xf numFmtId="2" fontId="11" fillId="0" borderId="1" xfId="3" applyFont="1" applyFill="1">
      <alignment horizontal="center" vertical="center"/>
    </xf>
    <xf numFmtId="2" fontId="5" fillId="4" borderId="1" xfId="3" applyFont="1" applyFill="1">
      <alignment horizontal="center" vertical="center"/>
    </xf>
    <xf numFmtId="0" fontId="11" fillId="4" borderId="9" xfId="0" applyFont="1" applyFill="1" applyBorder="1" applyAlignment="1">
      <alignment horizontal="center" vertical="center"/>
    </xf>
    <xf numFmtId="0" fontId="11" fillId="4" borderId="8" xfId="0" applyFont="1" applyFill="1" applyBorder="1" applyAlignment="1">
      <alignment horizontal="center" vertical="center"/>
    </xf>
    <xf numFmtId="0" fontId="11" fillId="4" borderId="3" xfId="0" applyFont="1" applyFill="1" applyBorder="1" applyAlignment="1">
      <alignment horizontal="center" vertical="center"/>
    </xf>
    <xf numFmtId="2" fontId="11" fillId="4" borderId="1" xfId="3" applyFont="1" applyFill="1" applyAlignment="1">
      <alignment horizontal="center" vertical="center"/>
    </xf>
    <xf numFmtId="0" fontId="11" fillId="4" borderId="5" xfId="0" applyFont="1" applyFill="1" applyBorder="1" applyAlignment="1">
      <alignment horizontal="center" vertical="center"/>
    </xf>
    <xf numFmtId="0" fontId="11" fillId="4" borderId="6" xfId="0" applyFont="1" applyFill="1" applyBorder="1" applyAlignment="1">
      <alignment horizontal="center" vertical="center"/>
    </xf>
    <xf numFmtId="0" fontId="11" fillId="4" borderId="2" xfId="0" applyFont="1" applyFill="1" applyBorder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2" fontId="11" fillId="4" borderId="1" xfId="3" applyFont="1" applyFill="1" applyAlignment="1">
      <alignment horizontal="center" vertical="center" wrapText="1"/>
    </xf>
    <xf numFmtId="0" fontId="0" fillId="7" borderId="0" xfId="0" applyFill="1" applyAlignment="1">
      <alignment horizontal="center"/>
    </xf>
    <xf numFmtId="0" fontId="0" fillId="0" borderId="0" xfId="0"/>
    <xf numFmtId="0" fontId="0" fillId="0" borderId="11" xfId="0" applyBorder="1"/>
    <xf numFmtId="0" fontId="0" fillId="0" borderId="0" xfId="0" applyAlignment="1">
      <alignment horizontal="center" vertical="top"/>
    </xf>
    <xf numFmtId="0" fontId="26" fillId="0" borderId="0" xfId="0" applyFont="1" applyAlignment="1">
      <alignment horizontal="center" vertical="center"/>
    </xf>
    <xf numFmtId="0" fontId="26" fillId="0" borderId="0" xfId="0" applyFont="1"/>
    <xf numFmtId="0" fontId="0" fillId="0" borderId="0" xfId="0" applyAlignment="1">
      <alignment horizontal="center" vertical="center"/>
    </xf>
    <xf numFmtId="2" fontId="19" fillId="4" borderId="1" xfId="3" applyFont="1" applyFill="1">
      <alignment horizontal="center" vertical="center"/>
    </xf>
    <xf numFmtId="2" fontId="22" fillId="4" borderId="7" xfId="3" applyFont="1" applyFill="1" applyBorder="1" applyAlignment="1">
      <alignment horizontal="center" vertical="center"/>
    </xf>
    <xf numFmtId="2" fontId="22" fillId="4" borderId="4" xfId="3" applyFont="1" applyFill="1" applyBorder="1" applyAlignment="1">
      <alignment horizontal="center" vertical="center"/>
    </xf>
    <xf numFmtId="2" fontId="22" fillId="4" borderId="5" xfId="3" applyFont="1" applyFill="1" applyBorder="1" applyAlignment="1">
      <alignment horizontal="center" vertical="center"/>
    </xf>
    <xf numFmtId="2" fontId="22" fillId="4" borderId="6" xfId="3" applyFont="1" applyFill="1" applyBorder="1" applyAlignment="1">
      <alignment horizontal="center" vertical="center"/>
    </xf>
    <xf numFmtId="2" fontId="22" fillId="4" borderId="2" xfId="3" applyFont="1" applyFill="1" applyBorder="1" applyAlignment="1">
      <alignment horizontal="center" vertical="center"/>
    </xf>
    <xf numFmtId="2" fontId="22" fillId="4" borderId="5" xfId="3" applyFont="1" applyFill="1" applyBorder="1" applyAlignment="1">
      <alignment horizontal="center" vertical="center" wrapText="1"/>
    </xf>
    <xf numFmtId="2" fontId="22" fillId="4" borderId="6" xfId="3" applyFont="1" applyFill="1" applyBorder="1" applyAlignment="1">
      <alignment horizontal="center" vertical="center" wrapText="1"/>
    </xf>
    <xf numFmtId="2" fontId="22" fillId="4" borderId="2" xfId="3" applyFont="1" applyFill="1" applyBorder="1" applyAlignment="1">
      <alignment horizontal="center" vertical="center" wrapText="1"/>
    </xf>
    <xf numFmtId="2" fontId="5" fillId="4" borderId="9" xfId="3" applyFont="1" applyFill="1" applyBorder="1">
      <alignment horizontal="center" vertical="center"/>
    </xf>
    <xf numFmtId="2" fontId="5" fillId="4" borderId="8" xfId="3" applyFont="1" applyFill="1" applyBorder="1">
      <alignment horizontal="center" vertical="center"/>
    </xf>
    <xf numFmtId="2" fontId="5" fillId="4" borderId="3" xfId="3" applyFont="1" applyFill="1" applyBorder="1">
      <alignment horizontal="center" vertical="center"/>
    </xf>
    <xf numFmtId="2" fontId="5" fillId="4" borderId="5" xfId="3" applyFont="1" applyFill="1" applyBorder="1" applyAlignment="1">
      <alignment horizontal="center" vertical="center" wrapText="1"/>
    </xf>
    <xf numFmtId="2" fontId="5" fillId="4" borderId="6" xfId="3" applyFont="1" applyFill="1" applyBorder="1" applyAlignment="1">
      <alignment horizontal="center" vertical="center" wrapText="1"/>
    </xf>
    <xf numFmtId="2" fontId="5" fillId="4" borderId="5" xfId="3" applyFont="1" applyFill="1" applyBorder="1" applyAlignment="1">
      <alignment horizontal="center" vertical="center"/>
    </xf>
    <xf numFmtId="2" fontId="5" fillId="4" borderId="6" xfId="3" applyFont="1" applyFill="1" applyBorder="1" applyAlignment="1">
      <alignment horizontal="center" vertical="center"/>
    </xf>
    <xf numFmtId="2" fontId="5" fillId="0" borderId="5" xfId="3" applyFont="1" applyFill="1" applyBorder="1" applyAlignment="1">
      <alignment horizontal="center" vertical="center" wrapText="1"/>
    </xf>
    <xf numFmtId="2" fontId="5" fillId="0" borderId="6" xfId="3" applyFont="1" applyFill="1" applyBorder="1" applyAlignment="1">
      <alignment horizontal="center" vertical="center" wrapText="1"/>
    </xf>
    <xf numFmtId="2" fontId="18" fillId="4" borderId="5" xfId="3" applyFont="1" applyFill="1" applyBorder="1" applyAlignment="1">
      <alignment horizontal="center" vertical="center" wrapText="1"/>
    </xf>
    <xf numFmtId="2" fontId="18" fillId="4" borderId="6" xfId="3" applyFont="1" applyFill="1" applyBorder="1" applyAlignment="1">
      <alignment horizontal="center" vertical="center" wrapText="1"/>
    </xf>
    <xf numFmtId="2" fontId="5" fillId="4" borderId="1" xfId="3" applyFont="1" applyFill="1" applyAlignment="1">
      <alignment horizontal="center" vertical="center" wrapText="1"/>
    </xf>
    <xf numFmtId="0" fontId="0" fillId="0" borderId="0" xfId="0" applyBorder="1" applyAlignment="1">
      <alignment vertical="center"/>
    </xf>
    <xf numFmtId="0" fontId="11" fillId="0" borderId="0" xfId="0" applyFont="1" applyBorder="1" applyAlignment="1">
      <alignment horizontal="center" vertical="center"/>
    </xf>
    <xf numFmtId="0" fontId="11" fillId="3" borderId="0" xfId="0" applyFont="1" applyFill="1" applyBorder="1" applyAlignment="1">
      <alignment horizontal="center" vertical="center"/>
    </xf>
    <xf numFmtId="0" fontId="0" fillId="3" borderId="0" xfId="0" applyFill="1" applyBorder="1" applyAlignment="1">
      <alignment vertical="top"/>
    </xf>
    <xf numFmtId="0" fontId="6" fillId="3" borderId="0" xfId="0" applyFont="1" applyFill="1" applyBorder="1" applyAlignment="1">
      <alignment horizontal="center" vertical="center"/>
    </xf>
  </cellXfs>
  <cellStyles count="5">
    <cellStyle name="Good" xfId="2" builtinId="26"/>
    <cellStyle name="Normal" xfId="0" builtinId="0"/>
    <cellStyle name="Normal 2" xfId="4" xr:uid="{BEE44EDC-0E10-49D7-A330-ED3031041F70}"/>
    <cellStyle name="Percent" xfId="1" builtinId="5"/>
    <cellStyle name="Style 1" xfId="3" xr:uid="{24E704FB-20D2-41E5-8ED2-E7342E0A2FE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CCE415-06F1-42B8-AE28-FEF3184486D2}">
  <dimension ref="A1:S60"/>
  <sheetViews>
    <sheetView workbookViewId="0">
      <selection activeCell="F28" sqref="F28"/>
    </sheetView>
  </sheetViews>
  <sheetFormatPr defaultRowHeight="15"/>
  <cols>
    <col min="3" max="6" width="9.28515625" bestFit="1" customWidth="1"/>
    <col min="7" max="7" width="9.5703125" bestFit="1" customWidth="1"/>
    <col min="8" max="13" width="9.28515625" bestFit="1" customWidth="1"/>
    <col min="15" max="15" width="9.28515625" bestFit="1" customWidth="1"/>
    <col min="17" max="19" width="9.28515625" bestFit="1" customWidth="1"/>
  </cols>
  <sheetData>
    <row r="1" spans="1:19" ht="15.75" thickBot="1">
      <c r="A1" s="224" t="s">
        <v>111</v>
      </c>
      <c r="B1" s="224"/>
      <c r="C1" s="224"/>
      <c r="D1" s="224"/>
      <c r="E1" s="224"/>
      <c r="F1" s="224"/>
      <c r="G1" s="224"/>
      <c r="H1" s="224"/>
      <c r="I1" s="224"/>
      <c r="J1" s="224"/>
      <c r="K1" s="224"/>
      <c r="L1" s="224"/>
      <c r="M1" s="224"/>
      <c r="N1" s="224"/>
      <c r="O1" s="224"/>
      <c r="P1" s="224"/>
      <c r="Q1" s="224"/>
      <c r="R1" s="224"/>
      <c r="S1" s="224"/>
    </row>
    <row r="2" spans="1:19" s="91" customFormat="1" ht="45.75" thickBot="1">
      <c r="A2" s="89" t="s">
        <v>89</v>
      </c>
      <c r="B2" s="89" t="s">
        <v>90</v>
      </c>
      <c r="C2" s="89" t="s">
        <v>91</v>
      </c>
      <c r="D2" s="89" t="s">
        <v>92</v>
      </c>
      <c r="E2" s="89" t="s">
        <v>93</v>
      </c>
      <c r="F2" s="89" t="s">
        <v>94</v>
      </c>
      <c r="G2" s="89" t="s">
        <v>95</v>
      </c>
      <c r="H2" s="89" t="s">
        <v>96</v>
      </c>
      <c r="I2" s="89" t="s">
        <v>97</v>
      </c>
      <c r="J2" s="89" t="s">
        <v>98</v>
      </c>
      <c r="K2" s="90" t="s">
        <v>126</v>
      </c>
      <c r="L2" s="90" t="s">
        <v>99</v>
      </c>
      <c r="M2" s="90" t="s">
        <v>100</v>
      </c>
      <c r="N2" s="90" t="s">
        <v>101</v>
      </c>
      <c r="O2" s="90" t="s">
        <v>102</v>
      </c>
      <c r="P2" s="90" t="s">
        <v>103</v>
      </c>
      <c r="Q2" s="90" t="s">
        <v>104</v>
      </c>
      <c r="R2" s="90" t="s">
        <v>105</v>
      </c>
      <c r="S2" s="90" t="s">
        <v>106</v>
      </c>
    </row>
    <row r="3" spans="1:19" ht="15.75" thickBot="1">
      <c r="A3" s="65" t="s">
        <v>39</v>
      </c>
      <c r="B3" s="65" t="s">
        <v>107</v>
      </c>
      <c r="C3" s="87">
        <v>71</v>
      </c>
      <c r="D3" s="65">
        <v>0.99993459612665803</v>
      </c>
      <c r="E3" s="65">
        <v>0.99988241219851404</v>
      </c>
      <c r="F3" s="65">
        <v>0.99996188648009199</v>
      </c>
      <c r="G3" s="65">
        <v>34358.866258362003</v>
      </c>
      <c r="H3" s="65">
        <v>70</v>
      </c>
      <c r="I3" s="65">
        <v>38.430007079707202</v>
      </c>
      <c r="J3" s="65">
        <v>1.01179952303958E-78</v>
      </c>
      <c r="K3" s="88">
        <v>71</v>
      </c>
      <c r="L3" s="86">
        <v>3.8503000000000003E-2</v>
      </c>
      <c r="M3" s="86">
        <v>1.8186000000000001E-2</v>
      </c>
      <c r="N3" s="86" t="s">
        <v>108</v>
      </c>
      <c r="O3" s="86" t="b">
        <v>1</v>
      </c>
      <c r="P3" s="86" t="s">
        <v>109</v>
      </c>
      <c r="Q3" s="86">
        <v>0.99993459612665803</v>
      </c>
      <c r="R3" s="86">
        <v>0.85654520474308105</v>
      </c>
      <c r="S3" s="86">
        <v>1.0134206046918901</v>
      </c>
    </row>
    <row r="4" spans="1:19" ht="15.75" thickBot="1">
      <c r="A4" s="65" t="s">
        <v>38</v>
      </c>
      <c r="B4" s="65" t="s">
        <v>107</v>
      </c>
      <c r="C4" s="87">
        <v>80</v>
      </c>
      <c r="D4" s="65">
        <v>0.99998348528752301</v>
      </c>
      <c r="E4" s="65">
        <v>0.99997428454626203</v>
      </c>
      <c r="F4" s="65">
        <v>0.99998939940972398</v>
      </c>
      <c r="G4" s="65">
        <v>121790.43126224</v>
      </c>
      <c r="H4" s="65">
        <v>79</v>
      </c>
      <c r="I4" s="65">
        <v>79.799243718372395</v>
      </c>
      <c r="J4" s="65">
        <v>6.43851686889634E-181</v>
      </c>
      <c r="K4" s="88">
        <v>80</v>
      </c>
      <c r="L4" s="86">
        <v>1.48400000000004E-2</v>
      </c>
      <c r="M4" s="86">
        <v>-9.3249999999889298E-4</v>
      </c>
      <c r="N4" s="86" t="s">
        <v>108</v>
      </c>
      <c r="O4" s="86" t="b">
        <v>1</v>
      </c>
      <c r="P4" s="86" t="s">
        <v>109</v>
      </c>
      <c r="Q4" s="86">
        <v>0.99998348528752301</v>
      </c>
      <c r="R4" s="86">
        <v>0.93937347498827795</v>
      </c>
      <c r="S4" s="86">
        <v>1.1114187900213499</v>
      </c>
    </row>
    <row r="5" spans="1:19" ht="15.75" thickBot="1">
      <c r="A5" s="65" t="s">
        <v>42</v>
      </c>
      <c r="B5" s="65" t="s">
        <v>107</v>
      </c>
      <c r="C5" s="87">
        <v>81</v>
      </c>
      <c r="D5" s="65">
        <v>0.99989358378555404</v>
      </c>
      <c r="E5" s="65">
        <v>0.99983459674292396</v>
      </c>
      <c r="F5" s="65">
        <v>0.99993154369373904</v>
      </c>
      <c r="G5" s="65">
        <v>18585.708557745798</v>
      </c>
      <c r="H5" s="65">
        <v>80</v>
      </c>
      <c r="I5" s="65">
        <v>80.200785454711706</v>
      </c>
      <c r="J5" s="65">
        <v>4.0350699271031904E-149</v>
      </c>
      <c r="K5" s="88">
        <v>81</v>
      </c>
      <c r="L5" s="86">
        <v>1.52839999999994E-2</v>
      </c>
      <c r="M5" s="86">
        <v>-2.13199999999958E-3</v>
      </c>
      <c r="N5" s="86" t="s">
        <v>108</v>
      </c>
      <c r="O5" s="86" t="b">
        <v>1</v>
      </c>
      <c r="P5" s="86" t="s">
        <v>109</v>
      </c>
      <c r="Q5" s="86">
        <v>0.99989358378555404</v>
      </c>
      <c r="R5" s="86">
        <v>0.93758877167152399</v>
      </c>
      <c r="S5" s="86">
        <v>1.1093072200721601</v>
      </c>
    </row>
    <row r="6" spans="1:19" ht="15.75" thickBot="1">
      <c r="A6" s="65" t="s">
        <v>41</v>
      </c>
      <c r="B6" s="65" t="s">
        <v>107</v>
      </c>
      <c r="C6" s="87">
        <v>81</v>
      </c>
      <c r="D6" s="65">
        <v>0.99953415703968596</v>
      </c>
      <c r="E6" s="65">
        <v>0.95297595362049603</v>
      </c>
      <c r="F6" s="65">
        <v>0.99989241757609204</v>
      </c>
      <c r="G6" s="65">
        <v>22156.3336128427</v>
      </c>
      <c r="H6" s="65">
        <v>80</v>
      </c>
      <c r="I6" s="65">
        <v>1.5281303953505301</v>
      </c>
      <c r="J6" s="65">
        <v>4.2129645574974598E-4</v>
      </c>
      <c r="K6" s="88">
        <v>81</v>
      </c>
      <c r="L6" s="86">
        <v>0.19999999999999901</v>
      </c>
      <c r="M6" s="86">
        <v>-0.19999999999999901</v>
      </c>
      <c r="N6" s="86" t="s">
        <v>108</v>
      </c>
      <c r="O6" s="86" t="b">
        <v>1</v>
      </c>
      <c r="P6" s="86" t="s">
        <v>109</v>
      </c>
      <c r="Q6" s="86">
        <v>0.99953415703968596</v>
      </c>
      <c r="R6" s="86">
        <v>0.53463454911425101</v>
      </c>
      <c r="S6" s="86">
        <v>0.63255233355145202</v>
      </c>
    </row>
    <row r="7" spans="1:19" ht="15.75" thickBot="1">
      <c r="A7" s="65" t="s">
        <v>43</v>
      </c>
      <c r="B7" s="65" t="s">
        <v>107</v>
      </c>
      <c r="C7" s="87">
        <v>81</v>
      </c>
      <c r="D7" s="65">
        <v>0.99991546679468801</v>
      </c>
      <c r="E7" s="65">
        <v>0.99986870442618603</v>
      </c>
      <c r="F7" s="65">
        <v>0.99994559566733499</v>
      </c>
      <c r="G7" s="65">
        <v>23480.802318754198</v>
      </c>
      <c r="H7" s="65">
        <v>80</v>
      </c>
      <c r="I7" s="65">
        <v>80.631176752823706</v>
      </c>
      <c r="J7" s="65">
        <v>5.6345192447338797E-154</v>
      </c>
      <c r="K7" s="88">
        <v>81</v>
      </c>
      <c r="L7" s="86">
        <v>1.45020000000002E-2</v>
      </c>
      <c r="M7" s="86">
        <v>3.6950000000004501E-3</v>
      </c>
      <c r="N7" s="86" t="s">
        <v>108</v>
      </c>
      <c r="O7" s="86" t="b">
        <v>1</v>
      </c>
      <c r="P7" s="86" t="s">
        <v>109</v>
      </c>
      <c r="Q7" s="86">
        <v>0.99991546679468801</v>
      </c>
      <c r="R7" s="86">
        <v>0.94060808239923699</v>
      </c>
      <c r="S7" s="86">
        <v>1.11287951454826</v>
      </c>
    </row>
    <row r="8" spans="1:19" ht="15.75" thickBot="1">
      <c r="A8" s="65" t="s">
        <v>44</v>
      </c>
      <c r="B8" s="65" t="s">
        <v>110</v>
      </c>
      <c r="C8" s="87">
        <v>80</v>
      </c>
      <c r="D8" s="65">
        <v>0.99991410674793801</v>
      </c>
      <c r="E8" s="65">
        <v>0.99986627243346704</v>
      </c>
      <c r="F8" s="65">
        <v>0.99994486121142301</v>
      </c>
      <c r="G8" s="65">
        <v>23178.754023755901</v>
      </c>
      <c r="H8" s="65">
        <v>79</v>
      </c>
      <c r="I8" s="65">
        <v>79.870579115264803</v>
      </c>
      <c r="J8" s="65">
        <v>2.6700578752640999E-152</v>
      </c>
      <c r="K8" s="88">
        <v>80</v>
      </c>
      <c r="L8" s="86">
        <v>3.07384999999991E-2</v>
      </c>
      <c r="M8" s="86">
        <v>1.5411000000000299E-2</v>
      </c>
      <c r="N8" s="86" t="s">
        <v>108</v>
      </c>
      <c r="O8" s="86" t="b">
        <v>1</v>
      </c>
      <c r="P8" s="86" t="s">
        <v>109</v>
      </c>
      <c r="Q8" s="86">
        <v>0.99991410674793801</v>
      </c>
      <c r="R8" s="86">
        <v>0.88203408607484701</v>
      </c>
      <c r="S8" s="86">
        <v>1.04357774921751</v>
      </c>
    </row>
    <row r="9" spans="1:19" ht="15.75" thickBot="1">
      <c r="A9" s="65" t="s">
        <v>45</v>
      </c>
      <c r="B9" s="65" t="s">
        <v>110</v>
      </c>
      <c r="C9" s="87">
        <v>75</v>
      </c>
      <c r="D9" s="65">
        <v>0.99982198862984495</v>
      </c>
      <c r="E9" s="65">
        <v>0.99971857807558795</v>
      </c>
      <c r="F9" s="65">
        <v>0.99988745059893303</v>
      </c>
      <c r="G9" s="65">
        <v>11139.407879145099</v>
      </c>
      <c r="H9" s="65">
        <v>74</v>
      </c>
      <c r="I9" s="65">
        <v>74.599819447956193</v>
      </c>
      <c r="J9" s="65">
        <v>1.61726341544351E-130</v>
      </c>
      <c r="K9" s="88">
        <v>75</v>
      </c>
      <c r="L9" s="86">
        <v>1.5193E-2</v>
      </c>
      <c r="M9" s="86">
        <v>-2.8579999999998099E-3</v>
      </c>
      <c r="N9" s="86" t="s">
        <v>108</v>
      </c>
      <c r="O9" s="86" t="b">
        <v>1</v>
      </c>
      <c r="P9" s="86" t="s">
        <v>109</v>
      </c>
      <c r="Q9" s="86">
        <v>0.99982198862984495</v>
      </c>
      <c r="R9" s="86">
        <v>0.93786958593787095</v>
      </c>
      <c r="S9" s="86">
        <v>1.10963946519131</v>
      </c>
    </row>
    <row r="10" spans="1:19" ht="15.75" thickBot="1">
      <c r="A10" s="65" t="s">
        <v>46</v>
      </c>
      <c r="B10" s="65" t="s">
        <v>110</v>
      </c>
      <c r="C10" s="87">
        <v>79</v>
      </c>
      <c r="D10" s="65">
        <v>0.99890407160474404</v>
      </c>
      <c r="E10" s="65">
        <v>0.99654798104257603</v>
      </c>
      <c r="F10" s="65">
        <v>0.99950454346519901</v>
      </c>
      <c r="G10" s="65">
        <v>2591.2363142373802</v>
      </c>
      <c r="H10" s="65">
        <v>78</v>
      </c>
      <c r="I10" s="65">
        <v>10.077748221562301</v>
      </c>
      <c r="J10" s="65">
        <v>2.1829927377773901E-16</v>
      </c>
      <c r="K10" s="88">
        <v>79</v>
      </c>
      <c r="L10" s="86">
        <v>0.10803599999999999</v>
      </c>
      <c r="M10" s="86">
        <v>8.6791999999999994E-2</v>
      </c>
      <c r="N10" s="86" t="s">
        <v>108</v>
      </c>
      <c r="O10" s="86" t="b">
        <v>1</v>
      </c>
      <c r="P10" s="86" t="s">
        <v>109</v>
      </c>
      <c r="Q10" s="86">
        <v>0.99890407160474404</v>
      </c>
      <c r="R10" s="86">
        <v>0.67965523337482103</v>
      </c>
      <c r="S10" s="86">
        <v>0.80413341149381301</v>
      </c>
    </row>
    <row r="11" spans="1:19" ht="15.75" thickBot="1">
      <c r="A11" s="65" t="s">
        <v>47</v>
      </c>
      <c r="B11" s="65" t="s">
        <v>110</v>
      </c>
      <c r="C11" s="87">
        <v>81</v>
      </c>
      <c r="D11" s="65">
        <v>0.99992966552541096</v>
      </c>
      <c r="E11" s="65">
        <v>0.999848128768696</v>
      </c>
      <c r="F11" s="65">
        <v>0.99996240913020495</v>
      </c>
      <c r="G11" s="65">
        <v>35132.395744602101</v>
      </c>
      <c r="H11" s="65">
        <v>80</v>
      </c>
      <c r="I11" s="65">
        <v>20.728570576569499</v>
      </c>
      <c r="J11" s="65">
        <v>9.2439661150321907E-44</v>
      </c>
      <c r="K11" s="88">
        <v>81</v>
      </c>
      <c r="L11" s="86">
        <v>3.9266000000000502E-2</v>
      </c>
      <c r="M11" s="86">
        <v>-2.91840000000008E-2</v>
      </c>
      <c r="N11" s="86" t="s">
        <v>108</v>
      </c>
      <c r="O11" s="86" t="b">
        <v>1</v>
      </c>
      <c r="P11" s="86" t="s">
        <v>109</v>
      </c>
      <c r="Q11" s="86">
        <v>0.99992966552541096</v>
      </c>
      <c r="R11" s="86">
        <v>0.85411386164923897</v>
      </c>
      <c r="S11" s="86">
        <v>1.0105439635353799</v>
      </c>
    </row>
    <row r="12" spans="1:19" ht="15.75" thickBot="1">
      <c r="A12" s="65" t="s">
        <v>48</v>
      </c>
      <c r="B12" s="65" t="s">
        <v>110</v>
      </c>
      <c r="C12" s="87">
        <v>79</v>
      </c>
      <c r="D12" s="65">
        <v>0.99979208066303404</v>
      </c>
      <c r="E12" s="65">
        <v>0.99967534852476303</v>
      </c>
      <c r="F12" s="65">
        <v>0.99986691323502497</v>
      </c>
      <c r="G12" s="65">
        <v>9566.3944613650292</v>
      </c>
      <c r="H12" s="65">
        <v>78</v>
      </c>
      <c r="I12" s="65">
        <v>78.820205705639097</v>
      </c>
      <c r="J12" s="65">
        <v>3.5255459830214099E-135</v>
      </c>
      <c r="K12" s="88">
        <v>79</v>
      </c>
      <c r="L12" s="86">
        <v>2.84900000000015E-2</v>
      </c>
      <c r="M12" s="86">
        <v>1.6575999999999699E-2</v>
      </c>
      <c r="N12" s="86" t="s">
        <v>108</v>
      </c>
      <c r="O12" s="86" t="b">
        <v>1</v>
      </c>
      <c r="P12" s="86" t="s">
        <v>109</v>
      </c>
      <c r="Q12" s="86">
        <v>0.99979208066303404</v>
      </c>
      <c r="R12" s="86">
        <v>0.88959796724243301</v>
      </c>
      <c r="S12" s="86">
        <v>1.0525269476768799</v>
      </c>
    </row>
    <row r="17" s="91" customFormat="1"/>
    <row r="60" spans="1:10">
      <c r="A60" s="225"/>
      <c r="B60" s="225"/>
      <c r="C60" s="225"/>
      <c r="D60" s="225"/>
      <c r="E60" s="225"/>
      <c r="F60" s="225"/>
      <c r="G60" s="225"/>
      <c r="H60" s="225"/>
      <c r="I60" s="225"/>
      <c r="J60" s="225"/>
    </row>
  </sheetData>
  <mergeCells count="2">
    <mergeCell ref="A1:S1"/>
    <mergeCell ref="A60:J6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58245C-7071-4296-A363-2766C2318650}">
  <dimension ref="A1:R170"/>
  <sheetViews>
    <sheetView tabSelected="1" topLeftCell="A132" workbookViewId="0">
      <selection activeCell="D146" sqref="D146"/>
    </sheetView>
  </sheetViews>
  <sheetFormatPr defaultRowHeight="15"/>
  <sheetData>
    <row r="1" spans="1:18" ht="15.75" thickBot="1">
      <c r="A1" s="11"/>
    </row>
    <row r="2" spans="1:18" ht="15.75" thickBot="1">
      <c r="A2" s="232" t="s">
        <v>35</v>
      </c>
      <c r="B2" s="233"/>
      <c r="C2" s="233"/>
      <c r="D2" s="233"/>
      <c r="E2" s="233"/>
      <c r="F2" s="233"/>
      <c r="G2" s="233"/>
      <c r="H2" s="233"/>
      <c r="I2" s="233"/>
      <c r="J2" s="233"/>
      <c r="K2" s="233"/>
      <c r="L2" s="233"/>
      <c r="M2" s="233"/>
      <c r="N2" s="233"/>
      <c r="O2" s="233"/>
      <c r="P2" s="233"/>
      <c r="Q2" s="233"/>
      <c r="R2" s="234"/>
    </row>
    <row r="3" spans="1:18" ht="15.75" thickBot="1">
      <c r="A3" s="30" t="s">
        <v>36</v>
      </c>
      <c r="B3" s="29" t="s">
        <v>37</v>
      </c>
      <c r="C3" s="29">
        <v>1</v>
      </c>
      <c r="D3" s="29">
        <v>2</v>
      </c>
      <c r="E3" s="29">
        <v>3</v>
      </c>
      <c r="F3" s="29">
        <v>4</v>
      </c>
      <c r="G3" s="29">
        <v>5</v>
      </c>
      <c r="H3" s="29">
        <v>6</v>
      </c>
      <c r="I3" s="29">
        <v>7</v>
      </c>
      <c r="J3" s="29">
        <v>8</v>
      </c>
      <c r="K3" s="29">
        <v>9</v>
      </c>
      <c r="L3" s="29">
        <v>10</v>
      </c>
      <c r="M3" s="29">
        <v>11</v>
      </c>
      <c r="N3" s="29">
        <v>12</v>
      </c>
      <c r="O3" s="29">
        <v>13</v>
      </c>
      <c r="P3" s="29">
        <v>14</v>
      </c>
      <c r="Q3" s="29">
        <v>15</v>
      </c>
      <c r="R3" s="29">
        <v>16</v>
      </c>
    </row>
    <row r="4" spans="1:18" ht="15.75" thickBot="1">
      <c r="A4" s="31">
        <v>1</v>
      </c>
      <c r="B4" s="32" t="s">
        <v>38</v>
      </c>
      <c r="C4" s="12">
        <v>1.65</v>
      </c>
      <c r="D4" s="12">
        <v>3.04</v>
      </c>
      <c r="E4" s="12">
        <v>4.3899999999999997</v>
      </c>
      <c r="F4" s="12">
        <v>5.61</v>
      </c>
      <c r="G4" s="12">
        <v>7.07</v>
      </c>
      <c r="H4" s="12">
        <v>8.36</v>
      </c>
      <c r="I4" s="12">
        <v>9.6</v>
      </c>
      <c r="J4" s="12">
        <v>12.29</v>
      </c>
      <c r="K4" s="12">
        <v>13.73</v>
      </c>
      <c r="L4" s="12">
        <v>15.09</v>
      </c>
      <c r="M4" s="12">
        <v>16.34</v>
      </c>
      <c r="N4" s="12">
        <v>17.62</v>
      </c>
      <c r="O4" s="12">
        <v>18.940000000000001</v>
      </c>
      <c r="P4" s="12">
        <v>20.22</v>
      </c>
      <c r="Q4" s="12">
        <v>21.55</v>
      </c>
      <c r="R4" s="12">
        <v>22.88</v>
      </c>
    </row>
    <row r="5" spans="1:18" ht="15.75" thickBot="1">
      <c r="A5" s="30">
        <v>2</v>
      </c>
      <c r="B5" s="28"/>
      <c r="C5" s="27">
        <v>1.7</v>
      </c>
      <c r="D5" s="27">
        <v>3.03</v>
      </c>
      <c r="E5" s="27">
        <v>4.3600000000000003</v>
      </c>
      <c r="F5" s="27">
        <v>5.63</v>
      </c>
      <c r="G5" s="27">
        <v>7.03</v>
      </c>
      <c r="H5" s="27">
        <v>8.2799999999999994</v>
      </c>
      <c r="I5" s="27">
        <v>9.5500000000000007</v>
      </c>
      <c r="J5" s="27">
        <v>12.19</v>
      </c>
      <c r="K5" s="27">
        <v>13.63</v>
      </c>
      <c r="L5" s="27">
        <v>15.12</v>
      </c>
      <c r="M5" s="27">
        <v>16.36</v>
      </c>
      <c r="N5" s="27">
        <v>17.64</v>
      </c>
      <c r="O5" s="27">
        <v>18.93</v>
      </c>
      <c r="P5" s="27">
        <v>20.23</v>
      </c>
      <c r="Q5" s="27">
        <v>21.53</v>
      </c>
      <c r="R5" s="27">
        <v>22.87</v>
      </c>
    </row>
    <row r="6" spans="1:18" ht="15.75" thickBot="1">
      <c r="A6" s="31">
        <v>1</v>
      </c>
      <c r="B6" s="32" t="s">
        <v>39</v>
      </c>
      <c r="C6" s="12" t="s">
        <v>40</v>
      </c>
      <c r="D6" s="12">
        <v>3.12</v>
      </c>
      <c r="E6" s="12">
        <v>4.42</v>
      </c>
      <c r="F6" s="12">
        <v>5.64</v>
      </c>
      <c r="G6" s="12">
        <v>7.11</v>
      </c>
      <c r="H6" s="12">
        <v>8.3699999999999992</v>
      </c>
      <c r="I6" s="12">
        <v>9.6199999999999992</v>
      </c>
      <c r="J6" s="12">
        <v>12.32</v>
      </c>
      <c r="K6" s="12">
        <v>13.69</v>
      </c>
      <c r="L6" s="12">
        <v>15.12</v>
      </c>
      <c r="M6" s="12">
        <v>16.36</v>
      </c>
      <c r="N6" s="12">
        <v>17.61</v>
      </c>
      <c r="O6" s="12">
        <v>18.98</v>
      </c>
      <c r="P6" s="12">
        <v>20.29</v>
      </c>
      <c r="Q6" s="12">
        <v>21.56</v>
      </c>
      <c r="R6" s="12">
        <v>22.91</v>
      </c>
    </row>
    <row r="7" spans="1:18" ht="15.75" thickBot="1">
      <c r="A7" s="30">
        <v>2</v>
      </c>
      <c r="B7" s="28"/>
      <c r="C7" s="27" t="s">
        <v>40</v>
      </c>
      <c r="D7" s="27">
        <v>3.08</v>
      </c>
      <c r="E7" s="27">
        <v>4.38</v>
      </c>
      <c r="F7" s="27">
        <v>5.68</v>
      </c>
      <c r="G7" s="27">
        <v>7.19</v>
      </c>
      <c r="H7" s="27">
        <v>8.41</v>
      </c>
      <c r="I7" s="27">
        <v>9.7100000000000009</v>
      </c>
      <c r="J7" s="27">
        <v>12.47</v>
      </c>
      <c r="K7" s="27">
        <v>13.77</v>
      </c>
      <c r="L7" s="27">
        <v>15.19</v>
      </c>
      <c r="M7" s="27">
        <v>16.420000000000002</v>
      </c>
      <c r="N7" s="27">
        <v>17.72</v>
      </c>
      <c r="O7" s="27">
        <v>19.079999999999998</v>
      </c>
      <c r="P7" s="27">
        <v>20.37</v>
      </c>
      <c r="Q7" s="27">
        <v>21.66</v>
      </c>
      <c r="R7" s="27">
        <v>22.98</v>
      </c>
    </row>
    <row r="8" spans="1:18" ht="15.75" thickBot="1">
      <c r="A8" s="31">
        <v>1</v>
      </c>
      <c r="B8" s="32" t="s">
        <v>41</v>
      </c>
      <c r="C8" s="12">
        <v>1.86</v>
      </c>
      <c r="D8" s="12">
        <v>3.33</v>
      </c>
      <c r="E8" s="12">
        <v>4.46</v>
      </c>
      <c r="F8" s="12">
        <v>5.7</v>
      </c>
      <c r="G8" s="12">
        <v>7.06</v>
      </c>
      <c r="H8" s="12">
        <v>8.3699999999999992</v>
      </c>
      <c r="I8" s="12">
        <v>9.59</v>
      </c>
      <c r="J8" s="12">
        <v>12.7</v>
      </c>
      <c r="K8" s="12">
        <v>13.72</v>
      </c>
      <c r="L8" s="12">
        <v>15.14</v>
      </c>
      <c r="M8" s="12">
        <v>16.45</v>
      </c>
      <c r="N8" s="12">
        <v>17.72</v>
      </c>
      <c r="O8" s="12">
        <v>19.28</v>
      </c>
      <c r="P8" s="12">
        <v>20.32</v>
      </c>
      <c r="Q8" s="12">
        <v>21.59</v>
      </c>
      <c r="R8" s="12">
        <v>23.14</v>
      </c>
    </row>
    <row r="9" spans="1:18" ht="15.75" thickBot="1">
      <c r="A9" s="30">
        <v>2</v>
      </c>
      <c r="B9" s="28"/>
      <c r="C9" s="27">
        <v>1.84</v>
      </c>
      <c r="D9" s="27">
        <v>3.26</v>
      </c>
      <c r="E9" s="27">
        <v>4.43</v>
      </c>
      <c r="F9" s="27">
        <v>5.68</v>
      </c>
      <c r="G9" s="27">
        <v>7.05</v>
      </c>
      <c r="H9" s="27">
        <v>8.34</v>
      </c>
      <c r="I9" s="27">
        <v>9.51</v>
      </c>
      <c r="J9" s="27">
        <v>12.67</v>
      </c>
      <c r="K9" s="27">
        <v>13.76</v>
      </c>
      <c r="L9" s="27">
        <v>15.11</v>
      </c>
      <c r="M9" s="27">
        <v>16.43</v>
      </c>
      <c r="N9" s="27">
        <v>17.690000000000001</v>
      </c>
      <c r="O9" s="27">
        <v>19.23</v>
      </c>
      <c r="P9" s="27">
        <v>20.309999999999999</v>
      </c>
      <c r="Q9" s="27">
        <v>21.55</v>
      </c>
      <c r="R9" s="27">
        <v>23.14</v>
      </c>
    </row>
    <row r="10" spans="1:18" ht="15.75" thickBot="1">
      <c r="A10" s="31">
        <v>1</v>
      </c>
      <c r="B10" s="32" t="s">
        <v>42</v>
      </c>
      <c r="C10" s="12">
        <v>1.69</v>
      </c>
      <c r="D10" s="12">
        <v>3.02</v>
      </c>
      <c r="E10" s="12">
        <v>4.32</v>
      </c>
      <c r="F10" s="12">
        <v>5.61</v>
      </c>
      <c r="G10" s="12">
        <v>7.01</v>
      </c>
      <c r="H10" s="12">
        <v>8.26</v>
      </c>
      <c r="I10" s="12">
        <v>9.5500000000000007</v>
      </c>
      <c r="J10" s="12">
        <v>12.18</v>
      </c>
      <c r="K10" s="12">
        <v>13.6</v>
      </c>
      <c r="L10" s="12">
        <v>15.08</v>
      </c>
      <c r="M10" s="12">
        <v>16.32</v>
      </c>
      <c r="N10" s="12">
        <v>17.62</v>
      </c>
      <c r="O10" s="12">
        <v>18.920000000000002</v>
      </c>
      <c r="P10" s="12">
        <v>20.22</v>
      </c>
      <c r="Q10" s="12">
        <v>21.5</v>
      </c>
      <c r="R10" s="12">
        <v>22.83</v>
      </c>
    </row>
    <row r="11" spans="1:18" ht="15.75" thickBot="1">
      <c r="A11" s="30">
        <v>2</v>
      </c>
      <c r="B11" s="28"/>
      <c r="C11" s="27">
        <v>1.68</v>
      </c>
      <c r="D11" s="27">
        <v>2.98</v>
      </c>
      <c r="E11" s="27">
        <v>4.3099999999999996</v>
      </c>
      <c r="F11" s="27">
        <v>5.62</v>
      </c>
      <c r="G11" s="27">
        <v>6.99</v>
      </c>
      <c r="H11" s="27">
        <v>8.27</v>
      </c>
      <c r="I11" s="27">
        <v>9.51</v>
      </c>
      <c r="J11" s="27">
        <v>12.17</v>
      </c>
      <c r="K11" s="27">
        <v>13.61</v>
      </c>
      <c r="L11" s="27">
        <v>15.06</v>
      </c>
      <c r="M11" s="27">
        <v>16.32</v>
      </c>
      <c r="N11" s="27">
        <v>17.600000000000001</v>
      </c>
      <c r="O11" s="27">
        <v>18.899999999999999</v>
      </c>
      <c r="P11" s="27">
        <v>20.21</v>
      </c>
      <c r="Q11" s="27">
        <v>21.51</v>
      </c>
      <c r="R11" s="27">
        <v>22.84</v>
      </c>
    </row>
    <row r="12" spans="1:18" ht="15.75" thickBot="1">
      <c r="A12" s="31">
        <v>1</v>
      </c>
      <c r="B12" s="32" t="s">
        <v>43</v>
      </c>
      <c r="C12" s="12">
        <v>1.99</v>
      </c>
      <c r="D12" s="12">
        <v>3.08</v>
      </c>
      <c r="E12" s="12">
        <v>4.3899999999999997</v>
      </c>
      <c r="F12" s="12">
        <v>5.68</v>
      </c>
      <c r="G12" s="12">
        <v>7.09</v>
      </c>
      <c r="H12" s="12">
        <v>8.31</v>
      </c>
      <c r="I12" s="12">
        <v>9.58</v>
      </c>
      <c r="J12" s="12">
        <v>12.38</v>
      </c>
      <c r="K12" s="12">
        <v>13.67</v>
      </c>
      <c r="L12" s="12">
        <v>15.12</v>
      </c>
      <c r="M12" s="12">
        <v>16.38</v>
      </c>
      <c r="N12" s="12">
        <v>17.670000000000002</v>
      </c>
      <c r="O12" s="12">
        <v>19.5</v>
      </c>
      <c r="P12" s="12">
        <v>20.239999999999998</v>
      </c>
      <c r="Q12" s="12">
        <v>21.52</v>
      </c>
      <c r="R12" s="12">
        <v>22.84</v>
      </c>
    </row>
    <row r="13" spans="1:18" ht="15.75" thickBot="1">
      <c r="A13" s="30">
        <v>2</v>
      </c>
      <c r="B13" s="28"/>
      <c r="C13" s="27">
        <v>1.9</v>
      </c>
      <c r="D13" s="27">
        <v>3.09</v>
      </c>
      <c r="E13" s="27">
        <v>4.45</v>
      </c>
      <c r="F13" s="27">
        <v>5.69</v>
      </c>
      <c r="G13" s="27">
        <v>7.19</v>
      </c>
      <c r="H13" s="27">
        <v>8.34</v>
      </c>
      <c r="I13" s="27">
        <v>9.59</v>
      </c>
      <c r="J13" s="27">
        <v>12.19</v>
      </c>
      <c r="K13" s="27">
        <v>13.61</v>
      </c>
      <c r="L13" s="27">
        <v>15.19</v>
      </c>
      <c r="M13" s="27">
        <v>16.34</v>
      </c>
      <c r="N13" s="27">
        <v>17.64</v>
      </c>
      <c r="O13" s="27">
        <v>18.95</v>
      </c>
      <c r="P13" s="27">
        <v>20.23</v>
      </c>
      <c r="Q13" s="27">
        <v>21.54</v>
      </c>
      <c r="R13" s="27">
        <v>22.83</v>
      </c>
    </row>
    <row r="14" spans="1:18" ht="15.75" thickBot="1">
      <c r="A14" s="31">
        <v>1</v>
      </c>
      <c r="B14" s="32" t="s">
        <v>44</v>
      </c>
      <c r="C14" s="12">
        <v>1.91</v>
      </c>
      <c r="D14" s="12">
        <v>3.11</v>
      </c>
      <c r="E14" s="12">
        <v>4.4800000000000004</v>
      </c>
      <c r="F14" s="12">
        <v>5.71</v>
      </c>
      <c r="G14" s="12">
        <v>7.13</v>
      </c>
      <c r="H14" s="12">
        <v>8.35</v>
      </c>
      <c r="I14" s="12">
        <v>9.58</v>
      </c>
      <c r="J14" s="12">
        <v>12.44</v>
      </c>
      <c r="K14" s="12">
        <v>13.62</v>
      </c>
      <c r="L14" s="12">
        <v>15.22</v>
      </c>
      <c r="M14" s="12">
        <v>16.34</v>
      </c>
      <c r="N14" s="12">
        <v>17.64</v>
      </c>
      <c r="O14" s="12">
        <v>18.93</v>
      </c>
      <c r="P14" s="12">
        <v>20.21</v>
      </c>
      <c r="Q14" s="12">
        <v>21.52</v>
      </c>
      <c r="R14" s="12">
        <v>22.85</v>
      </c>
    </row>
    <row r="15" spans="1:18" ht="15.75" thickBot="1">
      <c r="A15" s="30">
        <v>2</v>
      </c>
      <c r="B15" s="28"/>
      <c r="C15" s="27">
        <v>1.87</v>
      </c>
      <c r="D15" s="27">
        <v>3.08</v>
      </c>
      <c r="E15" s="27">
        <v>4.4400000000000004</v>
      </c>
      <c r="F15" s="27">
        <v>5.71</v>
      </c>
      <c r="G15" s="27">
        <v>7.1</v>
      </c>
      <c r="H15" s="27">
        <v>8.35</v>
      </c>
      <c r="I15" s="27">
        <v>9.6300000000000008</v>
      </c>
      <c r="J15" s="27">
        <v>12.41</v>
      </c>
      <c r="K15" s="27">
        <v>13.65</v>
      </c>
      <c r="L15" s="27">
        <v>15.14</v>
      </c>
      <c r="M15" s="27">
        <v>16.37</v>
      </c>
      <c r="N15" s="27">
        <v>17.64</v>
      </c>
      <c r="O15" s="27">
        <v>18.95</v>
      </c>
      <c r="P15" s="27">
        <v>20.25</v>
      </c>
      <c r="Q15" s="27">
        <v>21.55</v>
      </c>
      <c r="R15" s="27">
        <v>22.88</v>
      </c>
    </row>
    <row r="16" spans="1:18" ht="15.75" thickBot="1">
      <c r="A16" s="31">
        <v>1</v>
      </c>
      <c r="B16" s="32" t="s">
        <v>45</v>
      </c>
      <c r="C16" s="12">
        <v>1.76</v>
      </c>
      <c r="D16" s="12">
        <v>3.02</v>
      </c>
      <c r="E16" s="12">
        <v>4.3899999999999997</v>
      </c>
      <c r="F16" s="12">
        <v>5.7</v>
      </c>
      <c r="G16" s="12">
        <v>7.08</v>
      </c>
      <c r="H16" s="12">
        <v>8.57</v>
      </c>
      <c r="I16" s="12">
        <v>9.5500000000000007</v>
      </c>
      <c r="J16" s="12">
        <v>12.32</v>
      </c>
      <c r="K16" s="12">
        <v>13.62</v>
      </c>
      <c r="L16" s="12">
        <v>15.08</v>
      </c>
      <c r="M16" s="12">
        <v>16.350000000000001</v>
      </c>
      <c r="N16" s="12">
        <v>17.62</v>
      </c>
      <c r="O16" s="12">
        <v>19.23</v>
      </c>
      <c r="P16" s="12">
        <v>20.23</v>
      </c>
      <c r="Q16" s="12">
        <v>21.52</v>
      </c>
      <c r="R16" s="12">
        <v>22.84</v>
      </c>
    </row>
    <row r="17" spans="1:18" ht="15.75" thickBot="1">
      <c r="A17" s="30">
        <v>2</v>
      </c>
      <c r="B17" s="28"/>
      <c r="C17" s="27">
        <v>1.89</v>
      </c>
      <c r="D17" s="27">
        <v>3.02</v>
      </c>
      <c r="E17" s="27">
        <v>4.46</v>
      </c>
      <c r="F17" s="27">
        <v>5.68</v>
      </c>
      <c r="G17" s="27">
        <v>7.12</v>
      </c>
      <c r="H17" s="27">
        <v>8.33</v>
      </c>
      <c r="I17" s="27">
        <v>9.5500000000000007</v>
      </c>
      <c r="J17" s="27">
        <v>12.32</v>
      </c>
      <c r="K17" s="27">
        <v>13.6</v>
      </c>
      <c r="L17" s="27">
        <v>15.14</v>
      </c>
      <c r="M17" s="27">
        <v>16.34</v>
      </c>
      <c r="N17" s="27">
        <v>17.63</v>
      </c>
      <c r="O17" s="27">
        <v>18.93</v>
      </c>
      <c r="P17" s="27">
        <v>20.22</v>
      </c>
      <c r="Q17" s="27">
        <v>21.51</v>
      </c>
      <c r="R17" s="27">
        <v>22.84</v>
      </c>
    </row>
    <row r="18" spans="1:18" ht="15.75" thickBot="1">
      <c r="A18" s="31">
        <v>1</v>
      </c>
      <c r="B18" s="32" t="s">
        <v>46</v>
      </c>
      <c r="C18" s="7">
        <v>1.18</v>
      </c>
      <c r="D18" s="7">
        <v>2.93</v>
      </c>
      <c r="E18" s="7">
        <v>4.53</v>
      </c>
      <c r="F18" s="7">
        <v>5.32</v>
      </c>
      <c r="G18" s="7">
        <v>6.52</v>
      </c>
      <c r="H18" s="7">
        <v>7.89</v>
      </c>
      <c r="I18" s="7">
        <v>9.08</v>
      </c>
      <c r="J18" s="7">
        <v>12.24</v>
      </c>
      <c r="K18" s="7">
        <v>13.75</v>
      </c>
      <c r="L18" s="7">
        <v>14.98</v>
      </c>
      <c r="M18" s="7">
        <v>16.21</v>
      </c>
      <c r="N18" s="7">
        <v>17.600000000000001</v>
      </c>
      <c r="O18" s="7">
        <v>18.97</v>
      </c>
      <c r="P18" s="7">
        <v>20.09</v>
      </c>
      <c r="Q18" s="12">
        <v>21.43</v>
      </c>
      <c r="R18" s="12">
        <v>22.62</v>
      </c>
    </row>
    <row r="19" spans="1:18" ht="15.75" thickBot="1">
      <c r="A19" s="30">
        <v>2</v>
      </c>
      <c r="B19" s="28"/>
      <c r="C19" s="27">
        <v>1.74</v>
      </c>
      <c r="D19" s="27">
        <v>3.22</v>
      </c>
      <c r="E19" s="27">
        <v>4.59</v>
      </c>
      <c r="F19" s="27">
        <v>5.89</v>
      </c>
      <c r="G19" s="27">
        <v>7.05</v>
      </c>
      <c r="H19" s="27">
        <v>8.44</v>
      </c>
      <c r="I19" s="27">
        <v>9.69</v>
      </c>
      <c r="J19" s="27">
        <v>12.62</v>
      </c>
      <c r="K19" s="27">
        <v>13.96</v>
      </c>
      <c r="L19" s="27">
        <v>15.33</v>
      </c>
      <c r="M19" s="27">
        <v>16.57</v>
      </c>
      <c r="N19" s="27">
        <v>17.93</v>
      </c>
      <c r="O19" s="27">
        <v>19.14</v>
      </c>
      <c r="P19" s="27">
        <v>20.41</v>
      </c>
      <c r="Q19" s="27">
        <v>21.72</v>
      </c>
      <c r="R19" s="27">
        <v>23.06</v>
      </c>
    </row>
    <row r="20" spans="1:18" ht="15.75" thickBot="1">
      <c r="A20" s="31">
        <v>1</v>
      </c>
      <c r="B20" s="32" t="s">
        <v>47</v>
      </c>
      <c r="C20" s="12">
        <v>1.82</v>
      </c>
      <c r="D20" s="12">
        <v>3.04</v>
      </c>
      <c r="E20" s="12">
        <v>4.29</v>
      </c>
      <c r="F20" s="12">
        <v>5.66</v>
      </c>
      <c r="G20" s="12">
        <v>6.97</v>
      </c>
      <c r="H20" s="12">
        <v>8.2100000000000009</v>
      </c>
      <c r="I20" s="12">
        <v>9.5</v>
      </c>
      <c r="J20" s="12">
        <v>12.59</v>
      </c>
      <c r="K20" s="12">
        <v>13.83</v>
      </c>
      <c r="L20" s="12">
        <v>15.32</v>
      </c>
      <c r="M20" s="12">
        <v>16.55</v>
      </c>
      <c r="N20" s="12">
        <v>17.8</v>
      </c>
      <c r="O20" s="12">
        <v>18.829999999999998</v>
      </c>
      <c r="P20" s="12">
        <v>20.04</v>
      </c>
      <c r="Q20" s="12">
        <v>21.69</v>
      </c>
      <c r="R20" s="12">
        <v>23.13</v>
      </c>
    </row>
    <row r="21" spans="1:18" ht="15.75" thickBot="1">
      <c r="A21" s="30">
        <v>2</v>
      </c>
      <c r="B21" s="28"/>
      <c r="C21" s="27">
        <v>1.79</v>
      </c>
      <c r="D21" s="27">
        <v>3.1</v>
      </c>
      <c r="E21" s="27">
        <v>4.21</v>
      </c>
      <c r="F21" s="27">
        <v>5.7</v>
      </c>
      <c r="G21" s="27">
        <v>7.03</v>
      </c>
      <c r="H21" s="27">
        <v>8.18</v>
      </c>
      <c r="I21" s="27">
        <v>9.56</v>
      </c>
      <c r="J21" s="27">
        <v>12.64</v>
      </c>
      <c r="K21" s="27">
        <v>13.89</v>
      </c>
      <c r="L21" s="27">
        <v>15.27</v>
      </c>
      <c r="M21" s="27">
        <v>16.489999999999998</v>
      </c>
      <c r="N21" s="27">
        <v>17.62</v>
      </c>
      <c r="O21" s="27">
        <v>18.510000000000002</v>
      </c>
      <c r="P21" s="27">
        <v>20.13</v>
      </c>
      <c r="Q21" s="27">
        <v>21.52</v>
      </c>
      <c r="R21" s="27">
        <v>23.09</v>
      </c>
    </row>
    <row r="22" spans="1:18" ht="15.75" thickBot="1">
      <c r="A22" s="31">
        <v>1</v>
      </c>
      <c r="B22" s="32" t="s">
        <v>48</v>
      </c>
      <c r="C22" s="12">
        <v>1.7</v>
      </c>
      <c r="D22" s="12">
        <v>3.02</v>
      </c>
      <c r="E22" s="12">
        <v>4.33</v>
      </c>
      <c r="F22" s="12">
        <v>5.62</v>
      </c>
      <c r="G22" s="12">
        <v>7.02</v>
      </c>
      <c r="H22" s="12">
        <v>8.2799999999999994</v>
      </c>
      <c r="I22" s="12">
        <v>9.5399999999999991</v>
      </c>
      <c r="J22" s="12">
        <v>12.11</v>
      </c>
      <c r="K22" s="12">
        <v>13.6</v>
      </c>
      <c r="L22" s="12">
        <v>15.07</v>
      </c>
      <c r="M22" s="12">
        <v>16.34</v>
      </c>
      <c r="N22" s="12">
        <v>17.62</v>
      </c>
      <c r="O22" s="12">
        <v>18.93</v>
      </c>
      <c r="P22" s="12">
        <v>20.22</v>
      </c>
      <c r="Q22" s="12">
        <v>21.52</v>
      </c>
      <c r="R22" s="12">
        <v>22.83</v>
      </c>
    </row>
    <row r="23" spans="1:18" ht="15.75" thickBot="1">
      <c r="A23" s="30">
        <v>2</v>
      </c>
      <c r="B23" s="28"/>
      <c r="C23" s="27">
        <v>1.76</v>
      </c>
      <c r="D23" s="27">
        <v>3.02</v>
      </c>
      <c r="E23" s="27">
        <v>4.3499999999999996</v>
      </c>
      <c r="F23" s="27">
        <v>5.68</v>
      </c>
      <c r="G23" s="27">
        <v>7.05</v>
      </c>
      <c r="H23" s="27">
        <v>8.24</v>
      </c>
      <c r="I23" s="27">
        <v>9.5500000000000007</v>
      </c>
      <c r="J23" s="27">
        <v>12.11</v>
      </c>
      <c r="K23" s="27">
        <v>13.67</v>
      </c>
      <c r="L23" s="27">
        <v>15.1</v>
      </c>
      <c r="M23" s="27">
        <v>16.36</v>
      </c>
      <c r="N23" s="27">
        <v>17.63</v>
      </c>
      <c r="O23" s="27">
        <v>18.91</v>
      </c>
      <c r="P23" s="27">
        <v>20.22</v>
      </c>
      <c r="Q23" s="27">
        <v>21.55</v>
      </c>
      <c r="R23" s="27">
        <v>22.86</v>
      </c>
    </row>
    <row r="24" spans="1:18" ht="15.75" thickBot="1">
      <c r="A24" s="13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</row>
    <row r="25" spans="1:18" ht="15.75" thickBot="1">
      <c r="A25" s="33"/>
      <c r="B25" s="29" t="s">
        <v>49</v>
      </c>
      <c r="C25" s="29">
        <v>0.13</v>
      </c>
      <c r="D25" s="29">
        <v>0.11</v>
      </c>
      <c r="E25" s="29">
        <v>0.05</v>
      </c>
      <c r="F25" s="29">
        <v>0.04</v>
      </c>
      <c r="G25" s="29">
        <v>7.0000000000000007E-2</v>
      </c>
      <c r="H25" s="29">
        <v>0.05</v>
      </c>
      <c r="I25" s="29">
        <v>0.06</v>
      </c>
      <c r="J25" s="29">
        <v>0.2</v>
      </c>
      <c r="K25" s="29">
        <v>0.06</v>
      </c>
      <c r="L25" s="29">
        <v>0.04</v>
      </c>
      <c r="M25" s="29">
        <v>0.05</v>
      </c>
      <c r="N25" s="29">
        <v>0.04</v>
      </c>
      <c r="O25" s="29">
        <v>0.2</v>
      </c>
      <c r="P25" s="29">
        <v>0.05</v>
      </c>
      <c r="Q25" s="29">
        <v>0.05</v>
      </c>
      <c r="R25" s="29">
        <v>0.12</v>
      </c>
    </row>
    <row r="26" spans="1:18" ht="15.75" thickBot="1">
      <c r="A26" s="13"/>
      <c r="B26" s="32" t="s">
        <v>50</v>
      </c>
      <c r="C26" s="32">
        <v>0.21</v>
      </c>
      <c r="D26" s="32">
        <v>0.08</v>
      </c>
      <c r="E26" s="32">
        <v>0.11</v>
      </c>
      <c r="F26" s="32">
        <v>0.14000000000000001</v>
      </c>
      <c r="G26" s="32">
        <v>0.18</v>
      </c>
      <c r="H26" s="32">
        <v>0.18</v>
      </c>
      <c r="I26" s="32">
        <v>0.17</v>
      </c>
      <c r="J26" s="32">
        <v>0.2</v>
      </c>
      <c r="K26" s="32">
        <v>0.13</v>
      </c>
      <c r="L26" s="32">
        <v>0.12</v>
      </c>
      <c r="M26" s="32">
        <v>0.11</v>
      </c>
      <c r="N26" s="32">
        <v>0.11</v>
      </c>
      <c r="O26" s="32">
        <v>0.19</v>
      </c>
      <c r="P26" s="32">
        <v>0.1</v>
      </c>
      <c r="Q26" s="32">
        <v>0.09</v>
      </c>
      <c r="R26" s="32">
        <v>0.15</v>
      </c>
    </row>
    <row r="27" spans="1:18" s="117" customFormat="1">
      <c r="A27" s="285"/>
      <c r="B27" s="286"/>
      <c r="C27" s="286"/>
      <c r="D27" s="286"/>
      <c r="E27" s="286"/>
      <c r="F27" s="286"/>
      <c r="G27" s="286"/>
      <c r="H27" s="286"/>
      <c r="I27" s="286"/>
      <c r="J27" s="286"/>
      <c r="K27" s="286"/>
      <c r="L27" s="286"/>
      <c r="M27" s="286"/>
      <c r="N27" s="286"/>
      <c r="O27" s="286"/>
      <c r="P27" s="286"/>
      <c r="Q27" s="286"/>
      <c r="R27" s="286"/>
    </row>
    <row r="28" spans="1:18" s="117" customFormat="1">
      <c r="A28" s="285"/>
      <c r="B28" s="286"/>
      <c r="C28" s="286"/>
      <c r="D28" s="286"/>
      <c r="E28" s="286"/>
      <c r="F28" s="286"/>
      <c r="G28" s="286"/>
      <c r="H28" s="286"/>
      <c r="I28" s="286"/>
      <c r="J28" s="286"/>
      <c r="K28" s="286"/>
      <c r="L28" s="286"/>
      <c r="M28" s="286"/>
      <c r="N28" s="286"/>
      <c r="O28" s="286"/>
      <c r="P28" s="286"/>
      <c r="Q28" s="286"/>
      <c r="R28" s="286"/>
    </row>
    <row r="29" spans="1:18" ht="15.75" thickBot="1">
      <c r="A29" s="11"/>
    </row>
    <row r="30" spans="1:18" ht="33.75" customHeight="1" thickBot="1">
      <c r="A30" s="229" t="s">
        <v>51</v>
      </c>
      <c r="B30" s="230"/>
      <c r="C30" s="230"/>
      <c r="D30" s="230"/>
      <c r="E30" s="230"/>
      <c r="F30" s="230"/>
      <c r="G30" s="231"/>
    </row>
    <row r="31" spans="1:18" ht="15.75" thickBot="1">
      <c r="A31" s="30" t="s">
        <v>36</v>
      </c>
      <c r="B31" s="29" t="s">
        <v>37</v>
      </c>
      <c r="C31" s="29">
        <v>1</v>
      </c>
      <c r="D31" s="29">
        <v>2</v>
      </c>
      <c r="E31" s="29">
        <v>3</v>
      </c>
      <c r="F31" s="29">
        <v>4</v>
      </c>
      <c r="G31" s="29">
        <v>5</v>
      </c>
    </row>
    <row r="32" spans="1:18" ht="15.75" thickBot="1">
      <c r="A32" s="31">
        <v>1</v>
      </c>
      <c r="B32" s="32" t="s">
        <v>38</v>
      </c>
      <c r="C32" s="12">
        <v>1.2</v>
      </c>
      <c r="D32" s="12">
        <v>3.79</v>
      </c>
      <c r="E32" s="12">
        <v>6.54</v>
      </c>
      <c r="F32" s="12">
        <v>9.11</v>
      </c>
      <c r="G32" s="12">
        <v>11.55</v>
      </c>
    </row>
    <row r="33" spans="1:7" ht="15.75" thickBot="1">
      <c r="A33" s="30">
        <v>2</v>
      </c>
      <c r="B33" s="28"/>
      <c r="C33" s="27">
        <v>1.21</v>
      </c>
      <c r="D33" s="27">
        <v>3.79</v>
      </c>
      <c r="E33" s="27">
        <v>6.59</v>
      </c>
      <c r="F33" s="27">
        <v>9.11</v>
      </c>
      <c r="G33" s="27">
        <v>11.58</v>
      </c>
    </row>
    <row r="34" spans="1:7" ht="15.75" thickBot="1">
      <c r="A34" s="31">
        <v>1</v>
      </c>
      <c r="B34" s="32" t="s">
        <v>39</v>
      </c>
      <c r="C34" s="12">
        <v>1.27</v>
      </c>
      <c r="D34" s="12">
        <v>3.87</v>
      </c>
      <c r="E34" s="12">
        <v>6.59</v>
      </c>
      <c r="F34" s="12">
        <v>9.24</v>
      </c>
      <c r="G34" s="12">
        <v>11.62</v>
      </c>
    </row>
    <row r="35" spans="1:7" ht="15.75" thickBot="1">
      <c r="A35" s="30">
        <v>2</v>
      </c>
      <c r="B35" s="28"/>
      <c r="C35" s="27">
        <v>1.28</v>
      </c>
      <c r="D35" s="27">
        <v>3.95</v>
      </c>
      <c r="E35" s="27">
        <v>6.59</v>
      </c>
      <c r="F35" s="27">
        <v>9.25</v>
      </c>
      <c r="G35" s="27">
        <v>11.74</v>
      </c>
    </row>
    <row r="36" spans="1:7" ht="15.75" thickBot="1">
      <c r="A36" s="31">
        <v>1</v>
      </c>
      <c r="B36" s="32" t="s">
        <v>41</v>
      </c>
      <c r="C36" s="12">
        <v>1.7</v>
      </c>
      <c r="D36" s="12">
        <v>4.0199999999999996</v>
      </c>
      <c r="E36" s="12">
        <v>6.83</v>
      </c>
      <c r="F36" s="12">
        <v>9.32</v>
      </c>
      <c r="G36" s="12">
        <v>12</v>
      </c>
    </row>
    <row r="37" spans="1:7" ht="15.75" thickBot="1">
      <c r="A37" s="30">
        <v>2</v>
      </c>
      <c r="B37" s="28"/>
      <c r="C37" s="27">
        <v>1.67</v>
      </c>
      <c r="D37" s="27">
        <v>3.96</v>
      </c>
      <c r="E37" s="27">
        <v>6.78</v>
      </c>
      <c r="F37" s="27">
        <v>9.33</v>
      </c>
      <c r="G37" s="27">
        <v>11.94</v>
      </c>
    </row>
    <row r="38" spans="1:7" ht="15.75" thickBot="1">
      <c r="A38" s="31">
        <v>1</v>
      </c>
      <c r="B38" s="32" t="s">
        <v>42</v>
      </c>
      <c r="C38" s="12">
        <v>1.2</v>
      </c>
      <c r="D38" s="12">
        <v>3.78</v>
      </c>
      <c r="E38" s="12">
        <v>6.53</v>
      </c>
      <c r="F38" s="12">
        <v>9.1</v>
      </c>
      <c r="G38" s="12">
        <v>11.52</v>
      </c>
    </row>
    <row r="39" spans="1:7" ht="15.75" thickBot="1">
      <c r="A39" s="30">
        <v>2</v>
      </c>
      <c r="B39" s="28"/>
      <c r="C39" s="27">
        <v>1.2</v>
      </c>
      <c r="D39" s="27">
        <v>3.55</v>
      </c>
      <c r="E39" s="27">
        <v>6.39</v>
      </c>
      <c r="F39" s="27">
        <v>9.35</v>
      </c>
      <c r="G39" s="27">
        <v>12.13</v>
      </c>
    </row>
    <row r="40" spans="1:7" ht="15.75" thickBot="1">
      <c r="A40" s="31">
        <v>1</v>
      </c>
      <c r="B40" s="32" t="s">
        <v>43</v>
      </c>
      <c r="C40" s="12">
        <v>1.24</v>
      </c>
      <c r="D40" s="12">
        <v>3.86</v>
      </c>
      <c r="E40" s="12">
        <v>6.56</v>
      </c>
      <c r="F40" s="12">
        <v>9.15</v>
      </c>
      <c r="G40" s="12">
        <v>11.55</v>
      </c>
    </row>
    <row r="41" spans="1:7" ht="15.75" thickBot="1">
      <c r="A41" s="30">
        <v>2</v>
      </c>
      <c r="B41" s="28"/>
      <c r="C41" s="27">
        <v>1.25</v>
      </c>
      <c r="D41" s="27">
        <v>3.86</v>
      </c>
      <c r="E41" s="27">
        <v>6.61</v>
      </c>
      <c r="F41" s="27">
        <v>9.11</v>
      </c>
      <c r="G41" s="27">
        <v>11.61</v>
      </c>
    </row>
    <row r="42" spans="1:7" ht="15.75" thickBot="1">
      <c r="A42" s="31">
        <v>1</v>
      </c>
      <c r="B42" s="32" t="s">
        <v>44</v>
      </c>
      <c r="C42" s="12">
        <v>1.26</v>
      </c>
      <c r="D42" s="12">
        <v>3.86</v>
      </c>
      <c r="E42" s="12">
        <v>6.58</v>
      </c>
      <c r="F42" s="12">
        <v>9.69</v>
      </c>
      <c r="G42" s="12">
        <v>11.56</v>
      </c>
    </row>
    <row r="43" spans="1:7" ht="15.75" thickBot="1">
      <c r="A43" s="30">
        <v>2</v>
      </c>
      <c r="B43" s="28"/>
      <c r="C43" s="27">
        <v>1.25</v>
      </c>
      <c r="D43" s="27">
        <v>3.86</v>
      </c>
      <c r="E43" s="27">
        <v>6.61</v>
      </c>
      <c r="F43" s="27">
        <v>9.16</v>
      </c>
      <c r="G43" s="27">
        <v>11.63</v>
      </c>
    </row>
    <row r="44" spans="1:7" ht="15.75" thickBot="1">
      <c r="A44" s="31">
        <v>1</v>
      </c>
      <c r="B44" s="32" t="s">
        <v>45</v>
      </c>
      <c r="C44" s="12">
        <v>1.54</v>
      </c>
      <c r="D44" s="12">
        <v>4.29</v>
      </c>
      <c r="E44" s="12">
        <v>6.58</v>
      </c>
      <c r="F44" s="12">
        <v>9.44</v>
      </c>
      <c r="G44" s="12">
        <v>11.57</v>
      </c>
    </row>
    <row r="45" spans="1:7" ht="15.75" thickBot="1">
      <c r="A45" s="30">
        <v>2</v>
      </c>
      <c r="B45" s="28"/>
      <c r="C45" s="27">
        <v>1.27</v>
      </c>
      <c r="D45" s="27">
        <v>3.85</v>
      </c>
      <c r="E45" s="27">
        <v>6.59</v>
      </c>
      <c r="F45" s="27">
        <v>9.08</v>
      </c>
      <c r="G45" s="27">
        <v>11.59</v>
      </c>
    </row>
    <row r="46" spans="1:7" ht="15.75" thickBot="1">
      <c r="A46" s="31">
        <v>1</v>
      </c>
      <c r="B46" s="32" t="s">
        <v>46</v>
      </c>
      <c r="C46" s="12">
        <v>1.18</v>
      </c>
      <c r="D46" s="12">
        <v>3.85</v>
      </c>
      <c r="E46" s="12">
        <v>6.58</v>
      </c>
      <c r="F46" s="12">
        <v>8.8800000000000008</v>
      </c>
      <c r="G46" s="12">
        <v>11.34</v>
      </c>
    </row>
    <row r="47" spans="1:7" ht="15.75" thickBot="1">
      <c r="A47" s="30">
        <v>2</v>
      </c>
      <c r="B47" s="28"/>
      <c r="C47" s="27">
        <v>1.18</v>
      </c>
      <c r="D47" s="27">
        <v>3.91</v>
      </c>
      <c r="E47" s="27">
        <v>6.64</v>
      </c>
      <c r="F47" s="27">
        <v>9.89</v>
      </c>
      <c r="G47" s="27">
        <v>12.15</v>
      </c>
    </row>
    <row r="48" spans="1:7" ht="15.75" thickBot="1">
      <c r="A48" s="31">
        <v>1</v>
      </c>
      <c r="B48" s="32" t="s">
        <v>47</v>
      </c>
      <c r="C48" s="12">
        <v>1.37</v>
      </c>
      <c r="D48" s="12">
        <v>4.0599999999999996</v>
      </c>
      <c r="E48" s="12">
        <v>6.79</v>
      </c>
      <c r="F48" s="12">
        <v>9.33</v>
      </c>
      <c r="G48" s="12">
        <v>11.86</v>
      </c>
    </row>
    <row r="49" spans="1:15" ht="15.75" thickBot="1">
      <c r="A49" s="30">
        <v>2</v>
      </c>
      <c r="B49" s="28"/>
      <c r="C49" s="27">
        <v>1.29</v>
      </c>
      <c r="D49" s="27">
        <v>4.01</v>
      </c>
      <c r="E49" s="27">
        <v>6.68</v>
      </c>
      <c r="F49" s="27">
        <v>9.3699999999999992</v>
      </c>
      <c r="G49" s="27">
        <v>11.84</v>
      </c>
    </row>
    <row r="50" spans="1:15" ht="15.75" thickBot="1">
      <c r="A50" s="31">
        <v>1</v>
      </c>
      <c r="B50" s="32" t="s">
        <v>48</v>
      </c>
      <c r="C50" s="12">
        <v>1.19</v>
      </c>
      <c r="D50" s="12">
        <v>3.8</v>
      </c>
      <c r="E50" s="12">
        <v>6.52</v>
      </c>
      <c r="F50" s="12">
        <v>9.09</v>
      </c>
      <c r="G50" s="12">
        <v>11.56</v>
      </c>
    </row>
    <row r="51" spans="1:15" ht="15.75" thickBot="1">
      <c r="A51" s="30">
        <v>2</v>
      </c>
      <c r="B51" s="28"/>
      <c r="C51" s="27">
        <v>1.21</v>
      </c>
      <c r="D51" s="27">
        <v>3.91</v>
      </c>
      <c r="E51" s="27">
        <v>6.59</v>
      </c>
      <c r="F51" s="27">
        <v>9.02</v>
      </c>
      <c r="G51" s="27">
        <v>11.6</v>
      </c>
    </row>
    <row r="52" spans="1:15" ht="15.75" thickBot="1">
      <c r="A52" s="13"/>
      <c r="B52" s="5"/>
      <c r="C52" s="5"/>
      <c r="D52" s="5"/>
      <c r="E52" s="5"/>
      <c r="F52" s="5"/>
      <c r="G52" s="5"/>
    </row>
    <row r="53" spans="1:15" ht="15.75" thickBot="1">
      <c r="A53" s="33"/>
      <c r="B53" s="29" t="s">
        <v>49</v>
      </c>
      <c r="C53" s="29">
        <v>0.19</v>
      </c>
      <c r="D53" s="29">
        <v>0.13</v>
      </c>
      <c r="E53" s="29">
        <v>0.13</v>
      </c>
      <c r="F53" s="29">
        <v>0.1</v>
      </c>
      <c r="G53" s="29">
        <v>0.22</v>
      </c>
    </row>
    <row r="54" spans="1:15" ht="15.75" thickBot="1">
      <c r="A54" s="13"/>
      <c r="B54" s="32" t="s">
        <v>50</v>
      </c>
      <c r="C54" s="32">
        <v>0.11</v>
      </c>
      <c r="D54" s="32">
        <v>0.15</v>
      </c>
      <c r="E54" s="32">
        <v>7.0000000000000007E-2</v>
      </c>
      <c r="F54" s="32">
        <v>0.31</v>
      </c>
      <c r="G54" s="32">
        <v>0.22</v>
      </c>
    </row>
    <row r="55" spans="1:15">
      <c r="A55" s="11"/>
    </row>
    <row r="56" spans="1:15">
      <c r="A56" s="11"/>
    </row>
    <row r="57" spans="1:15" ht="15.75" thickBot="1">
      <c r="A57" s="11"/>
    </row>
    <row r="58" spans="1:15" ht="15.75" thickBot="1">
      <c r="A58" s="232" t="s">
        <v>52</v>
      </c>
      <c r="B58" s="233"/>
      <c r="C58" s="233"/>
      <c r="D58" s="233"/>
      <c r="E58" s="233"/>
      <c r="F58" s="233"/>
      <c r="G58" s="233"/>
      <c r="H58" s="233"/>
      <c r="I58" s="233"/>
      <c r="J58" s="233"/>
      <c r="K58" s="233"/>
      <c r="L58" s="233"/>
      <c r="M58" s="233"/>
      <c r="N58" s="233"/>
      <c r="O58" s="234"/>
    </row>
    <row r="59" spans="1:15" ht="15.75" thickBot="1">
      <c r="A59" s="30" t="s">
        <v>36</v>
      </c>
      <c r="B59" s="29" t="s">
        <v>37</v>
      </c>
      <c r="C59" s="29">
        <v>1</v>
      </c>
      <c r="D59" s="29">
        <v>2</v>
      </c>
      <c r="E59" s="29">
        <v>3</v>
      </c>
      <c r="F59" s="29">
        <v>4</v>
      </c>
      <c r="G59" s="29">
        <v>5</v>
      </c>
      <c r="H59" s="29">
        <v>6</v>
      </c>
      <c r="I59" s="29">
        <v>7</v>
      </c>
      <c r="J59" s="29">
        <v>8</v>
      </c>
      <c r="K59" s="29">
        <v>9</v>
      </c>
      <c r="L59" s="29">
        <v>10</v>
      </c>
      <c r="M59" s="29">
        <v>11</v>
      </c>
      <c r="N59" s="29">
        <v>12</v>
      </c>
      <c r="O59" s="29">
        <v>13</v>
      </c>
    </row>
    <row r="60" spans="1:15" ht="15.75" thickBot="1">
      <c r="A60" s="31">
        <v>1</v>
      </c>
      <c r="B60" s="32" t="s">
        <v>38</v>
      </c>
      <c r="C60" s="12">
        <v>1.04</v>
      </c>
      <c r="D60" s="12">
        <v>2.4300000000000002</v>
      </c>
      <c r="E60" s="12">
        <v>3.75</v>
      </c>
      <c r="F60" s="12">
        <v>5.03</v>
      </c>
      <c r="G60" s="12">
        <v>6.3</v>
      </c>
      <c r="H60" s="12">
        <v>7.69</v>
      </c>
      <c r="I60" s="12">
        <v>9.0500000000000007</v>
      </c>
      <c r="J60" s="12">
        <v>10.23</v>
      </c>
      <c r="K60" s="12">
        <v>11.63</v>
      </c>
      <c r="L60" s="12">
        <v>12.93</v>
      </c>
      <c r="M60" s="12">
        <v>14.37</v>
      </c>
      <c r="N60" s="12">
        <v>15.59</v>
      </c>
      <c r="O60" s="12">
        <v>16.86</v>
      </c>
    </row>
    <row r="61" spans="1:15" ht="15.75" thickBot="1">
      <c r="A61" s="30">
        <v>2</v>
      </c>
      <c r="B61" s="28"/>
      <c r="C61" s="27">
        <v>1</v>
      </c>
      <c r="D61" s="27">
        <v>2.4500000000000002</v>
      </c>
      <c r="E61" s="27">
        <v>3.82</v>
      </c>
      <c r="F61" s="27">
        <v>5.0199999999999996</v>
      </c>
      <c r="G61" s="27">
        <v>6.28</v>
      </c>
      <c r="H61" s="27">
        <v>7.69</v>
      </c>
      <c r="I61" s="27">
        <v>9.01</v>
      </c>
      <c r="J61" s="27">
        <v>10.25</v>
      </c>
      <c r="K61" s="27">
        <v>11.62</v>
      </c>
      <c r="L61" s="27">
        <v>12.96</v>
      </c>
      <c r="M61" s="27">
        <v>14.38</v>
      </c>
      <c r="N61" s="27">
        <v>15.6</v>
      </c>
      <c r="O61" s="27">
        <v>16.920000000000002</v>
      </c>
    </row>
    <row r="62" spans="1:15" ht="15.75" thickBot="1">
      <c r="A62" s="31">
        <v>1</v>
      </c>
      <c r="B62" s="32" t="s">
        <v>39</v>
      </c>
      <c r="C62" s="12" t="s">
        <v>40</v>
      </c>
      <c r="D62" s="12">
        <v>2.46</v>
      </c>
      <c r="E62" s="12">
        <v>3.84</v>
      </c>
      <c r="F62" s="12">
        <v>5.04</v>
      </c>
      <c r="G62" s="12">
        <v>6.34</v>
      </c>
      <c r="H62" s="12" t="s">
        <v>40</v>
      </c>
      <c r="I62" s="12">
        <v>8.9700000000000006</v>
      </c>
      <c r="J62" s="12">
        <v>10.24</v>
      </c>
      <c r="K62" s="12">
        <v>11.62</v>
      </c>
      <c r="L62" s="12">
        <v>12.93</v>
      </c>
      <c r="M62" s="12">
        <v>14.36</v>
      </c>
      <c r="N62" s="12">
        <v>15.55</v>
      </c>
      <c r="O62" s="12">
        <v>16.920000000000002</v>
      </c>
    </row>
    <row r="63" spans="1:15" ht="15.75" thickBot="1">
      <c r="A63" s="30">
        <v>2</v>
      </c>
      <c r="B63" s="28"/>
      <c r="C63" s="27">
        <v>1.07</v>
      </c>
      <c r="D63" s="27">
        <v>2.62</v>
      </c>
      <c r="E63" s="27">
        <v>3.94</v>
      </c>
      <c r="F63" s="27">
        <v>5.07</v>
      </c>
      <c r="G63" s="27">
        <v>6.35</v>
      </c>
      <c r="H63" s="27">
        <v>7.72</v>
      </c>
      <c r="I63" s="27">
        <v>8.9600000000000009</v>
      </c>
      <c r="J63" s="27">
        <v>10.29</v>
      </c>
      <c r="K63" s="27">
        <v>11.64</v>
      </c>
      <c r="L63" s="27">
        <v>12.99</v>
      </c>
      <c r="M63" s="27">
        <v>14.42</v>
      </c>
      <c r="N63" s="27">
        <v>15.6</v>
      </c>
      <c r="O63" s="27">
        <v>16.89</v>
      </c>
    </row>
    <row r="64" spans="1:15" ht="15.75" thickBot="1">
      <c r="A64" s="31">
        <v>1</v>
      </c>
      <c r="B64" s="32" t="s">
        <v>41</v>
      </c>
      <c r="C64" s="12">
        <v>1.31</v>
      </c>
      <c r="D64" s="12">
        <v>2.58</v>
      </c>
      <c r="E64" s="12">
        <v>3.87</v>
      </c>
      <c r="F64" s="12">
        <v>5.15</v>
      </c>
      <c r="G64" s="12">
        <v>6.56</v>
      </c>
      <c r="H64" s="12">
        <v>7.89</v>
      </c>
      <c r="I64" s="12">
        <v>9.16</v>
      </c>
      <c r="J64" s="12">
        <v>10.44</v>
      </c>
      <c r="K64" s="12">
        <v>11.81</v>
      </c>
      <c r="L64" s="12">
        <v>13.22</v>
      </c>
      <c r="M64" s="12">
        <v>14.58</v>
      </c>
      <c r="N64" s="12">
        <v>15.87</v>
      </c>
      <c r="O64" s="12">
        <v>17.07</v>
      </c>
    </row>
    <row r="65" spans="1:15" ht="15.75" thickBot="1">
      <c r="A65" s="30">
        <v>2</v>
      </c>
      <c r="B65" s="28"/>
      <c r="C65" s="27">
        <v>1.1100000000000001</v>
      </c>
      <c r="D65" s="27">
        <v>2.38</v>
      </c>
      <c r="E65" s="27">
        <v>3.67</v>
      </c>
      <c r="F65" s="27">
        <v>4.95</v>
      </c>
      <c r="G65" s="27">
        <v>6.36</v>
      </c>
      <c r="H65" s="27">
        <v>7.69</v>
      </c>
      <c r="I65" s="27">
        <v>8.9600000000000009</v>
      </c>
      <c r="J65" s="27">
        <v>10.24</v>
      </c>
      <c r="K65" s="27">
        <v>11.61</v>
      </c>
      <c r="L65" s="27">
        <v>13.02</v>
      </c>
      <c r="M65" s="27">
        <v>14.38</v>
      </c>
      <c r="N65" s="27">
        <v>15.67</v>
      </c>
      <c r="O65" s="27">
        <v>16.87</v>
      </c>
    </row>
    <row r="66" spans="1:15" ht="15.75" thickBot="1">
      <c r="A66" s="31">
        <v>1</v>
      </c>
      <c r="B66" s="32" t="s">
        <v>42</v>
      </c>
      <c r="C66" s="12">
        <v>0.94</v>
      </c>
      <c r="D66" s="12">
        <v>2.4</v>
      </c>
      <c r="E66" s="12">
        <v>3.74</v>
      </c>
      <c r="F66" s="12">
        <v>4.96</v>
      </c>
      <c r="G66" s="12">
        <v>6.25</v>
      </c>
      <c r="H66" s="12">
        <v>7.67</v>
      </c>
      <c r="I66" s="12">
        <v>8.8000000000000007</v>
      </c>
      <c r="J66" s="12">
        <v>10.210000000000001</v>
      </c>
      <c r="K66" s="12">
        <v>11.56</v>
      </c>
      <c r="L66" s="12">
        <v>12.95</v>
      </c>
      <c r="M66" s="12">
        <v>14.33</v>
      </c>
      <c r="N66" s="12">
        <v>15.55</v>
      </c>
      <c r="O66" s="12">
        <v>16.850000000000001</v>
      </c>
    </row>
    <row r="67" spans="1:15" ht="15.75" thickBot="1">
      <c r="A67" s="30">
        <v>2</v>
      </c>
      <c r="B67" s="28"/>
      <c r="C67" s="27">
        <v>1.01</v>
      </c>
      <c r="D67" s="27">
        <v>2.42</v>
      </c>
      <c r="E67" s="27">
        <v>3.75</v>
      </c>
      <c r="F67" s="27">
        <v>4.96</v>
      </c>
      <c r="G67" s="27">
        <v>6.28</v>
      </c>
      <c r="H67" s="27">
        <v>7.66</v>
      </c>
      <c r="I67" s="27">
        <v>8.92</v>
      </c>
      <c r="J67" s="27">
        <v>10.220000000000001</v>
      </c>
      <c r="K67" s="27">
        <v>11.55</v>
      </c>
      <c r="L67" s="27">
        <v>12.92</v>
      </c>
      <c r="M67" s="27">
        <v>14.29</v>
      </c>
      <c r="N67" s="27">
        <v>15.58</v>
      </c>
      <c r="O67" s="27">
        <v>16.86</v>
      </c>
    </row>
    <row r="68" spans="1:15" ht="15.75" thickBot="1">
      <c r="A68" s="31">
        <v>1</v>
      </c>
      <c r="B68" s="32" t="s">
        <v>43</v>
      </c>
      <c r="C68" s="12">
        <v>1.17</v>
      </c>
      <c r="D68" s="12">
        <v>2.41</v>
      </c>
      <c r="E68" s="12">
        <v>3.82</v>
      </c>
      <c r="F68" s="12">
        <v>4.99</v>
      </c>
      <c r="G68" s="12">
        <v>6.32</v>
      </c>
      <c r="H68" s="12">
        <v>7.67</v>
      </c>
      <c r="I68" s="12">
        <v>8.94</v>
      </c>
      <c r="J68" s="12">
        <v>10.23</v>
      </c>
      <c r="K68" s="12">
        <v>11.64</v>
      </c>
      <c r="L68" s="12">
        <v>12.93</v>
      </c>
      <c r="M68" s="12">
        <v>14.44</v>
      </c>
      <c r="N68" s="12">
        <v>15.58</v>
      </c>
      <c r="O68" s="12">
        <v>16.899999999999999</v>
      </c>
    </row>
    <row r="69" spans="1:15" ht="15.75" thickBot="1">
      <c r="A69" s="30">
        <v>2</v>
      </c>
      <c r="B69" s="28"/>
      <c r="C69" s="27">
        <v>1.17</v>
      </c>
      <c r="D69" s="27">
        <v>2.41</v>
      </c>
      <c r="E69" s="27">
        <v>3.76</v>
      </c>
      <c r="F69" s="27">
        <v>4.97</v>
      </c>
      <c r="G69" s="27">
        <v>6.31</v>
      </c>
      <c r="H69" s="27">
        <v>7.68</v>
      </c>
      <c r="I69" s="27">
        <v>8.94</v>
      </c>
      <c r="J69" s="27">
        <v>10.25</v>
      </c>
      <c r="K69" s="27">
        <v>11.64</v>
      </c>
      <c r="L69" s="27">
        <v>12.93</v>
      </c>
      <c r="M69" s="27">
        <v>14.4</v>
      </c>
      <c r="N69" s="27">
        <v>15.59</v>
      </c>
      <c r="O69" s="27">
        <v>16.91</v>
      </c>
    </row>
    <row r="70" spans="1:15" ht="15.75" thickBot="1">
      <c r="A70" s="31">
        <v>1</v>
      </c>
      <c r="B70" s="32" t="s">
        <v>44</v>
      </c>
      <c r="C70" s="12">
        <v>1.18</v>
      </c>
      <c r="D70" s="12">
        <v>2.41</v>
      </c>
      <c r="E70" s="12">
        <v>3.94</v>
      </c>
      <c r="F70" s="12">
        <v>5.03</v>
      </c>
      <c r="G70" s="12">
        <v>6.31</v>
      </c>
      <c r="H70" s="12" t="s">
        <v>40</v>
      </c>
      <c r="I70" s="12">
        <v>8.93</v>
      </c>
      <c r="J70" s="12">
        <v>10.24</v>
      </c>
      <c r="K70" s="12">
        <v>11.71</v>
      </c>
      <c r="L70" s="12">
        <v>12.92</v>
      </c>
      <c r="M70" s="12">
        <v>14.53</v>
      </c>
      <c r="N70" s="12">
        <v>15.69</v>
      </c>
      <c r="O70" s="12">
        <v>16.940000000000001</v>
      </c>
    </row>
    <row r="71" spans="1:15" ht="15.75" thickBot="1">
      <c r="A71" s="30">
        <v>2</v>
      </c>
      <c r="B71" s="28"/>
      <c r="C71" s="27">
        <v>1.2</v>
      </c>
      <c r="D71" s="27">
        <v>2.44</v>
      </c>
      <c r="E71" s="27">
        <v>3.79</v>
      </c>
      <c r="F71" s="27">
        <v>5</v>
      </c>
      <c r="G71" s="27">
        <v>6.31</v>
      </c>
      <c r="H71" s="27">
        <v>7.69</v>
      </c>
      <c r="I71" s="27">
        <v>8.9700000000000006</v>
      </c>
      <c r="J71" s="27">
        <v>10.24</v>
      </c>
      <c r="K71" s="27">
        <v>11.65</v>
      </c>
      <c r="L71" s="27">
        <v>12.94</v>
      </c>
      <c r="M71" s="27">
        <v>14.46</v>
      </c>
      <c r="N71" s="27">
        <v>15.66</v>
      </c>
      <c r="O71" s="27">
        <v>16.97</v>
      </c>
    </row>
    <row r="72" spans="1:15" ht="15.75" thickBot="1">
      <c r="A72" s="31">
        <v>1</v>
      </c>
      <c r="B72" s="32" t="s">
        <v>45</v>
      </c>
      <c r="C72" s="12">
        <v>1.1299999999999999</v>
      </c>
      <c r="D72" s="12">
        <v>2.4</v>
      </c>
      <c r="E72" s="12">
        <v>3.78</v>
      </c>
      <c r="F72" s="12">
        <v>4.93</v>
      </c>
      <c r="G72" s="12">
        <v>6.26</v>
      </c>
      <c r="H72" s="12" t="s">
        <v>40</v>
      </c>
      <c r="I72" s="12">
        <v>8.82</v>
      </c>
      <c r="J72" s="32">
        <v>10.119999999999999</v>
      </c>
      <c r="K72" s="32">
        <v>11.67</v>
      </c>
      <c r="L72" s="32">
        <v>12.93</v>
      </c>
      <c r="M72" s="32">
        <v>14.41</v>
      </c>
      <c r="N72" s="32">
        <v>15.58</v>
      </c>
      <c r="O72" s="32">
        <v>17</v>
      </c>
    </row>
    <row r="73" spans="1:15" ht="15.75" thickBot="1">
      <c r="A73" s="30">
        <v>2</v>
      </c>
      <c r="B73" s="28"/>
      <c r="C73" s="27">
        <v>1.19</v>
      </c>
      <c r="D73" s="27">
        <v>2.42</v>
      </c>
      <c r="E73" s="27">
        <v>3.77</v>
      </c>
      <c r="F73" s="27">
        <v>4.99</v>
      </c>
      <c r="G73" s="27">
        <v>6.27</v>
      </c>
      <c r="H73" s="27" t="s">
        <v>40</v>
      </c>
      <c r="I73" s="27">
        <v>8.93</v>
      </c>
      <c r="J73" s="27">
        <v>10.24</v>
      </c>
      <c r="K73" s="27">
        <v>11.67</v>
      </c>
      <c r="L73" s="27">
        <v>12.93</v>
      </c>
      <c r="M73" s="27">
        <v>14.47</v>
      </c>
      <c r="N73" s="27">
        <v>15.62</v>
      </c>
      <c r="O73" s="27">
        <v>16.920000000000002</v>
      </c>
    </row>
    <row r="74" spans="1:15" ht="15.75" thickBot="1">
      <c r="A74" s="31">
        <v>1</v>
      </c>
      <c r="B74" s="32" t="s">
        <v>46</v>
      </c>
      <c r="C74" s="12">
        <v>1.24</v>
      </c>
      <c r="D74" s="12">
        <v>2.57</v>
      </c>
      <c r="E74" s="12">
        <v>3.89</v>
      </c>
      <c r="F74" s="12">
        <v>5.23</v>
      </c>
      <c r="G74" s="12">
        <v>6.44</v>
      </c>
      <c r="H74" s="12">
        <v>7.76</v>
      </c>
      <c r="I74" s="12">
        <v>8.99</v>
      </c>
      <c r="J74" s="12">
        <v>10.17</v>
      </c>
      <c r="K74" s="12">
        <v>11.64</v>
      </c>
      <c r="L74" s="12">
        <v>12.97</v>
      </c>
      <c r="M74" s="12">
        <v>14.32</v>
      </c>
      <c r="N74" s="12">
        <v>15.59</v>
      </c>
      <c r="O74" s="12">
        <v>16.84</v>
      </c>
    </row>
    <row r="75" spans="1:15" ht="15.75" thickBot="1">
      <c r="A75" s="30">
        <v>2</v>
      </c>
      <c r="B75" s="28"/>
      <c r="C75" s="27">
        <v>1.64</v>
      </c>
      <c r="D75" s="27">
        <v>2.57</v>
      </c>
      <c r="E75" s="27">
        <v>3.88</v>
      </c>
      <c r="F75" s="27">
        <v>5.0199999999999996</v>
      </c>
      <c r="G75" s="27">
        <v>6.52</v>
      </c>
      <c r="H75" s="27">
        <v>7.88</v>
      </c>
      <c r="I75" s="27">
        <v>9.09</v>
      </c>
      <c r="J75" s="27">
        <v>10.43</v>
      </c>
      <c r="K75" s="27">
        <v>11.58</v>
      </c>
      <c r="L75" s="27">
        <v>13.04</v>
      </c>
      <c r="M75" s="27">
        <v>14.57</v>
      </c>
      <c r="N75" s="27">
        <v>15.74</v>
      </c>
      <c r="O75" s="27">
        <v>17.07</v>
      </c>
    </row>
    <row r="76" spans="1:15" ht="15.75" thickBot="1">
      <c r="A76" s="31">
        <v>1</v>
      </c>
      <c r="B76" s="32" t="s">
        <v>47</v>
      </c>
      <c r="C76" s="12">
        <v>1.3</v>
      </c>
      <c r="D76" s="12">
        <v>2.57</v>
      </c>
      <c r="E76" s="12">
        <v>3.91</v>
      </c>
      <c r="F76" s="12">
        <v>5.13</v>
      </c>
      <c r="G76" s="12">
        <v>6.64</v>
      </c>
      <c r="H76" s="12">
        <v>7.87</v>
      </c>
      <c r="I76" s="12">
        <v>9.24</v>
      </c>
      <c r="J76" s="12">
        <v>10.4</v>
      </c>
      <c r="K76" s="12">
        <v>11.8</v>
      </c>
      <c r="L76" s="12">
        <v>13.08</v>
      </c>
      <c r="M76" s="12">
        <v>14.57</v>
      </c>
      <c r="N76" s="12">
        <v>15.85</v>
      </c>
      <c r="O76" s="12">
        <v>17.11</v>
      </c>
    </row>
    <row r="77" spans="1:15" ht="15.75" thickBot="1">
      <c r="A77" s="30">
        <v>2</v>
      </c>
      <c r="B77" s="28"/>
      <c r="C77" s="27">
        <v>1.26</v>
      </c>
      <c r="D77" s="27">
        <v>2.54</v>
      </c>
      <c r="E77" s="27">
        <v>3.87</v>
      </c>
      <c r="F77" s="27">
        <v>5.01</v>
      </c>
      <c r="G77" s="27">
        <v>6.59</v>
      </c>
      <c r="H77" s="27">
        <v>7.78</v>
      </c>
      <c r="I77" s="27">
        <v>9.31</v>
      </c>
      <c r="J77" s="27">
        <v>10.34</v>
      </c>
      <c r="K77" s="27">
        <v>11.76</v>
      </c>
      <c r="L77" s="27">
        <v>13.03</v>
      </c>
      <c r="M77" s="27">
        <v>14.51</v>
      </c>
      <c r="N77" s="27">
        <v>15.83</v>
      </c>
      <c r="O77" s="27">
        <v>17.059999999999999</v>
      </c>
    </row>
    <row r="78" spans="1:15" ht="15.75" thickBot="1">
      <c r="A78" s="31">
        <v>1</v>
      </c>
      <c r="B78" s="32" t="s">
        <v>48</v>
      </c>
      <c r="C78" s="12">
        <v>1</v>
      </c>
      <c r="D78" s="12">
        <v>2.42</v>
      </c>
      <c r="E78" s="12">
        <v>3.76</v>
      </c>
      <c r="F78" s="12">
        <v>4.95</v>
      </c>
      <c r="G78" s="12">
        <v>6.27</v>
      </c>
      <c r="H78" s="12">
        <v>7.68</v>
      </c>
      <c r="I78" s="12">
        <v>8.92</v>
      </c>
      <c r="J78" s="12">
        <v>10.23</v>
      </c>
      <c r="K78" s="12">
        <v>11.57</v>
      </c>
      <c r="L78" s="12">
        <v>12.92</v>
      </c>
      <c r="M78" s="12">
        <v>14.34</v>
      </c>
      <c r="N78" s="12">
        <v>15.57</v>
      </c>
      <c r="O78" s="12">
        <v>16.86</v>
      </c>
    </row>
    <row r="79" spans="1:15" ht="15.75" thickBot="1">
      <c r="A79" s="30">
        <v>2</v>
      </c>
      <c r="B79" s="28"/>
      <c r="C79" s="27">
        <v>1.03</v>
      </c>
      <c r="D79" s="27">
        <v>2.4500000000000002</v>
      </c>
      <c r="E79" s="27">
        <v>3.74</v>
      </c>
      <c r="F79" s="27">
        <v>4.95</v>
      </c>
      <c r="G79" s="27">
        <v>6.24</v>
      </c>
      <c r="H79" s="27">
        <v>7.63</v>
      </c>
      <c r="I79" s="27">
        <v>8.9</v>
      </c>
      <c r="J79" s="27">
        <v>10.24</v>
      </c>
      <c r="K79" s="27">
        <v>11.58</v>
      </c>
      <c r="L79" s="27">
        <v>12.98</v>
      </c>
      <c r="M79" s="27">
        <v>14.36</v>
      </c>
      <c r="N79" s="27">
        <v>15.55</v>
      </c>
      <c r="O79" s="27">
        <v>16.829999999999998</v>
      </c>
    </row>
    <row r="80" spans="1:15" ht="15.75" thickBot="1">
      <c r="A80" s="13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</row>
    <row r="81" spans="1:18" ht="15.75" thickBot="1">
      <c r="A81" s="33"/>
      <c r="B81" s="29" t="s">
        <v>49</v>
      </c>
      <c r="C81" s="29">
        <v>0.11</v>
      </c>
      <c r="D81" s="29">
        <v>0.08</v>
      </c>
      <c r="E81" s="29">
        <v>0.08</v>
      </c>
      <c r="F81" s="29">
        <v>0.06</v>
      </c>
      <c r="G81" s="29">
        <v>0.09</v>
      </c>
      <c r="H81" s="29">
        <v>7.0000000000000007E-2</v>
      </c>
      <c r="I81" s="29">
        <v>0.09</v>
      </c>
      <c r="J81" s="29">
        <v>7.0000000000000007E-2</v>
      </c>
      <c r="K81" s="29">
        <v>7.0000000000000007E-2</v>
      </c>
      <c r="L81" s="29">
        <v>0.09</v>
      </c>
      <c r="M81" s="29">
        <v>0.08</v>
      </c>
      <c r="N81" s="29">
        <v>0.1</v>
      </c>
      <c r="O81" s="29">
        <v>0.06</v>
      </c>
    </row>
    <row r="82" spans="1:18" ht="15.75" thickBot="1">
      <c r="A82" s="13"/>
      <c r="B82" s="32" t="s">
        <v>50</v>
      </c>
      <c r="C82" s="32">
        <v>0.18</v>
      </c>
      <c r="D82" s="32">
        <v>7.0000000000000007E-2</v>
      </c>
      <c r="E82" s="32">
        <v>7.0000000000000007E-2</v>
      </c>
      <c r="F82" s="32">
        <v>0.09</v>
      </c>
      <c r="G82" s="32">
        <v>0.15</v>
      </c>
      <c r="H82" s="32">
        <v>0.1</v>
      </c>
      <c r="I82" s="32">
        <v>0.16</v>
      </c>
      <c r="J82" s="32">
        <v>0.1</v>
      </c>
      <c r="K82" s="32">
        <v>0.08</v>
      </c>
      <c r="L82" s="32">
        <v>0.06</v>
      </c>
      <c r="M82" s="32">
        <v>0.09</v>
      </c>
      <c r="N82" s="32">
        <v>0.11</v>
      </c>
      <c r="O82" s="32">
        <v>0.1</v>
      </c>
    </row>
    <row r="83" spans="1:18">
      <c r="A83" s="11"/>
    </row>
    <row r="84" spans="1:18">
      <c r="A84" s="11"/>
    </row>
    <row r="85" spans="1:18" ht="15.75" thickBot="1">
      <c r="A85" s="11"/>
    </row>
    <row r="86" spans="1:18" ht="15.75" thickBot="1">
      <c r="A86" s="232" t="s">
        <v>53</v>
      </c>
      <c r="B86" s="233"/>
      <c r="C86" s="233"/>
      <c r="D86" s="233"/>
      <c r="E86" s="233"/>
      <c r="F86" s="233"/>
      <c r="G86" s="233"/>
      <c r="H86" s="233"/>
      <c r="I86" s="233"/>
      <c r="J86" s="233"/>
      <c r="K86" s="233"/>
      <c r="L86" s="233"/>
      <c r="M86" s="233"/>
      <c r="N86" s="233"/>
      <c r="O86" s="233"/>
      <c r="P86" s="233"/>
      <c r="Q86" s="233"/>
      <c r="R86" s="234"/>
    </row>
    <row r="87" spans="1:18" ht="15.75" thickBot="1">
      <c r="A87" s="34" t="s">
        <v>36</v>
      </c>
      <c r="B87" s="29" t="s">
        <v>37</v>
      </c>
      <c r="C87" s="29">
        <v>1</v>
      </c>
      <c r="D87" s="29">
        <v>2</v>
      </c>
      <c r="E87" s="29">
        <v>3</v>
      </c>
      <c r="F87" s="29">
        <v>4</v>
      </c>
      <c r="G87" s="29">
        <v>5</v>
      </c>
      <c r="H87" s="29">
        <v>6</v>
      </c>
      <c r="I87" s="29">
        <v>7</v>
      </c>
      <c r="J87" s="29">
        <v>8</v>
      </c>
      <c r="K87" s="29">
        <v>9</v>
      </c>
      <c r="L87" s="29">
        <v>10</v>
      </c>
      <c r="M87" s="29">
        <v>11</v>
      </c>
      <c r="N87" s="29">
        <v>12</v>
      </c>
      <c r="O87" s="29">
        <v>13</v>
      </c>
      <c r="P87" s="29">
        <v>14</v>
      </c>
      <c r="Q87" s="29">
        <v>15</v>
      </c>
      <c r="R87" s="29">
        <v>16</v>
      </c>
    </row>
    <row r="88" spans="1:18" ht="15.75" thickBot="1">
      <c r="A88" s="31">
        <v>1</v>
      </c>
      <c r="B88" s="32" t="s">
        <v>38</v>
      </c>
      <c r="C88" s="12">
        <v>0.88</v>
      </c>
      <c r="D88" s="12">
        <v>1.95</v>
      </c>
      <c r="E88" s="12">
        <v>2.82</v>
      </c>
      <c r="F88" s="12">
        <v>3.75</v>
      </c>
      <c r="G88" s="12">
        <v>6.52</v>
      </c>
      <c r="H88" s="12">
        <v>7.46</v>
      </c>
      <c r="I88" s="12">
        <v>8.31</v>
      </c>
      <c r="J88" s="12">
        <v>9.3000000000000007</v>
      </c>
      <c r="K88" s="12">
        <v>11.93</v>
      </c>
      <c r="L88" s="12">
        <v>12.92</v>
      </c>
      <c r="M88" s="12">
        <v>13.81</v>
      </c>
      <c r="N88" s="12">
        <v>14.77</v>
      </c>
      <c r="O88" s="12">
        <v>17.559999999999999</v>
      </c>
      <c r="P88" s="12">
        <v>18.5</v>
      </c>
      <c r="Q88" s="12">
        <v>19.36</v>
      </c>
      <c r="R88" s="12">
        <v>20.329999999999998</v>
      </c>
    </row>
    <row r="89" spans="1:18" ht="15.75" thickBot="1">
      <c r="A89" s="30">
        <v>2</v>
      </c>
      <c r="B89" s="35"/>
      <c r="C89" s="27">
        <v>0.91</v>
      </c>
      <c r="D89" s="27">
        <v>1.95</v>
      </c>
      <c r="E89" s="27">
        <v>2.81</v>
      </c>
      <c r="F89" s="27">
        <v>3.74</v>
      </c>
      <c r="G89" s="27">
        <v>6.52</v>
      </c>
      <c r="H89" s="27">
        <v>7.48</v>
      </c>
      <c r="I89" s="27">
        <v>8.31</v>
      </c>
      <c r="J89" s="27">
        <v>9.2799999999999994</v>
      </c>
      <c r="K89" s="27">
        <v>11.94</v>
      </c>
      <c r="L89" s="27">
        <v>12.94</v>
      </c>
      <c r="M89" s="27">
        <v>13.8</v>
      </c>
      <c r="N89" s="27">
        <v>14.79</v>
      </c>
      <c r="O89" s="27">
        <v>17.579999999999998</v>
      </c>
      <c r="P89" s="27">
        <v>18.510000000000002</v>
      </c>
      <c r="Q89" s="27">
        <v>19.37</v>
      </c>
      <c r="R89" s="27">
        <v>20.329999999999998</v>
      </c>
    </row>
    <row r="90" spans="1:18" ht="15.75" thickBot="1">
      <c r="A90" s="31">
        <v>1</v>
      </c>
      <c r="B90" s="32" t="s">
        <v>39</v>
      </c>
      <c r="C90" s="12" t="s">
        <v>40</v>
      </c>
      <c r="D90" s="12">
        <v>1.99</v>
      </c>
      <c r="E90" s="12">
        <v>2.87</v>
      </c>
      <c r="F90" s="12" t="s">
        <v>40</v>
      </c>
      <c r="G90" s="12" t="s">
        <v>40</v>
      </c>
      <c r="H90" s="12">
        <v>7.49</v>
      </c>
      <c r="I90" s="12">
        <v>8.41</v>
      </c>
      <c r="J90" s="12" t="s">
        <v>40</v>
      </c>
      <c r="K90" s="12">
        <v>12.03</v>
      </c>
      <c r="L90" s="12">
        <v>13.03</v>
      </c>
      <c r="M90" s="12">
        <v>13.86</v>
      </c>
      <c r="N90" s="12">
        <v>14.88</v>
      </c>
      <c r="O90" s="12">
        <v>17.53</v>
      </c>
      <c r="P90" s="12">
        <v>18.68</v>
      </c>
      <c r="Q90" s="12">
        <v>19.39</v>
      </c>
      <c r="R90" s="12" t="s">
        <v>40</v>
      </c>
    </row>
    <row r="91" spans="1:18" ht="15.75" thickBot="1">
      <c r="A91" s="30">
        <v>2</v>
      </c>
      <c r="B91" s="35"/>
      <c r="C91" s="27" t="s">
        <v>40</v>
      </c>
      <c r="D91" s="27">
        <v>2.06</v>
      </c>
      <c r="E91" s="27">
        <v>2.87</v>
      </c>
      <c r="F91" s="27">
        <v>3.74</v>
      </c>
      <c r="G91" s="27">
        <v>6.56</v>
      </c>
      <c r="H91" s="27">
        <v>7.52</v>
      </c>
      <c r="I91" s="27">
        <v>8.3000000000000007</v>
      </c>
      <c r="J91" s="27">
        <v>9.24</v>
      </c>
      <c r="K91" s="27">
        <v>12.06</v>
      </c>
      <c r="L91" s="27">
        <v>12.95</v>
      </c>
      <c r="M91" s="27">
        <v>13.91</v>
      </c>
      <c r="N91" s="27">
        <v>14.83</v>
      </c>
      <c r="O91" s="27">
        <v>17.63</v>
      </c>
      <c r="P91" s="27">
        <v>18.66</v>
      </c>
      <c r="Q91" s="27">
        <v>19.420000000000002</v>
      </c>
      <c r="R91" s="27">
        <v>20.34</v>
      </c>
    </row>
    <row r="92" spans="1:18" ht="15.75" thickBot="1">
      <c r="A92" s="31">
        <v>1</v>
      </c>
      <c r="B92" s="32" t="s">
        <v>41</v>
      </c>
      <c r="C92" s="12">
        <v>1</v>
      </c>
      <c r="D92" s="12">
        <v>2.1</v>
      </c>
      <c r="E92" s="12">
        <v>2.97</v>
      </c>
      <c r="F92" s="12">
        <v>3.95</v>
      </c>
      <c r="G92" s="12">
        <v>6.75</v>
      </c>
      <c r="H92" s="12">
        <v>7.64</v>
      </c>
      <c r="I92" s="12">
        <v>8.59</v>
      </c>
      <c r="J92" s="12">
        <v>9.69</v>
      </c>
      <c r="K92" s="12">
        <v>12.1</v>
      </c>
      <c r="L92" s="12">
        <v>12.98</v>
      </c>
      <c r="M92" s="12">
        <v>13.86</v>
      </c>
      <c r="N92" s="12">
        <v>14.93</v>
      </c>
      <c r="O92" s="12">
        <v>17.89</v>
      </c>
      <c r="P92" s="12">
        <v>18.68</v>
      </c>
      <c r="Q92" s="12">
        <v>19.61</v>
      </c>
      <c r="R92" s="12">
        <v>20.54</v>
      </c>
    </row>
    <row r="93" spans="1:18" ht="15.75" thickBot="1">
      <c r="A93" s="30">
        <v>2</v>
      </c>
      <c r="B93" s="29"/>
      <c r="C93" s="27">
        <v>0.8</v>
      </c>
      <c r="D93" s="27">
        <v>1.9</v>
      </c>
      <c r="E93" s="27">
        <v>2.77</v>
      </c>
      <c r="F93" s="27">
        <v>3.75</v>
      </c>
      <c r="G93" s="27">
        <v>6.55</v>
      </c>
      <c r="H93" s="27">
        <v>7.44</v>
      </c>
      <c r="I93" s="27">
        <v>8.39</v>
      </c>
      <c r="J93" s="27">
        <v>9.49</v>
      </c>
      <c r="K93" s="27">
        <v>11.9</v>
      </c>
      <c r="L93" s="27">
        <v>12.78</v>
      </c>
      <c r="M93" s="27">
        <v>13.66</v>
      </c>
      <c r="N93" s="27">
        <v>14.73</v>
      </c>
      <c r="O93" s="27">
        <v>17.690000000000001</v>
      </c>
      <c r="P93" s="27">
        <v>18.48</v>
      </c>
      <c r="Q93" s="27">
        <v>19.41</v>
      </c>
      <c r="R93" s="27">
        <v>20.34</v>
      </c>
    </row>
    <row r="94" spans="1:18" ht="15.75" thickBot="1">
      <c r="A94" s="31">
        <v>1</v>
      </c>
      <c r="B94" s="32" t="s">
        <v>42</v>
      </c>
      <c r="C94" s="12">
        <v>0.84</v>
      </c>
      <c r="D94" s="12">
        <v>1.92</v>
      </c>
      <c r="E94" s="12">
        <v>2.8</v>
      </c>
      <c r="F94" s="12">
        <v>3.72</v>
      </c>
      <c r="G94" s="12">
        <v>6.48</v>
      </c>
      <c r="H94" s="12">
        <v>7.46</v>
      </c>
      <c r="I94" s="12">
        <v>8.32</v>
      </c>
      <c r="J94" s="12">
        <v>9.25</v>
      </c>
      <c r="K94" s="12">
        <v>11.91</v>
      </c>
      <c r="L94" s="12">
        <v>12.92</v>
      </c>
      <c r="M94" s="12">
        <v>13.79</v>
      </c>
      <c r="N94" s="12">
        <v>14.75</v>
      </c>
      <c r="O94" s="12">
        <v>17.53</v>
      </c>
      <c r="P94" s="12">
        <v>18.47</v>
      </c>
      <c r="Q94" s="12">
        <v>19.36</v>
      </c>
      <c r="R94" s="12">
        <v>20.309999999999999</v>
      </c>
    </row>
    <row r="95" spans="1:18" ht="15.75" thickBot="1">
      <c r="A95" s="30">
        <v>2</v>
      </c>
      <c r="B95" s="35"/>
      <c r="C95" s="27">
        <v>0.84</v>
      </c>
      <c r="D95" s="27">
        <v>1.94</v>
      </c>
      <c r="E95" s="27">
        <v>2.79</v>
      </c>
      <c r="F95" s="27">
        <v>3.72</v>
      </c>
      <c r="G95" s="27">
        <v>6.48</v>
      </c>
      <c r="H95" s="27">
        <v>7.44</v>
      </c>
      <c r="I95" s="27">
        <v>8.2799999999999994</v>
      </c>
      <c r="J95" s="27">
        <v>9.23</v>
      </c>
      <c r="K95" s="27">
        <v>11.9</v>
      </c>
      <c r="L95" s="27">
        <v>12.9</v>
      </c>
      <c r="M95" s="27">
        <v>13.79</v>
      </c>
      <c r="N95" s="27">
        <v>14.77</v>
      </c>
      <c r="O95" s="27">
        <v>17.559999999999999</v>
      </c>
      <c r="P95" s="27">
        <v>18.45</v>
      </c>
      <c r="Q95" s="27">
        <v>19.34</v>
      </c>
      <c r="R95" s="27">
        <v>20.3</v>
      </c>
    </row>
    <row r="96" spans="1:18" ht="15.75" thickBot="1">
      <c r="A96" s="31">
        <v>1</v>
      </c>
      <c r="B96" s="32" t="s">
        <v>43</v>
      </c>
      <c r="C96" s="12">
        <v>0.97</v>
      </c>
      <c r="D96" s="12">
        <v>1.96</v>
      </c>
      <c r="E96" s="12">
        <v>2.86</v>
      </c>
      <c r="F96" s="12">
        <v>3.73</v>
      </c>
      <c r="G96" s="12">
        <v>6.48</v>
      </c>
      <c r="H96" s="12">
        <v>7.5</v>
      </c>
      <c r="I96" s="12">
        <v>8.35</v>
      </c>
      <c r="J96" s="12">
        <v>9.58</v>
      </c>
      <c r="K96" s="12">
        <v>12.03</v>
      </c>
      <c r="L96" s="12">
        <v>12.92</v>
      </c>
      <c r="M96" s="12">
        <v>13.78</v>
      </c>
      <c r="N96" s="12">
        <v>14.76</v>
      </c>
      <c r="O96" s="12">
        <v>17.55</v>
      </c>
      <c r="P96" s="12">
        <v>18.47</v>
      </c>
      <c r="Q96" s="12">
        <v>19.350000000000001</v>
      </c>
      <c r="R96" s="12">
        <v>20.3</v>
      </c>
    </row>
    <row r="97" spans="1:18" ht="15.75" thickBot="1">
      <c r="A97" s="30">
        <v>2</v>
      </c>
      <c r="B97" s="35"/>
      <c r="C97" s="27">
        <v>0.96</v>
      </c>
      <c r="D97" s="27">
        <v>1.92</v>
      </c>
      <c r="E97" s="27">
        <v>2.8</v>
      </c>
      <c r="F97" s="27">
        <v>3.73</v>
      </c>
      <c r="G97" s="27">
        <v>6.49</v>
      </c>
      <c r="H97" s="27">
        <v>7.47</v>
      </c>
      <c r="I97" s="27">
        <v>8.31</v>
      </c>
      <c r="J97" s="27">
        <v>9.65</v>
      </c>
      <c r="K97" s="27">
        <v>12.04</v>
      </c>
      <c r="L97" s="27">
        <v>12.91</v>
      </c>
      <c r="M97" s="27">
        <v>13.82</v>
      </c>
      <c r="N97" s="27">
        <v>14.79</v>
      </c>
      <c r="O97" s="27">
        <v>17.52</v>
      </c>
      <c r="P97" s="27">
        <v>18.489999999999998</v>
      </c>
      <c r="Q97" s="27">
        <v>19.399999999999999</v>
      </c>
      <c r="R97" s="27">
        <v>20.309999999999999</v>
      </c>
    </row>
    <row r="98" spans="1:18" ht="15.75" thickBot="1">
      <c r="A98" s="31">
        <v>1</v>
      </c>
      <c r="B98" s="32" t="s">
        <v>44</v>
      </c>
      <c r="C98" s="12">
        <v>0.98</v>
      </c>
      <c r="D98" s="12">
        <v>2.02</v>
      </c>
      <c r="E98" s="12">
        <v>2.87</v>
      </c>
      <c r="F98" s="12">
        <v>3.73</v>
      </c>
      <c r="G98" s="12">
        <v>6.49</v>
      </c>
      <c r="H98" s="12">
        <v>7.55</v>
      </c>
      <c r="I98" s="12">
        <v>8.36</v>
      </c>
      <c r="J98" s="12">
        <v>9.66</v>
      </c>
      <c r="K98" s="12">
        <v>12.06</v>
      </c>
      <c r="L98" s="12">
        <v>12.92</v>
      </c>
      <c r="M98" s="12">
        <v>13.85</v>
      </c>
      <c r="N98" s="12">
        <v>14.81</v>
      </c>
      <c r="O98" s="12">
        <v>17.53</v>
      </c>
      <c r="P98" s="12">
        <v>18.5</v>
      </c>
      <c r="Q98" s="12">
        <v>19.43</v>
      </c>
      <c r="R98" s="12">
        <v>20.32</v>
      </c>
    </row>
    <row r="99" spans="1:18" ht="15.75" thickBot="1">
      <c r="A99" s="30">
        <v>2</v>
      </c>
      <c r="B99" s="35"/>
      <c r="C99" s="27">
        <v>1.02</v>
      </c>
      <c r="D99" s="27">
        <v>2</v>
      </c>
      <c r="E99" s="27">
        <v>2.85</v>
      </c>
      <c r="F99" s="27">
        <v>3.73</v>
      </c>
      <c r="G99" s="27">
        <v>6.53</v>
      </c>
      <c r="H99" s="27">
        <v>7.51</v>
      </c>
      <c r="I99" s="27">
        <v>8.31</v>
      </c>
      <c r="J99" s="27">
        <v>9.6199999999999992</v>
      </c>
      <c r="K99" s="27">
        <v>12.08</v>
      </c>
      <c r="L99" s="27">
        <v>13.02</v>
      </c>
      <c r="M99" s="27">
        <v>13.89</v>
      </c>
      <c r="N99" s="27">
        <v>14.83</v>
      </c>
      <c r="O99" s="27">
        <v>17.54</v>
      </c>
      <c r="P99" s="27">
        <v>18.57</v>
      </c>
      <c r="Q99" s="27">
        <v>19.47</v>
      </c>
      <c r="R99" s="27">
        <v>20.420000000000002</v>
      </c>
    </row>
    <row r="100" spans="1:18" ht="15.75" thickBot="1">
      <c r="A100" s="31">
        <v>1</v>
      </c>
      <c r="B100" s="32" t="s">
        <v>45</v>
      </c>
      <c r="C100" s="12">
        <v>0.94</v>
      </c>
      <c r="D100" s="12">
        <v>1.93</v>
      </c>
      <c r="E100" s="12">
        <v>2.81</v>
      </c>
      <c r="F100" s="12">
        <v>3.72</v>
      </c>
      <c r="G100" s="12">
        <v>6.49</v>
      </c>
      <c r="H100" s="12">
        <v>7.46</v>
      </c>
      <c r="I100" s="12">
        <v>8.3000000000000007</v>
      </c>
      <c r="J100" s="12">
        <v>9.2899999999999991</v>
      </c>
      <c r="K100" s="12">
        <v>12</v>
      </c>
      <c r="L100" s="12">
        <v>12.92</v>
      </c>
      <c r="M100" s="12">
        <v>13.8</v>
      </c>
      <c r="N100" s="12">
        <v>14.79</v>
      </c>
      <c r="O100" s="12">
        <v>17.55</v>
      </c>
      <c r="P100" s="12">
        <v>18.48</v>
      </c>
      <c r="Q100" s="12">
        <v>19.41</v>
      </c>
      <c r="R100" s="12" t="s">
        <v>40</v>
      </c>
    </row>
    <row r="101" spans="1:18" ht="15.75" thickBot="1">
      <c r="A101" s="30">
        <v>2</v>
      </c>
      <c r="B101" s="35"/>
      <c r="C101" s="27">
        <v>0.98</v>
      </c>
      <c r="D101" s="27">
        <v>1.93</v>
      </c>
      <c r="E101" s="27">
        <v>2.87</v>
      </c>
      <c r="F101" s="27" t="s">
        <v>40</v>
      </c>
      <c r="G101" s="27" t="s">
        <v>40</v>
      </c>
      <c r="H101" s="27">
        <v>7.52</v>
      </c>
      <c r="I101" s="27">
        <v>8.31</v>
      </c>
      <c r="J101" s="27" t="s">
        <v>40</v>
      </c>
      <c r="K101" s="27">
        <v>12.06</v>
      </c>
      <c r="L101" s="27">
        <v>12.92</v>
      </c>
      <c r="M101" s="27">
        <v>13.79</v>
      </c>
      <c r="N101" s="27">
        <v>14.85</v>
      </c>
      <c r="O101" s="27">
        <v>17.54</v>
      </c>
      <c r="P101" s="27">
        <v>18.5</v>
      </c>
      <c r="Q101" s="27">
        <v>19.36</v>
      </c>
      <c r="R101" s="27">
        <v>20.32</v>
      </c>
    </row>
    <row r="102" spans="1:18" ht="15.75" thickBot="1">
      <c r="A102" s="31">
        <v>1</v>
      </c>
      <c r="B102" s="32" t="s">
        <v>46</v>
      </c>
      <c r="C102" s="12">
        <v>1.18</v>
      </c>
      <c r="D102" s="12">
        <v>2.1</v>
      </c>
      <c r="E102" s="12">
        <v>2.75</v>
      </c>
      <c r="F102" s="12">
        <v>3.89</v>
      </c>
      <c r="G102" s="12">
        <v>6.62</v>
      </c>
      <c r="H102" s="12">
        <v>7.54</v>
      </c>
      <c r="I102" s="12">
        <v>8.44</v>
      </c>
      <c r="J102" s="12" t="s">
        <v>40</v>
      </c>
      <c r="K102" s="12">
        <v>12.17</v>
      </c>
      <c r="L102" s="12">
        <v>13.19</v>
      </c>
      <c r="M102" s="12">
        <v>14.06</v>
      </c>
      <c r="N102" s="12">
        <v>14.8</v>
      </c>
      <c r="O102" s="12">
        <v>17.850000000000001</v>
      </c>
      <c r="P102" s="12">
        <v>18.739999999999998</v>
      </c>
      <c r="Q102" s="12">
        <v>19.43</v>
      </c>
      <c r="R102" s="12" t="s">
        <v>40</v>
      </c>
    </row>
    <row r="103" spans="1:18" ht="15.75" thickBot="1">
      <c r="A103" s="30">
        <v>2</v>
      </c>
      <c r="B103" s="35"/>
      <c r="C103" s="27">
        <v>1.1200000000000001</v>
      </c>
      <c r="D103" s="27">
        <v>2.14</v>
      </c>
      <c r="E103" s="27">
        <v>2.92</v>
      </c>
      <c r="F103" s="27">
        <v>3.73</v>
      </c>
      <c r="G103" s="27">
        <v>6.82</v>
      </c>
      <c r="H103" s="27">
        <v>7.6</v>
      </c>
      <c r="I103" s="27">
        <v>8.52</v>
      </c>
      <c r="J103" s="27">
        <v>9.5299999999999994</v>
      </c>
      <c r="K103" s="27">
        <v>12.22</v>
      </c>
      <c r="L103" s="27">
        <v>13.14</v>
      </c>
      <c r="M103" s="27">
        <v>14.01</v>
      </c>
      <c r="N103" s="27">
        <v>15.24</v>
      </c>
      <c r="O103" s="27">
        <v>17.920000000000002</v>
      </c>
      <c r="P103" s="27">
        <v>18.66</v>
      </c>
      <c r="Q103" s="27">
        <v>19.47</v>
      </c>
      <c r="R103" s="27">
        <v>20.58</v>
      </c>
    </row>
    <row r="104" spans="1:18" ht="15.75" thickBot="1">
      <c r="A104" s="31">
        <v>1</v>
      </c>
      <c r="B104" s="32" t="s">
        <v>47</v>
      </c>
      <c r="C104" s="12">
        <v>1.1299999999999999</v>
      </c>
      <c r="D104" s="12">
        <v>2.15</v>
      </c>
      <c r="E104" s="12">
        <v>3.01</v>
      </c>
      <c r="F104" s="12">
        <v>3.95</v>
      </c>
      <c r="G104" s="12">
        <v>6.83</v>
      </c>
      <c r="H104" s="12">
        <v>7.8</v>
      </c>
      <c r="I104" s="12">
        <v>8.66</v>
      </c>
      <c r="J104" s="12">
        <v>9.7200000000000006</v>
      </c>
      <c r="K104" s="12">
        <v>12.24</v>
      </c>
      <c r="L104" s="12">
        <v>13.25</v>
      </c>
      <c r="M104" s="12">
        <v>14.19</v>
      </c>
      <c r="N104" s="12">
        <v>15.17</v>
      </c>
      <c r="O104" s="12">
        <v>17.71</v>
      </c>
      <c r="P104" s="12">
        <v>18.600000000000001</v>
      </c>
      <c r="Q104" s="12">
        <v>19.62</v>
      </c>
      <c r="R104" s="12">
        <v>20.39</v>
      </c>
    </row>
    <row r="105" spans="1:18" ht="15.75" thickBot="1">
      <c r="A105" s="30">
        <v>2</v>
      </c>
      <c r="B105" s="29"/>
      <c r="C105" s="27">
        <v>1.1100000000000001</v>
      </c>
      <c r="D105" s="27">
        <v>2.16</v>
      </c>
      <c r="E105" s="27">
        <v>2.95</v>
      </c>
      <c r="F105" s="27">
        <v>3.87</v>
      </c>
      <c r="G105" s="27">
        <v>6.81</v>
      </c>
      <c r="H105" s="27">
        <v>7.79</v>
      </c>
      <c r="I105" s="27">
        <v>8.6300000000000008</v>
      </c>
      <c r="J105" s="27">
        <v>9.68</v>
      </c>
      <c r="K105" s="27">
        <v>12.22</v>
      </c>
      <c r="L105" s="27">
        <v>13.18</v>
      </c>
      <c r="M105" s="27">
        <v>14.03</v>
      </c>
      <c r="N105" s="27">
        <v>15.15</v>
      </c>
      <c r="O105" s="27">
        <v>17.73</v>
      </c>
      <c r="P105" s="27">
        <v>18.57</v>
      </c>
      <c r="Q105" s="27">
        <v>19.54</v>
      </c>
      <c r="R105" s="27">
        <v>20.329999999999998</v>
      </c>
    </row>
    <row r="106" spans="1:18" ht="15.75" thickBot="1">
      <c r="A106" s="31">
        <v>1</v>
      </c>
      <c r="B106" s="32" t="s">
        <v>48</v>
      </c>
      <c r="C106" s="12">
        <v>0.83</v>
      </c>
      <c r="D106" s="12">
        <v>1.93</v>
      </c>
      <c r="E106" s="12">
        <v>2.8</v>
      </c>
      <c r="F106" s="12">
        <v>3.72</v>
      </c>
      <c r="G106" s="12">
        <v>6.49</v>
      </c>
      <c r="H106" s="12">
        <v>7.44</v>
      </c>
      <c r="I106" s="12">
        <v>8.2799999999999994</v>
      </c>
      <c r="J106" s="12" t="s">
        <v>40</v>
      </c>
      <c r="K106" s="12">
        <v>11.91</v>
      </c>
      <c r="L106" s="12">
        <v>12.92</v>
      </c>
      <c r="M106" s="12">
        <v>13.79</v>
      </c>
      <c r="N106" s="12">
        <v>14.76</v>
      </c>
      <c r="O106" s="12">
        <v>17.53</v>
      </c>
      <c r="P106" s="12">
        <v>18.46</v>
      </c>
      <c r="Q106" s="12">
        <v>19.36</v>
      </c>
      <c r="R106" s="12">
        <v>20.3</v>
      </c>
    </row>
    <row r="107" spans="1:18" ht="15.75" thickBot="1">
      <c r="A107" s="30">
        <v>2</v>
      </c>
      <c r="B107" s="35"/>
      <c r="C107" s="27">
        <v>0.92</v>
      </c>
      <c r="D107" s="27">
        <v>1.98</v>
      </c>
      <c r="E107" s="27">
        <v>2.83</v>
      </c>
      <c r="F107" s="27">
        <v>3.75</v>
      </c>
      <c r="G107" s="27">
        <v>6.45</v>
      </c>
      <c r="H107" s="27">
        <v>7.51</v>
      </c>
      <c r="I107" s="27">
        <v>8.2899999999999991</v>
      </c>
      <c r="J107" s="27" t="s">
        <v>40</v>
      </c>
      <c r="K107" s="27">
        <v>11.98</v>
      </c>
      <c r="L107" s="27">
        <v>12.9</v>
      </c>
      <c r="M107" s="27">
        <v>13.73</v>
      </c>
      <c r="N107" s="27">
        <v>14.74</v>
      </c>
      <c r="O107" s="27">
        <v>17.55</v>
      </c>
      <c r="P107" s="27">
        <v>18.45</v>
      </c>
      <c r="Q107" s="27">
        <v>19.34</v>
      </c>
      <c r="R107" s="27">
        <v>20.32</v>
      </c>
    </row>
    <row r="108" spans="1:18" ht="15.75" thickBot="1">
      <c r="A108" s="36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</row>
    <row r="109" spans="1:18" ht="15.75" thickBot="1">
      <c r="A109" s="37"/>
      <c r="B109" s="38" t="s">
        <v>49</v>
      </c>
      <c r="C109" s="39">
        <v>7.0000000000000007E-2</v>
      </c>
      <c r="D109" s="39">
        <v>0.06</v>
      </c>
      <c r="E109" s="39">
        <v>0.06</v>
      </c>
      <c r="F109" s="39">
        <v>7.0000000000000007E-2</v>
      </c>
      <c r="G109" s="39">
        <v>0.08</v>
      </c>
      <c r="H109" s="39">
        <v>0.06</v>
      </c>
      <c r="I109" s="39">
        <v>0.09</v>
      </c>
      <c r="J109" s="39">
        <v>0.19</v>
      </c>
      <c r="K109" s="39">
        <v>7.0000000000000007E-2</v>
      </c>
      <c r="L109" s="39">
        <v>0.06</v>
      </c>
      <c r="M109" s="39">
        <v>7.0000000000000007E-2</v>
      </c>
      <c r="N109" s="39">
        <v>0.06</v>
      </c>
      <c r="O109" s="39">
        <v>0.11</v>
      </c>
      <c r="P109" s="39">
        <v>0.1</v>
      </c>
      <c r="Q109" s="39">
        <v>0.08</v>
      </c>
      <c r="R109" s="39">
        <v>7.0000000000000007E-2</v>
      </c>
    </row>
    <row r="110" spans="1:18" ht="15.75" thickBot="1">
      <c r="A110" s="36"/>
      <c r="B110" s="26" t="s">
        <v>50</v>
      </c>
      <c r="C110" s="21">
        <v>0.11</v>
      </c>
      <c r="D110" s="21">
        <v>0.1</v>
      </c>
      <c r="E110" s="21">
        <v>0.08</v>
      </c>
      <c r="F110" s="21">
        <v>0.09</v>
      </c>
      <c r="G110" s="21">
        <v>0.16</v>
      </c>
      <c r="H110" s="21">
        <v>0.13</v>
      </c>
      <c r="I110" s="21">
        <v>0.14000000000000001</v>
      </c>
      <c r="J110" s="21">
        <v>0.16</v>
      </c>
      <c r="K110" s="21">
        <v>0.11</v>
      </c>
      <c r="L110" s="21">
        <v>0.14000000000000001</v>
      </c>
      <c r="M110" s="21">
        <v>0.15</v>
      </c>
      <c r="N110" s="21">
        <v>0.19</v>
      </c>
      <c r="O110" s="21">
        <v>0.15</v>
      </c>
      <c r="P110" s="21">
        <v>0.09</v>
      </c>
      <c r="Q110" s="21">
        <v>0.09</v>
      </c>
      <c r="R110" s="21">
        <v>0.09</v>
      </c>
    </row>
    <row r="111" spans="1:18">
      <c r="A111" s="11"/>
    </row>
    <row r="112" spans="1:18">
      <c r="A112" s="11"/>
    </row>
    <row r="113" spans="1:17" ht="15.75" thickBot="1">
      <c r="A113" s="11"/>
    </row>
    <row r="114" spans="1:17" ht="15.75" thickBot="1">
      <c r="A114" s="232" t="s">
        <v>54</v>
      </c>
      <c r="B114" s="233"/>
      <c r="C114" s="233"/>
      <c r="D114" s="233"/>
      <c r="E114" s="233"/>
      <c r="F114" s="233"/>
      <c r="G114" s="233"/>
      <c r="H114" s="233"/>
      <c r="I114" s="233"/>
      <c r="J114" s="233"/>
      <c r="K114" s="233"/>
      <c r="L114" s="233"/>
      <c r="M114" s="233"/>
      <c r="N114" s="233"/>
      <c r="O114" s="233"/>
      <c r="P114" s="233"/>
      <c r="Q114" s="234"/>
    </row>
    <row r="115" spans="1:17" ht="15.75" thickBot="1">
      <c r="A115" s="34" t="s">
        <v>36</v>
      </c>
      <c r="B115" s="29" t="s">
        <v>37</v>
      </c>
      <c r="C115" s="29">
        <v>1</v>
      </c>
      <c r="D115" s="29">
        <v>2</v>
      </c>
      <c r="E115" s="29">
        <v>3</v>
      </c>
      <c r="F115" s="29">
        <v>4</v>
      </c>
      <c r="G115" s="29">
        <v>5</v>
      </c>
      <c r="H115" s="29">
        <v>6</v>
      </c>
      <c r="I115" s="29">
        <v>7</v>
      </c>
      <c r="J115" s="29">
        <v>8</v>
      </c>
      <c r="K115" s="29">
        <v>9</v>
      </c>
      <c r="L115" s="29">
        <v>10</v>
      </c>
      <c r="M115" s="29">
        <v>11</v>
      </c>
      <c r="N115" s="29">
        <v>12</v>
      </c>
      <c r="O115" s="29">
        <v>13</v>
      </c>
      <c r="P115" s="29">
        <v>14</v>
      </c>
      <c r="Q115" s="29">
        <v>15</v>
      </c>
    </row>
    <row r="116" spans="1:17" ht="15.75" thickBot="1">
      <c r="A116" s="31">
        <v>1</v>
      </c>
      <c r="B116" s="32" t="s">
        <v>38</v>
      </c>
      <c r="C116" s="12">
        <v>0.88</v>
      </c>
      <c r="D116" s="12">
        <v>1.95</v>
      </c>
      <c r="E116" s="12">
        <v>2.82</v>
      </c>
      <c r="F116" s="12">
        <v>3.75</v>
      </c>
      <c r="G116" s="12">
        <v>6.52</v>
      </c>
      <c r="H116" s="12">
        <v>7.46</v>
      </c>
      <c r="I116" s="12">
        <v>8.31</v>
      </c>
      <c r="J116" s="12">
        <v>9.3000000000000007</v>
      </c>
      <c r="K116" s="12">
        <v>11.93</v>
      </c>
      <c r="L116" s="12">
        <v>12.92</v>
      </c>
      <c r="M116" s="12">
        <v>13.81</v>
      </c>
      <c r="N116" s="12">
        <v>14.77</v>
      </c>
      <c r="O116" s="12">
        <v>17.559999999999999</v>
      </c>
      <c r="P116" s="12">
        <v>18.5</v>
      </c>
      <c r="Q116" s="12">
        <v>19.36</v>
      </c>
    </row>
    <row r="117" spans="1:17" ht="15.75" thickBot="1">
      <c r="A117" s="30">
        <v>2</v>
      </c>
      <c r="B117" s="35"/>
      <c r="C117" s="27">
        <v>0.91</v>
      </c>
      <c r="D117" s="27">
        <v>1.95</v>
      </c>
      <c r="E117" s="27">
        <v>2.81</v>
      </c>
      <c r="F117" s="27">
        <v>3.74</v>
      </c>
      <c r="G117" s="27">
        <v>6.52</v>
      </c>
      <c r="H117" s="27">
        <v>7.48</v>
      </c>
      <c r="I117" s="27">
        <v>8.31</v>
      </c>
      <c r="J117" s="27">
        <v>9.2799999999999994</v>
      </c>
      <c r="K117" s="27">
        <v>11.94</v>
      </c>
      <c r="L117" s="27">
        <v>12.94</v>
      </c>
      <c r="M117" s="27">
        <v>13.8</v>
      </c>
      <c r="N117" s="27">
        <v>14.79</v>
      </c>
      <c r="O117" s="27">
        <v>17.579999999999998</v>
      </c>
      <c r="P117" s="27">
        <v>18.510000000000002</v>
      </c>
      <c r="Q117" s="27">
        <v>19.37</v>
      </c>
    </row>
    <row r="118" spans="1:17" ht="15.75" thickBot="1">
      <c r="A118" s="31">
        <v>1</v>
      </c>
      <c r="B118" s="32" t="s">
        <v>39</v>
      </c>
      <c r="C118" s="12" t="s">
        <v>40</v>
      </c>
      <c r="D118" s="12">
        <v>1.99</v>
      </c>
      <c r="E118" s="12">
        <v>2.87</v>
      </c>
      <c r="F118" s="12" t="s">
        <v>40</v>
      </c>
      <c r="G118" s="12" t="s">
        <v>40</v>
      </c>
      <c r="H118" s="12">
        <v>7.49</v>
      </c>
      <c r="I118" s="12">
        <v>8.41</v>
      </c>
      <c r="J118" s="12" t="s">
        <v>40</v>
      </c>
      <c r="K118" s="12">
        <v>12.03</v>
      </c>
      <c r="L118" s="12">
        <v>13.03</v>
      </c>
      <c r="M118" s="12">
        <v>13.86</v>
      </c>
      <c r="N118" s="12">
        <v>14.88</v>
      </c>
      <c r="O118" s="12">
        <v>17.53</v>
      </c>
      <c r="P118" s="12">
        <v>18.68</v>
      </c>
      <c r="Q118" s="12">
        <v>19.39</v>
      </c>
    </row>
    <row r="119" spans="1:17" ht="15.75" thickBot="1">
      <c r="A119" s="30">
        <v>2</v>
      </c>
      <c r="B119" s="35"/>
      <c r="C119" s="27" t="s">
        <v>40</v>
      </c>
      <c r="D119" s="27">
        <v>2.06</v>
      </c>
      <c r="E119" s="27">
        <v>2.87</v>
      </c>
      <c r="F119" s="27">
        <v>3.74</v>
      </c>
      <c r="G119" s="27">
        <v>6.56</v>
      </c>
      <c r="H119" s="27">
        <v>7.52</v>
      </c>
      <c r="I119" s="27">
        <v>8.3000000000000007</v>
      </c>
      <c r="J119" s="27">
        <v>9.24</v>
      </c>
      <c r="K119" s="27">
        <v>12.06</v>
      </c>
      <c r="L119" s="27">
        <v>12.95</v>
      </c>
      <c r="M119" s="27">
        <v>13.91</v>
      </c>
      <c r="N119" s="27">
        <v>14.83</v>
      </c>
      <c r="O119" s="27">
        <v>17.63</v>
      </c>
      <c r="P119" s="27">
        <v>18.66</v>
      </c>
      <c r="Q119" s="27">
        <v>19.420000000000002</v>
      </c>
    </row>
    <row r="120" spans="1:17" ht="15.75" thickBot="1">
      <c r="A120" s="31">
        <v>1</v>
      </c>
      <c r="B120" s="32" t="s">
        <v>41</v>
      </c>
      <c r="C120" s="12">
        <v>1</v>
      </c>
      <c r="D120" s="12">
        <v>2.1</v>
      </c>
      <c r="E120" s="12">
        <v>2.97</v>
      </c>
      <c r="F120" s="12">
        <v>3.95</v>
      </c>
      <c r="G120" s="12">
        <v>6.75</v>
      </c>
      <c r="H120" s="12">
        <v>7.64</v>
      </c>
      <c r="I120" s="12">
        <v>8.59</v>
      </c>
      <c r="J120" s="12">
        <v>9.69</v>
      </c>
      <c r="K120" s="12">
        <v>12.1</v>
      </c>
      <c r="L120" s="12">
        <v>12.98</v>
      </c>
      <c r="M120" s="12">
        <v>13.86</v>
      </c>
      <c r="N120" s="12">
        <v>14.93</v>
      </c>
      <c r="O120" s="12">
        <v>17.89</v>
      </c>
      <c r="P120" s="12">
        <v>18.68</v>
      </c>
      <c r="Q120" s="12">
        <v>19.61</v>
      </c>
    </row>
    <row r="121" spans="1:17" ht="15.75" thickBot="1">
      <c r="A121" s="30">
        <v>2</v>
      </c>
      <c r="B121" s="29"/>
      <c r="C121" s="27">
        <v>0.8</v>
      </c>
      <c r="D121" s="27">
        <v>1.9</v>
      </c>
      <c r="E121" s="27">
        <v>2.77</v>
      </c>
      <c r="F121" s="27">
        <v>3.75</v>
      </c>
      <c r="G121" s="27">
        <v>6.55</v>
      </c>
      <c r="H121" s="27">
        <v>7.44</v>
      </c>
      <c r="I121" s="27">
        <v>8.39</v>
      </c>
      <c r="J121" s="27">
        <v>9.49</v>
      </c>
      <c r="K121" s="27">
        <v>11.9</v>
      </c>
      <c r="L121" s="27">
        <v>12.78</v>
      </c>
      <c r="M121" s="27">
        <v>13.66</v>
      </c>
      <c r="N121" s="27">
        <v>14.73</v>
      </c>
      <c r="O121" s="27">
        <v>17.690000000000001</v>
      </c>
      <c r="P121" s="27">
        <v>18.48</v>
      </c>
      <c r="Q121" s="27">
        <v>19.41</v>
      </c>
    </row>
    <row r="122" spans="1:17" ht="15.75" thickBot="1">
      <c r="A122" s="31">
        <v>1</v>
      </c>
      <c r="B122" s="32" t="s">
        <v>42</v>
      </c>
      <c r="C122" s="12">
        <v>0.84</v>
      </c>
      <c r="D122" s="12">
        <v>1.92</v>
      </c>
      <c r="E122" s="12">
        <v>2.8</v>
      </c>
      <c r="F122" s="12">
        <v>3.72</v>
      </c>
      <c r="G122" s="12">
        <v>6.48</v>
      </c>
      <c r="H122" s="12">
        <v>7.46</v>
      </c>
      <c r="I122" s="12">
        <v>8.32</v>
      </c>
      <c r="J122" s="12">
        <v>9.25</v>
      </c>
      <c r="K122" s="12">
        <v>11.91</v>
      </c>
      <c r="L122" s="12">
        <v>12.92</v>
      </c>
      <c r="M122" s="12">
        <v>13.79</v>
      </c>
      <c r="N122" s="12">
        <v>14.75</v>
      </c>
      <c r="O122" s="12">
        <v>17.53</v>
      </c>
      <c r="P122" s="12">
        <v>18.47</v>
      </c>
      <c r="Q122" s="12">
        <v>19.36</v>
      </c>
    </row>
    <row r="123" spans="1:17" ht="15.75" thickBot="1">
      <c r="A123" s="30">
        <v>2</v>
      </c>
      <c r="B123" s="35"/>
      <c r="C123" s="27">
        <v>0.84</v>
      </c>
      <c r="D123" s="27">
        <v>1.94</v>
      </c>
      <c r="E123" s="27">
        <v>2.79</v>
      </c>
      <c r="F123" s="27">
        <v>3.72</v>
      </c>
      <c r="G123" s="27">
        <v>6.48</v>
      </c>
      <c r="H123" s="27">
        <v>7.44</v>
      </c>
      <c r="I123" s="27">
        <v>8.2799999999999994</v>
      </c>
      <c r="J123" s="27">
        <v>9.23</v>
      </c>
      <c r="K123" s="27">
        <v>11.9</v>
      </c>
      <c r="L123" s="27">
        <v>12.9</v>
      </c>
      <c r="M123" s="27">
        <v>13.79</v>
      </c>
      <c r="N123" s="27">
        <v>14.77</v>
      </c>
      <c r="O123" s="27">
        <v>17.559999999999999</v>
      </c>
      <c r="P123" s="27">
        <v>18.45</v>
      </c>
      <c r="Q123" s="27">
        <v>19.34</v>
      </c>
    </row>
    <row r="124" spans="1:17" ht="15.75" thickBot="1">
      <c r="A124" s="31">
        <v>1</v>
      </c>
      <c r="B124" s="32" t="s">
        <v>43</v>
      </c>
      <c r="C124" s="12">
        <v>0.97</v>
      </c>
      <c r="D124" s="12">
        <v>1.96</v>
      </c>
      <c r="E124" s="12">
        <v>2.86</v>
      </c>
      <c r="F124" s="12">
        <v>3.73</v>
      </c>
      <c r="G124" s="12">
        <v>6.48</v>
      </c>
      <c r="H124" s="12">
        <v>7.5</v>
      </c>
      <c r="I124" s="12">
        <v>8.35</v>
      </c>
      <c r="J124" s="12">
        <v>9.58</v>
      </c>
      <c r="K124" s="12">
        <v>12.03</v>
      </c>
      <c r="L124" s="12">
        <v>12.92</v>
      </c>
      <c r="M124" s="12">
        <v>13.78</v>
      </c>
      <c r="N124" s="12">
        <v>14.76</v>
      </c>
      <c r="O124" s="12">
        <v>17.55</v>
      </c>
      <c r="P124" s="12">
        <v>18.47</v>
      </c>
      <c r="Q124" s="12">
        <v>19.350000000000001</v>
      </c>
    </row>
    <row r="125" spans="1:17" ht="15.75" thickBot="1">
      <c r="A125" s="30">
        <v>2</v>
      </c>
      <c r="B125" s="35"/>
      <c r="C125" s="27">
        <v>0.96</v>
      </c>
      <c r="D125" s="27">
        <v>1.92</v>
      </c>
      <c r="E125" s="27">
        <v>2.8</v>
      </c>
      <c r="F125" s="27">
        <v>3.73</v>
      </c>
      <c r="G125" s="27">
        <v>6.49</v>
      </c>
      <c r="H125" s="27">
        <v>7.47</v>
      </c>
      <c r="I125" s="27">
        <v>8.31</v>
      </c>
      <c r="J125" s="27">
        <v>9.65</v>
      </c>
      <c r="K125" s="27">
        <v>12.04</v>
      </c>
      <c r="L125" s="27">
        <v>12.91</v>
      </c>
      <c r="M125" s="27">
        <v>13.82</v>
      </c>
      <c r="N125" s="27">
        <v>14.79</v>
      </c>
      <c r="O125" s="27">
        <v>17.52</v>
      </c>
      <c r="P125" s="27">
        <v>18.489999999999998</v>
      </c>
      <c r="Q125" s="27">
        <v>19.399999999999999</v>
      </c>
    </row>
    <row r="126" spans="1:17" ht="15.75" thickBot="1">
      <c r="A126" s="31">
        <v>1</v>
      </c>
      <c r="B126" s="32" t="s">
        <v>44</v>
      </c>
      <c r="C126" s="12">
        <v>0.98</v>
      </c>
      <c r="D126" s="12">
        <v>2.02</v>
      </c>
      <c r="E126" s="12">
        <v>2.87</v>
      </c>
      <c r="F126" s="12">
        <v>3.73</v>
      </c>
      <c r="G126" s="12">
        <v>6.49</v>
      </c>
      <c r="H126" s="12">
        <v>7.55</v>
      </c>
      <c r="I126" s="12">
        <v>8.36</v>
      </c>
      <c r="J126" s="12">
        <v>9.66</v>
      </c>
      <c r="K126" s="12">
        <v>12.06</v>
      </c>
      <c r="L126" s="12">
        <v>12.92</v>
      </c>
      <c r="M126" s="12">
        <v>13.85</v>
      </c>
      <c r="N126" s="12">
        <v>14.81</v>
      </c>
      <c r="O126" s="12">
        <v>17.53</v>
      </c>
      <c r="P126" s="12">
        <v>18.5</v>
      </c>
      <c r="Q126" s="12">
        <v>19.43</v>
      </c>
    </row>
    <row r="127" spans="1:17" ht="15.75" thickBot="1">
      <c r="A127" s="30">
        <v>2</v>
      </c>
      <c r="B127" s="35"/>
      <c r="C127" s="27">
        <v>1.02</v>
      </c>
      <c r="D127" s="27">
        <v>2</v>
      </c>
      <c r="E127" s="27">
        <v>2.85</v>
      </c>
      <c r="F127" s="27">
        <v>3.73</v>
      </c>
      <c r="G127" s="27">
        <v>6.53</v>
      </c>
      <c r="H127" s="27">
        <v>7.51</v>
      </c>
      <c r="I127" s="27">
        <v>8.31</v>
      </c>
      <c r="J127" s="27">
        <v>9.6199999999999992</v>
      </c>
      <c r="K127" s="27">
        <v>12.08</v>
      </c>
      <c r="L127" s="27">
        <v>13.02</v>
      </c>
      <c r="M127" s="27">
        <v>13.89</v>
      </c>
      <c r="N127" s="27">
        <v>14.83</v>
      </c>
      <c r="O127" s="27">
        <v>17.54</v>
      </c>
      <c r="P127" s="27">
        <v>18.57</v>
      </c>
      <c r="Q127" s="27">
        <v>19.47</v>
      </c>
    </row>
    <row r="128" spans="1:17" ht="15.75" thickBot="1">
      <c r="A128" s="31">
        <v>1</v>
      </c>
      <c r="B128" s="32" t="s">
        <v>45</v>
      </c>
      <c r="C128" s="12">
        <v>0.94</v>
      </c>
      <c r="D128" s="12">
        <v>1.93</v>
      </c>
      <c r="E128" s="12">
        <v>2.81</v>
      </c>
      <c r="F128" s="12">
        <v>3.72</v>
      </c>
      <c r="G128" s="12">
        <v>6.49</v>
      </c>
      <c r="H128" s="12">
        <v>7.46</v>
      </c>
      <c r="I128" s="12">
        <v>8.3000000000000007</v>
      </c>
      <c r="J128" s="12">
        <v>9.2899999999999991</v>
      </c>
      <c r="K128" s="12">
        <v>12</v>
      </c>
      <c r="L128" s="12">
        <v>12.92</v>
      </c>
      <c r="M128" s="12">
        <v>13.8</v>
      </c>
      <c r="N128" s="12">
        <v>14.79</v>
      </c>
      <c r="O128" s="12">
        <v>17.55</v>
      </c>
      <c r="P128" s="12">
        <v>18.48</v>
      </c>
      <c r="Q128" s="12">
        <v>19.41</v>
      </c>
    </row>
    <row r="129" spans="1:18" ht="15.75" thickBot="1">
      <c r="A129" s="30">
        <v>2</v>
      </c>
      <c r="B129" s="35"/>
      <c r="C129" s="27">
        <v>0.98</v>
      </c>
      <c r="D129" s="27">
        <v>1.93</v>
      </c>
      <c r="E129" s="27">
        <v>2.87</v>
      </c>
      <c r="F129" s="27" t="s">
        <v>40</v>
      </c>
      <c r="G129" s="27" t="s">
        <v>40</v>
      </c>
      <c r="H129" s="27">
        <v>7.52</v>
      </c>
      <c r="I129" s="27">
        <v>8.31</v>
      </c>
      <c r="J129" s="27" t="s">
        <v>40</v>
      </c>
      <c r="K129" s="27">
        <v>12.06</v>
      </c>
      <c r="L129" s="27">
        <v>12.92</v>
      </c>
      <c r="M129" s="27">
        <v>13.79</v>
      </c>
      <c r="N129" s="27">
        <v>14.85</v>
      </c>
      <c r="O129" s="27">
        <v>17.54</v>
      </c>
      <c r="P129" s="27">
        <v>18.5</v>
      </c>
      <c r="Q129" s="27">
        <v>19.36</v>
      </c>
    </row>
    <row r="130" spans="1:18" ht="15.75" thickBot="1">
      <c r="A130" s="31">
        <v>1</v>
      </c>
      <c r="B130" s="32" t="s">
        <v>46</v>
      </c>
      <c r="C130" s="12">
        <v>1.18</v>
      </c>
      <c r="D130" s="12">
        <v>2.1</v>
      </c>
      <c r="E130" s="12">
        <v>2.75</v>
      </c>
      <c r="F130" s="12">
        <v>3.89</v>
      </c>
      <c r="G130" s="12">
        <v>6.62</v>
      </c>
      <c r="H130" s="12">
        <v>7.54</v>
      </c>
      <c r="I130" s="12">
        <v>8.44</v>
      </c>
      <c r="J130" s="12" t="s">
        <v>40</v>
      </c>
      <c r="K130" s="12">
        <v>12.17</v>
      </c>
      <c r="L130" s="12">
        <v>13.19</v>
      </c>
      <c r="M130" s="12">
        <v>14.06</v>
      </c>
      <c r="N130" s="12">
        <v>14.8</v>
      </c>
      <c r="O130" s="12">
        <v>17.850000000000001</v>
      </c>
      <c r="P130" s="12">
        <v>18.739999999999998</v>
      </c>
      <c r="Q130" s="12">
        <v>19.43</v>
      </c>
    </row>
    <row r="131" spans="1:18" ht="15.75" thickBot="1">
      <c r="A131" s="30">
        <v>2</v>
      </c>
      <c r="B131" s="35"/>
      <c r="C131" s="27">
        <v>1.1200000000000001</v>
      </c>
      <c r="D131" s="27">
        <v>2.14</v>
      </c>
      <c r="E131" s="27">
        <v>2.92</v>
      </c>
      <c r="F131" s="27">
        <v>3.73</v>
      </c>
      <c r="G131" s="27">
        <v>6.82</v>
      </c>
      <c r="H131" s="27">
        <v>7.6</v>
      </c>
      <c r="I131" s="27">
        <v>8.52</v>
      </c>
      <c r="J131" s="27">
        <v>9.5299999999999994</v>
      </c>
      <c r="K131" s="27">
        <v>12.22</v>
      </c>
      <c r="L131" s="27">
        <v>13.14</v>
      </c>
      <c r="M131" s="27">
        <v>14.01</v>
      </c>
      <c r="N131" s="27">
        <v>15.24</v>
      </c>
      <c r="O131" s="27">
        <v>17.920000000000002</v>
      </c>
      <c r="P131" s="27">
        <v>18.66</v>
      </c>
      <c r="Q131" s="27">
        <v>19.47</v>
      </c>
    </row>
    <row r="132" spans="1:18" ht="15.75" thickBot="1">
      <c r="A132" s="31">
        <v>1</v>
      </c>
      <c r="B132" s="32" t="s">
        <v>47</v>
      </c>
      <c r="C132" s="12">
        <v>1.1299999999999999</v>
      </c>
      <c r="D132" s="12">
        <v>2.15</v>
      </c>
      <c r="E132" s="12">
        <v>3.01</v>
      </c>
      <c r="F132" s="12">
        <v>3.95</v>
      </c>
      <c r="G132" s="12">
        <v>6.83</v>
      </c>
      <c r="H132" s="12">
        <v>7.8</v>
      </c>
      <c r="I132" s="12">
        <v>8.66</v>
      </c>
      <c r="J132" s="12">
        <v>9.7200000000000006</v>
      </c>
      <c r="K132" s="12">
        <v>12.24</v>
      </c>
      <c r="L132" s="12">
        <v>13.25</v>
      </c>
      <c r="M132" s="12">
        <v>14.19</v>
      </c>
      <c r="N132" s="12">
        <v>15.17</v>
      </c>
      <c r="O132" s="12">
        <v>17.71</v>
      </c>
      <c r="P132" s="12">
        <v>18.600000000000001</v>
      </c>
      <c r="Q132" s="12">
        <v>19.62</v>
      </c>
    </row>
    <row r="133" spans="1:18" ht="15.75" thickBot="1">
      <c r="A133" s="30">
        <v>2</v>
      </c>
      <c r="B133" s="29"/>
      <c r="C133" s="27">
        <v>1.1100000000000001</v>
      </c>
      <c r="D133" s="27">
        <v>2.16</v>
      </c>
      <c r="E133" s="27">
        <v>2.95</v>
      </c>
      <c r="F133" s="27">
        <v>3.87</v>
      </c>
      <c r="G133" s="27">
        <v>6.81</v>
      </c>
      <c r="H133" s="27">
        <v>7.79</v>
      </c>
      <c r="I133" s="27">
        <v>8.6300000000000008</v>
      </c>
      <c r="J133" s="27">
        <v>9.68</v>
      </c>
      <c r="K133" s="27">
        <v>12.22</v>
      </c>
      <c r="L133" s="27">
        <v>13.18</v>
      </c>
      <c r="M133" s="27">
        <v>14.03</v>
      </c>
      <c r="N133" s="27">
        <v>15.15</v>
      </c>
      <c r="O133" s="27">
        <v>17.73</v>
      </c>
      <c r="P133" s="27">
        <v>18.57</v>
      </c>
      <c r="Q133" s="27">
        <v>19.54</v>
      </c>
    </row>
    <row r="134" spans="1:18" ht="15.75" thickBot="1">
      <c r="A134" s="31">
        <v>1</v>
      </c>
      <c r="B134" s="32" t="s">
        <v>48</v>
      </c>
      <c r="C134" s="12">
        <v>0.83</v>
      </c>
      <c r="D134" s="12">
        <v>1.93</v>
      </c>
      <c r="E134" s="12">
        <v>2.8</v>
      </c>
      <c r="F134" s="12">
        <v>3.72</v>
      </c>
      <c r="G134" s="12">
        <v>6.49</v>
      </c>
      <c r="H134" s="12">
        <v>7.44</v>
      </c>
      <c r="I134" s="12">
        <v>8.2799999999999994</v>
      </c>
      <c r="J134" s="12" t="s">
        <v>40</v>
      </c>
      <c r="K134" s="12">
        <v>11.91</v>
      </c>
      <c r="L134" s="12">
        <v>12.92</v>
      </c>
      <c r="M134" s="12">
        <v>13.79</v>
      </c>
      <c r="N134" s="12">
        <v>14.76</v>
      </c>
      <c r="O134" s="12">
        <v>17.53</v>
      </c>
      <c r="P134" s="12">
        <v>18.46</v>
      </c>
      <c r="Q134" s="12">
        <v>19.36</v>
      </c>
    </row>
    <row r="135" spans="1:18" ht="15.75" thickBot="1">
      <c r="A135" s="30">
        <v>2</v>
      </c>
      <c r="B135" s="35"/>
      <c r="C135" s="27">
        <v>0.92</v>
      </c>
      <c r="D135" s="27">
        <v>1.98</v>
      </c>
      <c r="E135" s="27">
        <v>2.83</v>
      </c>
      <c r="F135" s="27">
        <v>3.75</v>
      </c>
      <c r="G135" s="27">
        <v>6.45</v>
      </c>
      <c r="H135" s="27">
        <v>7.51</v>
      </c>
      <c r="I135" s="27">
        <v>8.2899999999999991</v>
      </c>
      <c r="J135" s="27" t="s">
        <v>40</v>
      </c>
      <c r="K135" s="27">
        <v>11.98</v>
      </c>
      <c r="L135" s="27">
        <v>12.9</v>
      </c>
      <c r="M135" s="27">
        <v>13.73</v>
      </c>
      <c r="N135" s="27">
        <v>14.74</v>
      </c>
      <c r="O135" s="27">
        <v>17.55</v>
      </c>
      <c r="P135" s="27">
        <v>18.45</v>
      </c>
      <c r="Q135" s="27">
        <v>19.34</v>
      </c>
    </row>
    <row r="136" spans="1:18" s="117" customFormat="1">
      <c r="A136" s="287"/>
      <c r="B136" s="288"/>
      <c r="C136" s="289"/>
      <c r="D136" s="289"/>
      <c r="E136" s="289"/>
      <c r="F136" s="289"/>
      <c r="G136" s="289"/>
      <c r="H136" s="289"/>
      <c r="I136" s="289"/>
      <c r="J136" s="289"/>
      <c r="K136" s="289"/>
      <c r="L136" s="289"/>
      <c r="M136" s="289"/>
      <c r="N136" s="289"/>
      <c r="O136" s="289"/>
      <c r="P136" s="289"/>
      <c r="Q136" s="289"/>
    </row>
    <row r="137" spans="1:18">
      <c r="A137" s="11"/>
    </row>
    <row r="138" spans="1:18" ht="15.75" thickBot="1">
      <c r="A138" s="11"/>
    </row>
    <row r="139" spans="1:18" ht="15.75" thickBot="1">
      <c r="A139" s="229" t="s">
        <v>55</v>
      </c>
      <c r="B139" s="230"/>
      <c r="C139" s="230"/>
      <c r="D139" s="230"/>
      <c r="E139" s="230"/>
      <c r="F139" s="230"/>
      <c r="G139" s="230"/>
      <c r="H139" s="230"/>
      <c r="I139" s="230"/>
      <c r="J139" s="230"/>
      <c r="K139" s="230"/>
      <c r="L139" s="230"/>
      <c r="M139" s="230"/>
      <c r="N139" s="230"/>
      <c r="O139" s="230"/>
      <c r="P139" s="230"/>
      <c r="Q139" s="230"/>
      <c r="R139" s="231"/>
    </row>
    <row r="140" spans="1:18" ht="15.75" thickBot="1">
      <c r="A140" s="40" t="s">
        <v>49</v>
      </c>
      <c r="B140" s="41"/>
      <c r="C140" s="42">
        <v>7.0000000000000007E-2</v>
      </c>
      <c r="D140" s="42">
        <v>0.06</v>
      </c>
      <c r="E140" s="42">
        <v>0.06</v>
      </c>
      <c r="F140" s="42">
        <v>7.0000000000000007E-2</v>
      </c>
      <c r="G140" s="42">
        <v>0.08</v>
      </c>
      <c r="H140" s="42">
        <v>0.06</v>
      </c>
      <c r="I140" s="42">
        <v>0.09</v>
      </c>
      <c r="J140" s="42">
        <v>0.19</v>
      </c>
      <c r="K140" s="42">
        <v>7.0000000000000007E-2</v>
      </c>
      <c r="L140" s="42">
        <v>0.06</v>
      </c>
      <c r="M140" s="42">
        <v>7.0000000000000007E-2</v>
      </c>
      <c r="N140" s="42">
        <v>0.06</v>
      </c>
      <c r="O140" s="42">
        <v>0.11</v>
      </c>
      <c r="P140" s="42">
        <v>0.1</v>
      </c>
      <c r="Q140" s="42">
        <v>0.08</v>
      </c>
      <c r="R140" s="42"/>
    </row>
    <row r="141" spans="1:18" ht="15.75" thickBot="1">
      <c r="A141" s="43" t="s">
        <v>50</v>
      </c>
      <c r="B141" s="1"/>
      <c r="C141" s="3">
        <v>0.11</v>
      </c>
      <c r="D141" s="3">
        <v>0.1</v>
      </c>
      <c r="E141" s="3">
        <v>0.08</v>
      </c>
      <c r="F141" s="3">
        <v>0.09</v>
      </c>
      <c r="G141" s="3">
        <v>0.16</v>
      </c>
      <c r="H141" s="3">
        <v>0.13</v>
      </c>
      <c r="I141" s="3">
        <v>0.14000000000000001</v>
      </c>
      <c r="J141" s="3">
        <v>0.16</v>
      </c>
      <c r="K141" s="3">
        <v>0.11</v>
      </c>
      <c r="L141" s="3">
        <v>0.14000000000000001</v>
      </c>
      <c r="M141" s="3">
        <v>0.15</v>
      </c>
      <c r="N141" s="3">
        <v>0.19</v>
      </c>
      <c r="O141" s="3">
        <v>0.15</v>
      </c>
      <c r="P141" s="3">
        <v>0.09</v>
      </c>
      <c r="Q141" s="3">
        <v>0.09</v>
      </c>
      <c r="R141" s="3"/>
    </row>
    <row r="142" spans="1:18" ht="15.75" thickBot="1">
      <c r="A142" s="226" t="s">
        <v>56</v>
      </c>
      <c r="B142" s="227"/>
      <c r="C142" s="227"/>
      <c r="D142" s="227"/>
      <c r="E142" s="227"/>
      <c r="F142" s="227"/>
      <c r="G142" s="227"/>
      <c r="H142" s="227"/>
      <c r="I142" s="227"/>
      <c r="J142" s="227"/>
      <c r="K142" s="227"/>
      <c r="L142" s="227"/>
      <c r="M142" s="227"/>
      <c r="N142" s="227"/>
      <c r="O142" s="227"/>
      <c r="P142" s="227"/>
      <c r="Q142" s="227"/>
      <c r="R142" s="228"/>
    </row>
    <row r="143" spans="1:18" ht="24.75" thickBot="1">
      <c r="A143" s="43" t="s">
        <v>57</v>
      </c>
      <c r="B143" s="1"/>
      <c r="C143" s="3">
        <v>7.0000000000000007E-2</v>
      </c>
      <c r="D143" s="3">
        <v>0.05</v>
      </c>
      <c r="E143" s="3">
        <v>7.0000000000000007E-2</v>
      </c>
      <c r="F143" s="3">
        <v>0.06</v>
      </c>
      <c r="G143" s="3">
        <v>0.05</v>
      </c>
      <c r="H143" s="3">
        <v>0.06</v>
      </c>
      <c r="I143" s="3">
        <v>0.06</v>
      </c>
      <c r="J143" s="3">
        <v>0.05</v>
      </c>
      <c r="K143" s="3">
        <v>0.05</v>
      </c>
      <c r="L143" s="3">
        <v>7.0000000000000007E-2</v>
      </c>
      <c r="M143" s="3">
        <v>0.06</v>
      </c>
      <c r="N143" s="3">
        <v>0.05</v>
      </c>
      <c r="O143" s="3">
        <v>0.09</v>
      </c>
      <c r="P143" s="3">
        <v>0.06</v>
      </c>
      <c r="Q143" s="3">
        <v>0.06</v>
      </c>
      <c r="R143" s="3">
        <v>0.06</v>
      </c>
    </row>
    <row r="144" spans="1:18" ht="24.75" thickBot="1">
      <c r="A144" s="40" t="s">
        <v>58</v>
      </c>
      <c r="B144" s="41"/>
      <c r="C144" s="42">
        <v>0.09</v>
      </c>
      <c r="D144" s="42">
        <v>7.0000000000000007E-2</v>
      </c>
      <c r="E144" s="42">
        <v>7.0000000000000007E-2</v>
      </c>
      <c r="F144" s="42">
        <v>0.27</v>
      </c>
      <c r="G144" s="42">
        <v>0.15</v>
      </c>
      <c r="H144" s="42">
        <v>0.1</v>
      </c>
      <c r="I144" s="42">
        <v>0.16</v>
      </c>
      <c r="J144" s="42">
        <v>0.14000000000000001</v>
      </c>
      <c r="K144" s="42">
        <v>0.14000000000000001</v>
      </c>
      <c r="L144" s="42">
        <v>0.04</v>
      </c>
      <c r="M144" s="42">
        <v>7.0000000000000007E-2</v>
      </c>
      <c r="N144" s="42">
        <v>0.06</v>
      </c>
      <c r="O144" s="42">
        <v>0.15</v>
      </c>
      <c r="P144" s="42">
        <v>0.06</v>
      </c>
      <c r="Q144" s="42">
        <v>0.2</v>
      </c>
      <c r="R144" s="42">
        <v>0.13</v>
      </c>
    </row>
    <row r="145" spans="1:18">
      <c r="A145" s="11"/>
    </row>
    <row r="146" spans="1:18" s="117" customFormat="1">
      <c r="A146" s="11"/>
    </row>
    <row r="147" spans="1:18" ht="15.75" thickBot="1">
      <c r="A147" s="11"/>
    </row>
    <row r="148" spans="1:18" ht="15.75" thickBot="1">
      <c r="A148" s="229" t="s">
        <v>59</v>
      </c>
      <c r="B148" s="230"/>
      <c r="C148" s="230"/>
      <c r="D148" s="230"/>
      <c r="E148" s="230"/>
      <c r="F148" s="230"/>
      <c r="G148" s="230"/>
      <c r="H148" s="230"/>
      <c r="I148" s="230"/>
      <c r="J148" s="230"/>
      <c r="K148" s="230"/>
      <c r="L148" s="230"/>
      <c r="M148" s="230"/>
      <c r="N148" s="230"/>
      <c r="O148" s="230"/>
      <c r="P148" s="230"/>
      <c r="Q148" s="230"/>
      <c r="R148" s="231"/>
    </row>
    <row r="149" spans="1:18" ht="24.75" thickBot="1">
      <c r="A149" s="44" t="s">
        <v>60</v>
      </c>
      <c r="B149" s="45" t="s">
        <v>61</v>
      </c>
      <c r="C149" s="27">
        <v>16</v>
      </c>
      <c r="D149" s="27">
        <v>17</v>
      </c>
      <c r="E149" s="27">
        <v>18</v>
      </c>
      <c r="F149" s="27">
        <v>19</v>
      </c>
      <c r="G149" s="27">
        <v>20</v>
      </c>
      <c r="H149" s="27">
        <v>21</v>
      </c>
      <c r="I149" s="27">
        <v>22</v>
      </c>
      <c r="J149" s="27">
        <v>23</v>
      </c>
      <c r="K149" s="27">
        <v>24</v>
      </c>
      <c r="L149" s="27">
        <v>25</v>
      </c>
      <c r="M149" s="27">
        <v>26</v>
      </c>
      <c r="N149" s="27">
        <v>27</v>
      </c>
      <c r="O149" s="27">
        <v>28</v>
      </c>
      <c r="P149" s="27">
        <v>29</v>
      </c>
      <c r="Q149" s="27">
        <v>30</v>
      </c>
      <c r="R149" s="27">
        <v>31</v>
      </c>
    </row>
    <row r="150" spans="1:18" ht="15.75" thickBot="1">
      <c r="A150" s="46">
        <v>1</v>
      </c>
      <c r="B150" s="47" t="s">
        <v>38</v>
      </c>
      <c r="C150" s="12">
        <v>20.329999999999998</v>
      </c>
      <c r="D150" s="12">
        <v>9.18</v>
      </c>
      <c r="E150" s="12">
        <v>9.5500000000000007</v>
      </c>
      <c r="F150" s="12">
        <v>10.78</v>
      </c>
      <c r="G150" s="12">
        <v>11.14</v>
      </c>
      <c r="H150" s="12">
        <v>11.5</v>
      </c>
      <c r="I150" s="12">
        <v>11.9</v>
      </c>
      <c r="J150" s="12">
        <v>12.23</v>
      </c>
      <c r="K150" s="12">
        <v>12.59</v>
      </c>
      <c r="L150" s="12">
        <v>12.94</v>
      </c>
      <c r="M150" s="12">
        <v>13.3</v>
      </c>
      <c r="N150" s="12">
        <v>13.7</v>
      </c>
      <c r="O150" s="12">
        <v>14.09</v>
      </c>
      <c r="P150" s="12">
        <v>15.27</v>
      </c>
      <c r="Q150" s="12">
        <v>15.62</v>
      </c>
      <c r="R150" s="12">
        <v>16.420000000000002</v>
      </c>
    </row>
    <row r="151" spans="1:18" ht="15.75" thickBot="1">
      <c r="A151" s="44">
        <v>2</v>
      </c>
      <c r="B151" s="45"/>
      <c r="C151" s="27">
        <v>20.329999999999998</v>
      </c>
      <c r="D151" s="27">
        <v>9.17</v>
      </c>
      <c r="E151" s="27">
        <v>9.49</v>
      </c>
      <c r="F151" s="27">
        <v>10.77</v>
      </c>
      <c r="G151" s="27">
        <v>11.14</v>
      </c>
      <c r="H151" s="27">
        <v>11.48</v>
      </c>
      <c r="I151" s="27">
        <v>11.9</v>
      </c>
      <c r="J151" s="27">
        <v>12.2</v>
      </c>
      <c r="K151" s="27">
        <v>12.6</v>
      </c>
      <c r="L151" s="27">
        <v>12.94</v>
      </c>
      <c r="M151" s="27">
        <v>13.32</v>
      </c>
      <c r="N151" s="27">
        <v>13.69</v>
      </c>
      <c r="O151" s="27">
        <v>14.08</v>
      </c>
      <c r="P151" s="27">
        <v>15.24</v>
      </c>
      <c r="Q151" s="27" t="s">
        <v>40</v>
      </c>
      <c r="R151" s="27">
        <v>16.440000000000001</v>
      </c>
    </row>
    <row r="152" spans="1:18" ht="15.75" thickBot="1">
      <c r="A152" s="46">
        <v>1</v>
      </c>
      <c r="B152" s="47" t="s">
        <v>39</v>
      </c>
      <c r="C152" s="12" t="s">
        <v>40</v>
      </c>
      <c r="D152" s="12">
        <v>9.2100000000000009</v>
      </c>
      <c r="E152" s="12">
        <v>9.57</v>
      </c>
      <c r="F152" s="12">
        <v>10.8</v>
      </c>
      <c r="G152" s="12">
        <v>11.15</v>
      </c>
      <c r="H152" s="12">
        <v>11.45</v>
      </c>
      <c r="I152" s="12">
        <v>11.88</v>
      </c>
      <c r="J152" s="12">
        <v>12.23</v>
      </c>
      <c r="K152" s="12">
        <v>12.6</v>
      </c>
      <c r="L152" s="12">
        <v>12.95</v>
      </c>
      <c r="M152" s="12">
        <v>13.32</v>
      </c>
      <c r="N152" s="12">
        <v>13.7</v>
      </c>
      <c r="O152" s="12">
        <v>14.11</v>
      </c>
      <c r="P152" s="12">
        <v>15.28</v>
      </c>
      <c r="Q152" s="12" t="s">
        <v>40</v>
      </c>
      <c r="R152" s="12">
        <v>16.489999999999998</v>
      </c>
    </row>
    <row r="153" spans="1:18" ht="15.75" thickBot="1">
      <c r="A153" s="44">
        <v>2</v>
      </c>
      <c r="B153" s="45"/>
      <c r="C153" s="27">
        <v>20.34</v>
      </c>
      <c r="D153" s="27">
        <v>9.1999999999999993</v>
      </c>
      <c r="E153" s="27">
        <v>9.59</v>
      </c>
      <c r="F153" s="27">
        <v>10.8</v>
      </c>
      <c r="G153" s="27">
        <v>11.13</v>
      </c>
      <c r="H153" s="27">
        <v>11.51</v>
      </c>
      <c r="I153" s="27">
        <v>11.92</v>
      </c>
      <c r="J153" s="27">
        <v>12.24</v>
      </c>
      <c r="K153" s="27">
        <v>12.59</v>
      </c>
      <c r="L153" s="27">
        <v>12.96</v>
      </c>
      <c r="M153" s="27">
        <v>13.31</v>
      </c>
      <c r="N153" s="27">
        <v>13.66</v>
      </c>
      <c r="O153" s="27">
        <v>14.09</v>
      </c>
      <c r="P153" s="27">
        <v>15.26</v>
      </c>
      <c r="Q153" s="27">
        <v>15.62</v>
      </c>
      <c r="R153" s="27">
        <v>16.440000000000001</v>
      </c>
    </row>
    <row r="154" spans="1:18" ht="15.75" thickBot="1">
      <c r="A154" s="46">
        <v>1</v>
      </c>
      <c r="B154" s="47" t="s">
        <v>41</v>
      </c>
      <c r="C154" s="12">
        <v>20.54</v>
      </c>
      <c r="D154" s="12">
        <v>9.27</v>
      </c>
      <c r="E154" s="12">
        <v>9.68</v>
      </c>
      <c r="F154" s="12">
        <v>10.81</v>
      </c>
      <c r="G154" s="12">
        <v>11.23</v>
      </c>
      <c r="H154" s="12">
        <v>11.54</v>
      </c>
      <c r="I154" s="12">
        <v>11.92</v>
      </c>
      <c r="J154" s="12">
        <v>12.28</v>
      </c>
      <c r="K154" s="12">
        <v>12.68</v>
      </c>
      <c r="L154" s="12">
        <v>13.15</v>
      </c>
      <c r="M154" s="12">
        <v>13.49</v>
      </c>
      <c r="N154" s="12">
        <v>13.8</v>
      </c>
      <c r="O154" s="12">
        <v>14.31</v>
      </c>
      <c r="P154" s="12">
        <v>15.4</v>
      </c>
      <c r="Q154" s="12">
        <v>15.73</v>
      </c>
      <c r="R154" s="12">
        <v>16.62</v>
      </c>
    </row>
    <row r="155" spans="1:18" ht="15.75" thickBot="1">
      <c r="A155" s="44">
        <v>2</v>
      </c>
      <c r="B155" s="48"/>
      <c r="C155" s="27">
        <v>20.34</v>
      </c>
      <c r="D155" s="27">
        <v>9.07</v>
      </c>
      <c r="E155" s="27">
        <v>9.48</v>
      </c>
      <c r="F155" s="27">
        <v>10.61</v>
      </c>
      <c r="G155" s="27">
        <v>11.03</v>
      </c>
      <c r="H155" s="27">
        <v>11.34</v>
      </c>
      <c r="I155" s="27">
        <v>11.72</v>
      </c>
      <c r="J155" s="27">
        <v>12.08</v>
      </c>
      <c r="K155" s="27">
        <v>12.48</v>
      </c>
      <c r="L155" s="27">
        <v>12.95</v>
      </c>
      <c r="M155" s="27">
        <v>13.29</v>
      </c>
      <c r="N155" s="27">
        <v>13.6</v>
      </c>
      <c r="O155" s="27">
        <v>14.11</v>
      </c>
      <c r="P155" s="27">
        <v>15.2</v>
      </c>
      <c r="Q155" s="27">
        <v>15.53</v>
      </c>
      <c r="R155" s="27">
        <v>16.420000000000002</v>
      </c>
    </row>
    <row r="156" spans="1:18" ht="15.75" thickBot="1">
      <c r="A156" s="46">
        <v>1</v>
      </c>
      <c r="B156" s="47" t="s">
        <v>42</v>
      </c>
      <c r="C156" s="12">
        <v>20.309999999999999</v>
      </c>
      <c r="D156" s="12">
        <v>9.17</v>
      </c>
      <c r="E156" s="12">
        <v>9.4700000000000006</v>
      </c>
      <c r="F156" s="12">
        <v>10.75</v>
      </c>
      <c r="G156" s="12">
        <v>11.11</v>
      </c>
      <c r="H156" s="12">
        <v>11.44</v>
      </c>
      <c r="I156" s="12">
        <v>11.88</v>
      </c>
      <c r="J156" s="12">
        <v>12.18</v>
      </c>
      <c r="K156" s="12">
        <v>12.56</v>
      </c>
      <c r="L156" s="12">
        <v>12.92</v>
      </c>
      <c r="M156" s="12">
        <v>13.3</v>
      </c>
      <c r="N156" s="12">
        <v>13.65</v>
      </c>
      <c r="O156" s="12">
        <v>14.05</v>
      </c>
      <c r="P156" s="12">
        <v>15.22</v>
      </c>
      <c r="Q156" s="12">
        <v>15.6</v>
      </c>
      <c r="R156" s="12">
        <v>16.399999999999999</v>
      </c>
    </row>
    <row r="157" spans="1:18" ht="15.75" thickBot="1">
      <c r="A157" s="44">
        <v>2</v>
      </c>
      <c r="B157" s="45"/>
      <c r="C157" s="27">
        <v>20.3</v>
      </c>
      <c r="D157" s="27">
        <v>9.15</v>
      </c>
      <c r="E157" s="27">
        <v>9.4700000000000006</v>
      </c>
      <c r="F157" s="27">
        <v>10.77</v>
      </c>
      <c r="G157" s="27">
        <v>11.12</v>
      </c>
      <c r="H157" s="27">
        <v>11.42</v>
      </c>
      <c r="I157" s="27">
        <v>11.85</v>
      </c>
      <c r="J157" s="27">
        <v>12.18</v>
      </c>
      <c r="K157" s="27">
        <v>12.56</v>
      </c>
      <c r="L157" s="27">
        <v>12.89</v>
      </c>
      <c r="M157" s="27">
        <v>13.31</v>
      </c>
      <c r="N157" s="27">
        <v>13.67</v>
      </c>
      <c r="O157" s="27">
        <v>13.97</v>
      </c>
      <c r="P157" s="27">
        <v>15.21</v>
      </c>
      <c r="Q157" s="27">
        <v>15.59</v>
      </c>
      <c r="R157" s="27">
        <v>16.43</v>
      </c>
    </row>
    <row r="158" spans="1:18" ht="15.75" thickBot="1">
      <c r="A158" s="46">
        <v>1</v>
      </c>
      <c r="B158" s="47" t="s">
        <v>43</v>
      </c>
      <c r="C158" s="12">
        <v>20.3</v>
      </c>
      <c r="D158" s="12">
        <v>9.16</v>
      </c>
      <c r="E158" s="12">
        <v>9.56</v>
      </c>
      <c r="F158" s="12">
        <v>10.77</v>
      </c>
      <c r="G158" s="12">
        <v>11.12</v>
      </c>
      <c r="H158" s="12">
        <v>11.48</v>
      </c>
      <c r="I158" s="12">
        <v>11.88</v>
      </c>
      <c r="J158" s="12">
        <v>12.19</v>
      </c>
      <c r="K158" s="12">
        <v>12.57</v>
      </c>
      <c r="L158" s="12">
        <v>12.93</v>
      </c>
      <c r="M158" s="12">
        <v>13.31</v>
      </c>
      <c r="N158" s="12">
        <v>13.66</v>
      </c>
      <c r="O158" s="12">
        <v>14.06</v>
      </c>
      <c r="P158" s="12">
        <v>15.21</v>
      </c>
      <c r="Q158" s="12">
        <v>15.61</v>
      </c>
      <c r="R158" s="12">
        <v>16.48</v>
      </c>
    </row>
    <row r="159" spans="1:18" ht="15.75" thickBot="1">
      <c r="A159" s="44">
        <v>2</v>
      </c>
      <c r="B159" s="45"/>
      <c r="C159" s="27">
        <v>20.309999999999999</v>
      </c>
      <c r="D159" s="27">
        <v>9.17</v>
      </c>
      <c r="E159" s="27">
        <v>9.56</v>
      </c>
      <c r="F159" s="27">
        <v>10.76</v>
      </c>
      <c r="G159" s="27">
        <v>11.16</v>
      </c>
      <c r="H159" s="27">
        <v>11.45</v>
      </c>
      <c r="I159" s="27">
        <v>11.89</v>
      </c>
      <c r="J159" s="27">
        <v>12.19</v>
      </c>
      <c r="K159" s="27">
        <v>12.58</v>
      </c>
      <c r="L159" s="27">
        <v>12.93</v>
      </c>
      <c r="M159" s="27">
        <v>13.3</v>
      </c>
      <c r="N159" s="27">
        <v>13.67</v>
      </c>
      <c r="O159" s="27">
        <v>14.1</v>
      </c>
      <c r="P159" s="27">
        <v>15.23</v>
      </c>
      <c r="Q159" s="27">
        <v>15.61</v>
      </c>
      <c r="R159" s="27">
        <v>16.489999999999998</v>
      </c>
    </row>
    <row r="160" spans="1:18" ht="15.75" thickBot="1">
      <c r="A160" s="46">
        <v>1</v>
      </c>
      <c r="B160" s="47" t="s">
        <v>44</v>
      </c>
      <c r="C160" s="12">
        <v>20.32</v>
      </c>
      <c r="D160" s="12">
        <v>9.2100000000000009</v>
      </c>
      <c r="E160" s="12">
        <v>9.57</v>
      </c>
      <c r="F160" s="12">
        <v>10.77</v>
      </c>
      <c r="G160" s="12">
        <v>11.18</v>
      </c>
      <c r="H160" s="12">
        <v>11.52</v>
      </c>
      <c r="I160" s="12">
        <v>11.88</v>
      </c>
      <c r="J160" s="12">
        <v>12.24</v>
      </c>
      <c r="K160" s="12">
        <v>12.6</v>
      </c>
      <c r="L160" s="12">
        <v>12.98</v>
      </c>
      <c r="M160" s="12">
        <v>13.3</v>
      </c>
      <c r="N160" s="12">
        <v>13.68</v>
      </c>
      <c r="O160" s="12">
        <v>14.15</v>
      </c>
      <c r="P160" s="12">
        <v>15.27</v>
      </c>
      <c r="Q160" s="12">
        <v>15.63</v>
      </c>
      <c r="R160" s="12">
        <v>16.52</v>
      </c>
    </row>
    <row r="161" spans="1:18" ht="15.75" thickBot="1">
      <c r="A161" s="44">
        <v>2</v>
      </c>
      <c r="B161" s="45"/>
      <c r="C161" s="27">
        <v>20.420000000000002</v>
      </c>
      <c r="D161" s="27">
        <v>9.24</v>
      </c>
      <c r="E161" s="27">
        <v>9.61</v>
      </c>
      <c r="F161" s="27">
        <v>10.8</v>
      </c>
      <c r="G161" s="27">
        <v>11.17</v>
      </c>
      <c r="H161" s="27">
        <v>11.54</v>
      </c>
      <c r="I161" s="27">
        <v>11.91</v>
      </c>
      <c r="J161" s="27">
        <v>12.24</v>
      </c>
      <c r="K161" s="27">
        <v>12.63</v>
      </c>
      <c r="L161" s="27">
        <v>12.98</v>
      </c>
      <c r="M161" s="27">
        <v>13.36</v>
      </c>
      <c r="N161" s="27">
        <v>13.74</v>
      </c>
      <c r="O161" s="27">
        <v>14.14</v>
      </c>
      <c r="P161" s="27">
        <v>15.33</v>
      </c>
      <c r="Q161" s="27">
        <v>15.65</v>
      </c>
      <c r="R161" s="27">
        <v>16.5</v>
      </c>
    </row>
    <row r="162" spans="1:18" ht="15.75" thickBot="1">
      <c r="A162" s="46">
        <v>1</v>
      </c>
      <c r="B162" s="47" t="s">
        <v>45</v>
      </c>
      <c r="C162" s="12" t="s">
        <v>40</v>
      </c>
      <c r="D162" s="12">
        <v>9.19</v>
      </c>
      <c r="E162" s="12">
        <v>9.56</v>
      </c>
      <c r="F162" s="12">
        <v>10.78</v>
      </c>
      <c r="G162" s="12">
        <v>11.13</v>
      </c>
      <c r="H162" s="12">
        <v>11.53</v>
      </c>
      <c r="I162" s="12">
        <v>11.89</v>
      </c>
      <c r="J162" s="12">
        <v>12.23</v>
      </c>
      <c r="K162" s="12">
        <v>12.59</v>
      </c>
      <c r="L162" s="12">
        <v>12.96</v>
      </c>
      <c r="M162" s="12">
        <v>13.34</v>
      </c>
      <c r="N162" s="12">
        <v>13.67</v>
      </c>
      <c r="O162" s="12">
        <v>14.1</v>
      </c>
      <c r="P162" s="12">
        <v>15.26</v>
      </c>
      <c r="Q162" s="12">
        <v>15.63</v>
      </c>
      <c r="R162" s="12">
        <v>16.5</v>
      </c>
    </row>
    <row r="163" spans="1:18" ht="15.75" thickBot="1">
      <c r="A163" s="44">
        <v>2</v>
      </c>
      <c r="B163" s="45"/>
      <c r="C163" s="27">
        <v>20.32</v>
      </c>
      <c r="D163" s="27">
        <v>9.18</v>
      </c>
      <c r="E163" s="27">
        <v>9.5500000000000007</v>
      </c>
      <c r="F163" s="27">
        <v>10.76</v>
      </c>
      <c r="G163" s="27">
        <v>11.13</v>
      </c>
      <c r="H163" s="27">
        <v>11.51</v>
      </c>
      <c r="I163" s="27">
        <v>11.87</v>
      </c>
      <c r="J163" s="27">
        <v>12.18</v>
      </c>
      <c r="K163" s="27">
        <v>12.58</v>
      </c>
      <c r="L163" s="27">
        <v>12.97</v>
      </c>
      <c r="M163" s="27">
        <v>13.35</v>
      </c>
      <c r="N163" s="27">
        <v>13.68</v>
      </c>
      <c r="O163" s="27">
        <v>14.52</v>
      </c>
      <c r="P163" s="27">
        <v>15.22</v>
      </c>
      <c r="Q163" s="27">
        <v>15.62</v>
      </c>
      <c r="R163" s="27" t="s">
        <v>40</v>
      </c>
    </row>
    <row r="164" spans="1:18" ht="15.75" thickBot="1">
      <c r="A164" s="46">
        <v>1</v>
      </c>
      <c r="B164" s="47" t="s">
        <v>46</v>
      </c>
      <c r="C164" s="12" t="s">
        <v>40</v>
      </c>
      <c r="D164" s="12">
        <v>9.34</v>
      </c>
      <c r="E164" s="12">
        <v>9.74</v>
      </c>
      <c r="F164" s="12">
        <v>10.96</v>
      </c>
      <c r="G164" s="12">
        <v>11.15</v>
      </c>
      <c r="H164" s="12">
        <v>11.49</v>
      </c>
      <c r="I164" s="12">
        <v>12.06</v>
      </c>
      <c r="J164" s="12">
        <v>12.17</v>
      </c>
      <c r="K164" s="12">
        <v>12.65</v>
      </c>
      <c r="L164" s="12">
        <v>12.99</v>
      </c>
      <c r="M164" s="12">
        <v>13.48</v>
      </c>
      <c r="N164" s="12">
        <v>13.76</v>
      </c>
      <c r="O164" s="12">
        <v>14.13</v>
      </c>
      <c r="P164" s="12">
        <v>15.3</v>
      </c>
      <c r="Q164" s="12">
        <v>15.91</v>
      </c>
      <c r="R164" s="12">
        <v>16.649999999999999</v>
      </c>
    </row>
    <row r="165" spans="1:18" ht="15.75" thickBot="1">
      <c r="A165" s="44">
        <v>2</v>
      </c>
      <c r="B165" s="45"/>
      <c r="C165" s="27">
        <v>20.58</v>
      </c>
      <c r="D165" s="27">
        <v>9.31</v>
      </c>
      <c r="E165" s="27">
        <v>9.65</v>
      </c>
      <c r="F165" s="27">
        <v>10.91</v>
      </c>
      <c r="G165" s="27">
        <v>11.25</v>
      </c>
      <c r="H165" s="27">
        <v>11.6</v>
      </c>
      <c r="I165" s="27">
        <v>11.99</v>
      </c>
      <c r="J165" s="27">
        <v>12.38</v>
      </c>
      <c r="K165" s="27">
        <v>12.71</v>
      </c>
      <c r="L165" s="27">
        <v>13.01</v>
      </c>
      <c r="M165" s="27">
        <v>13.43</v>
      </c>
      <c r="N165" s="27">
        <v>13.85</v>
      </c>
      <c r="O165" s="27">
        <v>14.23</v>
      </c>
      <c r="P165" s="27">
        <v>15.41</v>
      </c>
      <c r="Q165" s="27">
        <v>15.97</v>
      </c>
      <c r="R165" s="27">
        <v>16.690000000000001</v>
      </c>
    </row>
    <row r="166" spans="1:18" ht="15.75" thickBot="1">
      <c r="A166" s="46">
        <v>1</v>
      </c>
      <c r="B166" s="47" t="s">
        <v>47</v>
      </c>
      <c r="C166" s="12">
        <v>20.39</v>
      </c>
      <c r="D166" s="12">
        <v>9.15</v>
      </c>
      <c r="E166" s="12">
        <v>9.52</v>
      </c>
      <c r="F166" s="12">
        <v>10.88</v>
      </c>
      <c r="G166" s="12">
        <v>11.35</v>
      </c>
      <c r="H166" s="12">
        <v>11.59</v>
      </c>
      <c r="I166" s="12">
        <v>11.8</v>
      </c>
      <c r="J166" s="12">
        <v>12.31</v>
      </c>
      <c r="K166" s="12">
        <v>12.68</v>
      </c>
      <c r="L166" s="12">
        <v>13.05</v>
      </c>
      <c r="M166" s="12">
        <v>13.4</v>
      </c>
      <c r="N166" s="12">
        <v>13.7</v>
      </c>
      <c r="O166" s="12">
        <v>13.98</v>
      </c>
      <c r="P166" s="12">
        <v>15.33</v>
      </c>
      <c r="Q166" s="12">
        <v>16.100000000000001</v>
      </c>
      <c r="R166" s="12">
        <v>16.77</v>
      </c>
    </row>
    <row r="167" spans="1:18" ht="15.75" thickBot="1">
      <c r="A167" s="44">
        <v>2</v>
      </c>
      <c r="B167" s="48"/>
      <c r="C167" s="27">
        <v>20.329999999999998</v>
      </c>
      <c r="D167" s="27">
        <v>9.1199999999999992</v>
      </c>
      <c r="E167" s="27">
        <v>9.5500000000000007</v>
      </c>
      <c r="F167" s="27">
        <v>10.86</v>
      </c>
      <c r="G167" s="27">
        <v>11.36</v>
      </c>
      <c r="H167" s="27">
        <v>11.54</v>
      </c>
      <c r="I167" s="27">
        <v>11.82</v>
      </c>
      <c r="J167" s="27">
        <v>12.28</v>
      </c>
      <c r="K167" s="27">
        <v>12.65</v>
      </c>
      <c r="L167" s="27">
        <v>13.01</v>
      </c>
      <c r="M167" s="27">
        <v>13.43</v>
      </c>
      <c r="N167" s="27">
        <v>13.67</v>
      </c>
      <c r="O167" s="27">
        <v>14.03</v>
      </c>
      <c r="P167" s="27">
        <v>15.33</v>
      </c>
      <c r="Q167" s="27">
        <v>16.04</v>
      </c>
      <c r="R167" s="27">
        <v>16.68</v>
      </c>
    </row>
    <row r="168" spans="1:18" ht="15.75" thickBot="1">
      <c r="A168" s="46">
        <v>1</v>
      </c>
      <c r="B168" s="47" t="s">
        <v>48</v>
      </c>
      <c r="C168" s="12">
        <v>20.3</v>
      </c>
      <c r="D168" s="12">
        <v>9.17</v>
      </c>
      <c r="E168" s="12">
        <v>9.5500000000000007</v>
      </c>
      <c r="F168" s="12">
        <v>10.76</v>
      </c>
      <c r="G168" s="12">
        <v>11.11</v>
      </c>
      <c r="H168" s="12">
        <v>11.44</v>
      </c>
      <c r="I168" s="12">
        <v>11.88</v>
      </c>
      <c r="J168" s="12">
        <v>12.18</v>
      </c>
      <c r="K168" s="12" t="s">
        <v>40</v>
      </c>
      <c r="L168" s="12">
        <v>12.92</v>
      </c>
      <c r="M168" s="12">
        <v>13.29</v>
      </c>
      <c r="N168" s="12">
        <v>13.66</v>
      </c>
      <c r="O168" s="12">
        <v>14.05</v>
      </c>
      <c r="P168" s="12">
        <v>15.22</v>
      </c>
      <c r="Q168" s="12">
        <v>15.62</v>
      </c>
      <c r="R168" s="12">
        <v>16.420000000000002</v>
      </c>
    </row>
    <row r="169" spans="1:18" ht="15.75" thickBot="1">
      <c r="A169" s="44">
        <v>2</v>
      </c>
      <c r="B169" s="45"/>
      <c r="C169" s="27">
        <v>20.32</v>
      </c>
      <c r="D169" s="27">
        <v>9.2100000000000009</v>
      </c>
      <c r="E169" s="27">
        <v>9.51</v>
      </c>
      <c r="F169" s="27">
        <v>10.02</v>
      </c>
      <c r="G169" s="27">
        <v>10.81</v>
      </c>
      <c r="H169" s="27">
        <v>11.25</v>
      </c>
      <c r="I169" s="27">
        <v>11.46</v>
      </c>
      <c r="J169" s="27">
        <v>11.86</v>
      </c>
      <c r="K169" s="27">
        <v>12.24</v>
      </c>
      <c r="L169" s="27">
        <v>12.95</v>
      </c>
      <c r="M169" s="27">
        <v>13.28</v>
      </c>
      <c r="N169" s="27">
        <v>13.66</v>
      </c>
      <c r="O169" s="27">
        <v>14.12</v>
      </c>
      <c r="P169" s="27">
        <v>15.31</v>
      </c>
      <c r="Q169" s="27">
        <v>15.67</v>
      </c>
      <c r="R169" s="27">
        <v>16.420000000000002</v>
      </c>
    </row>
    <row r="170" spans="1:18">
      <c r="A170" s="11"/>
    </row>
  </sheetData>
  <mergeCells count="8">
    <mergeCell ref="A142:R142"/>
    <mergeCell ref="A148:R148"/>
    <mergeCell ref="A2:R2"/>
    <mergeCell ref="A30:G30"/>
    <mergeCell ref="A58:O58"/>
    <mergeCell ref="A86:R86"/>
    <mergeCell ref="A114:Q114"/>
    <mergeCell ref="A139:R139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5C747E-AB16-41E0-A573-C67950DB9752}">
  <dimension ref="A1:I95"/>
  <sheetViews>
    <sheetView workbookViewId="0">
      <selection activeCell="M59" sqref="M59"/>
    </sheetView>
  </sheetViews>
  <sheetFormatPr defaultRowHeight="15"/>
  <cols>
    <col min="1" max="1" width="9.140625" style="93"/>
    <col min="4" max="5" width="9.140625" style="93"/>
  </cols>
  <sheetData>
    <row r="1" spans="1:9" ht="15.75" thickBot="1">
      <c r="A1" s="235" t="s">
        <v>127</v>
      </c>
      <c r="B1" s="235"/>
      <c r="C1" s="235"/>
      <c r="D1" s="235"/>
      <c r="E1" s="235"/>
      <c r="F1" s="235"/>
      <c r="G1" s="235"/>
      <c r="H1" s="235"/>
      <c r="I1" s="235"/>
    </row>
    <row r="2" spans="1:9" ht="45.75" thickBot="1">
      <c r="A2" s="215" t="s">
        <v>0</v>
      </c>
      <c r="B2" s="216" t="s">
        <v>113</v>
      </c>
      <c r="C2" s="216" t="s">
        <v>114</v>
      </c>
      <c r="D2" s="215" t="s">
        <v>115</v>
      </c>
      <c r="E2" s="215" t="s">
        <v>116</v>
      </c>
      <c r="F2" s="216" t="s">
        <v>117</v>
      </c>
      <c r="G2" s="216" t="s">
        <v>67</v>
      </c>
      <c r="H2" s="216" t="s">
        <v>118</v>
      </c>
      <c r="I2" s="216" t="s">
        <v>119</v>
      </c>
    </row>
    <row r="3" spans="1:9" ht="15.75" thickBot="1">
      <c r="A3" s="87">
        <v>1</v>
      </c>
      <c r="B3" s="65">
        <v>1.7411049999999999</v>
      </c>
      <c r="C3" s="65">
        <v>1.7888446250000001</v>
      </c>
      <c r="D3" s="87">
        <v>10</v>
      </c>
      <c r="E3" s="87">
        <v>8</v>
      </c>
      <c r="F3" s="65">
        <v>47.739624999999997</v>
      </c>
      <c r="G3" s="65">
        <v>0.16368749999999899</v>
      </c>
      <c r="H3" s="65">
        <v>0.29165101183657999</v>
      </c>
      <c r="I3" s="65">
        <v>0.29165101183657999</v>
      </c>
    </row>
    <row r="4" spans="1:9" ht="15.75" thickBot="1">
      <c r="A4" s="87">
        <v>2</v>
      </c>
      <c r="B4" s="65">
        <v>3.0561579000000001</v>
      </c>
      <c r="C4" s="65">
        <v>3.1047288000000002</v>
      </c>
      <c r="D4" s="87">
        <v>10</v>
      </c>
      <c r="E4" s="87">
        <v>10</v>
      </c>
      <c r="F4" s="65">
        <v>48.570900000000101</v>
      </c>
      <c r="G4" s="65">
        <v>7.75731249999978E-2</v>
      </c>
      <c r="H4" s="65">
        <v>0.62613050589365105</v>
      </c>
      <c r="I4" s="65">
        <v>0.62613050589365105</v>
      </c>
    </row>
    <row r="5" spans="1:9" ht="15.75" thickBot="1">
      <c r="A5" s="87">
        <v>3</v>
      </c>
      <c r="B5" s="65">
        <v>4.4067610999999998</v>
      </c>
      <c r="C5" s="65">
        <v>4.3907309999999997</v>
      </c>
      <c r="D5" s="87">
        <v>10</v>
      </c>
      <c r="E5" s="87">
        <v>10</v>
      </c>
      <c r="F5" s="65">
        <v>-16.030100000000001</v>
      </c>
      <c r="G5" s="65">
        <v>6.7754374999999797E-2</v>
      </c>
      <c r="H5" s="65">
        <v>-0.23659136402631001</v>
      </c>
      <c r="I5" s="65">
        <v>0.23659136402631001</v>
      </c>
    </row>
    <row r="6" spans="1:9" ht="15.75" thickBot="1">
      <c r="A6" s="87">
        <v>4</v>
      </c>
      <c r="B6" s="65">
        <v>5.6656329000000003</v>
      </c>
      <c r="C6" s="65">
        <v>5.6543885999999999</v>
      </c>
      <c r="D6" s="87">
        <v>10</v>
      </c>
      <c r="E6" s="87">
        <v>10</v>
      </c>
      <c r="F6" s="65">
        <v>-11.244300000000401</v>
      </c>
      <c r="G6" s="65">
        <v>8.2987500000001296E-2</v>
      </c>
      <c r="H6" s="65">
        <v>-0.13549389968368999</v>
      </c>
      <c r="I6" s="65">
        <v>0.13549389968368999</v>
      </c>
    </row>
    <row r="7" spans="1:9" ht="15.75" thickBot="1">
      <c r="A7" s="87">
        <v>5</v>
      </c>
      <c r="B7" s="65">
        <v>7.0089874999999999</v>
      </c>
      <c r="C7" s="65">
        <v>7.0783699000000002</v>
      </c>
      <c r="D7" s="87">
        <v>10</v>
      </c>
      <c r="E7" s="87">
        <v>10</v>
      </c>
      <c r="F7" s="65">
        <v>69.382400000000302</v>
      </c>
      <c r="G7" s="65">
        <v>0.113380624999996</v>
      </c>
      <c r="H7" s="65">
        <v>0.61194229613748297</v>
      </c>
      <c r="I7" s="65">
        <v>0.61194229613748297</v>
      </c>
    </row>
    <row r="8" spans="1:9" ht="15.75" thickBot="1">
      <c r="A8" s="87">
        <v>6</v>
      </c>
      <c r="B8" s="65">
        <v>8.2837888999999993</v>
      </c>
      <c r="C8" s="65">
        <v>8.3306132999999996</v>
      </c>
      <c r="D8" s="87">
        <v>10</v>
      </c>
      <c r="E8" s="87">
        <v>10</v>
      </c>
      <c r="F8" s="65">
        <v>46.824400000000203</v>
      </c>
      <c r="G8" s="65">
        <v>7.4404374999998996E-2</v>
      </c>
      <c r="H8" s="65">
        <v>0.62932320848069601</v>
      </c>
      <c r="I8" s="65">
        <v>0.62932320848069601</v>
      </c>
    </row>
    <row r="9" spans="1:9" ht="15.75" thickBot="1">
      <c r="A9" s="87">
        <v>7</v>
      </c>
      <c r="B9" s="65">
        <v>9.5242003999999998</v>
      </c>
      <c r="C9" s="65">
        <v>9.5813647999999993</v>
      </c>
      <c r="D9" s="87">
        <v>10</v>
      </c>
      <c r="E9" s="87">
        <v>10</v>
      </c>
      <c r="F9" s="65">
        <v>57.164399999999603</v>
      </c>
      <c r="G9" s="65">
        <v>6.2168750000000099E-2</v>
      </c>
      <c r="H9" s="65">
        <v>0.91950376998089001</v>
      </c>
      <c r="I9" s="65">
        <v>0.91950376998089001</v>
      </c>
    </row>
    <row r="10" spans="1:9" ht="15.75" thickBot="1">
      <c r="A10" s="87">
        <v>8</v>
      </c>
      <c r="B10" s="65">
        <v>12.380229</v>
      </c>
      <c r="C10" s="65">
        <v>12.355975600000001</v>
      </c>
      <c r="D10" s="87">
        <v>10</v>
      </c>
      <c r="E10" s="87">
        <v>10</v>
      </c>
      <c r="F10" s="65">
        <v>-24.2533999999992</v>
      </c>
      <c r="G10" s="65">
        <v>0.31308999999999798</v>
      </c>
      <c r="H10" s="65">
        <v>-7.7464626784628607E-2</v>
      </c>
      <c r="I10" s="65">
        <v>7.7464626784628607E-2</v>
      </c>
    </row>
    <row r="11" spans="1:9" ht="15.75" thickBot="1">
      <c r="A11" s="87">
        <v>9</v>
      </c>
      <c r="B11" s="65">
        <v>13.7197852</v>
      </c>
      <c r="C11" s="65">
        <v>13.679376299999999</v>
      </c>
      <c r="D11" s="87">
        <v>10</v>
      </c>
      <c r="E11" s="87">
        <v>10</v>
      </c>
      <c r="F11" s="65">
        <v>-40.408900000000997</v>
      </c>
      <c r="G11" s="65">
        <v>6.6335625000002493E-2</v>
      </c>
      <c r="H11" s="65">
        <v>-0.60915835194135104</v>
      </c>
      <c r="I11" s="65">
        <v>0.60915835194135104</v>
      </c>
    </row>
    <row r="12" spans="1:9" ht="15.75" thickBot="1">
      <c r="A12" s="87">
        <v>10</v>
      </c>
      <c r="B12" s="65">
        <v>15.1656773</v>
      </c>
      <c r="C12" s="65">
        <v>15.1212027</v>
      </c>
      <c r="D12" s="87">
        <v>10</v>
      </c>
      <c r="E12" s="87">
        <v>10</v>
      </c>
      <c r="F12" s="65">
        <v>-44.474600000000898</v>
      </c>
      <c r="G12" s="65">
        <v>6.4690000000002801E-2</v>
      </c>
      <c r="H12" s="65">
        <v>-0.68750347812643398</v>
      </c>
      <c r="I12" s="65">
        <v>0.68750347812643398</v>
      </c>
    </row>
    <row r="13" spans="1:9" ht="15.75" thickBot="1">
      <c r="A13" s="87">
        <v>11</v>
      </c>
      <c r="B13" s="65">
        <v>16.391662</v>
      </c>
      <c r="C13" s="65">
        <v>16.371654800000002</v>
      </c>
      <c r="D13" s="87">
        <v>10</v>
      </c>
      <c r="E13" s="87">
        <v>10</v>
      </c>
      <c r="F13" s="65">
        <v>-20.007199999998399</v>
      </c>
      <c r="G13" s="65">
        <v>5.5470624999998101E-2</v>
      </c>
      <c r="H13" s="65">
        <v>-0.36068099106507501</v>
      </c>
      <c r="I13" s="65">
        <v>0.36068099106507501</v>
      </c>
    </row>
    <row r="14" spans="1:9" ht="15.75" thickBot="1">
      <c r="A14" s="87">
        <v>12</v>
      </c>
      <c r="B14" s="65">
        <v>17.6730041</v>
      </c>
      <c r="C14" s="65">
        <v>17.6529153</v>
      </c>
      <c r="D14" s="87">
        <v>10</v>
      </c>
      <c r="E14" s="87">
        <v>10</v>
      </c>
      <c r="F14" s="65">
        <v>-20.0887999999999</v>
      </c>
      <c r="G14" s="65">
        <v>5.0178750000000598E-2</v>
      </c>
      <c r="H14" s="65">
        <v>-0.40034476745633701</v>
      </c>
      <c r="I14" s="65">
        <v>0.40034476745633701</v>
      </c>
    </row>
    <row r="15" spans="1:9" ht="15.75" thickBot="1">
      <c r="A15" s="87">
        <v>13</v>
      </c>
      <c r="B15" s="65">
        <v>18.9317429</v>
      </c>
      <c r="C15" s="65">
        <v>19.071712999999999</v>
      </c>
      <c r="D15" s="87">
        <v>10</v>
      </c>
      <c r="E15" s="87">
        <v>10</v>
      </c>
      <c r="F15" s="65">
        <v>139.97010000000299</v>
      </c>
      <c r="G15" s="65">
        <v>7.7415624999996893E-2</v>
      </c>
      <c r="H15" s="65">
        <v>1.8080342308159201</v>
      </c>
      <c r="I15" s="65">
        <v>1.8080342308159201</v>
      </c>
    </row>
    <row r="16" spans="1:9" ht="15.75" thickBot="1">
      <c r="A16" s="87">
        <v>14</v>
      </c>
      <c r="B16" s="65">
        <v>20.2012486</v>
      </c>
      <c r="C16" s="65">
        <v>20.266704399999998</v>
      </c>
      <c r="D16" s="87">
        <v>10</v>
      </c>
      <c r="E16" s="87">
        <v>10</v>
      </c>
      <c r="F16" s="65">
        <v>65.455799999998703</v>
      </c>
      <c r="G16" s="65">
        <v>3.50393750000055E-2</v>
      </c>
      <c r="H16" s="65">
        <v>1.86806414212549</v>
      </c>
      <c r="I16" s="65">
        <v>1.86806414212549</v>
      </c>
    </row>
    <row r="17" spans="1:9" ht="15.75" thickBot="1">
      <c r="A17" s="87">
        <v>15</v>
      </c>
      <c r="B17" s="65">
        <v>21.553701</v>
      </c>
      <c r="C17" s="65">
        <v>21.5531936</v>
      </c>
      <c r="D17" s="87">
        <v>10</v>
      </c>
      <c r="E17" s="87">
        <v>10</v>
      </c>
      <c r="F17" s="65">
        <v>-0.50740000000004704</v>
      </c>
      <c r="G17" s="65">
        <v>4.14512500000042E-2</v>
      </c>
      <c r="H17" s="65">
        <v>-1.22408853774011E-2</v>
      </c>
      <c r="I17" s="65">
        <v>1.22408853774011E-2</v>
      </c>
    </row>
    <row r="18" spans="1:9" ht="15.75" thickBot="1">
      <c r="A18" s="87">
        <v>16</v>
      </c>
      <c r="B18" s="65">
        <v>22.900176500000001</v>
      </c>
      <c r="C18" s="65">
        <v>22.925612699999999</v>
      </c>
      <c r="D18" s="87">
        <v>10</v>
      </c>
      <c r="E18" s="87">
        <v>10</v>
      </c>
      <c r="F18" s="65">
        <v>25.4361999999979</v>
      </c>
      <c r="G18" s="65">
        <v>7.9903750000003299E-2</v>
      </c>
      <c r="H18" s="65">
        <v>0.31833549739526501</v>
      </c>
      <c r="I18" s="65">
        <v>0.31833549739526501</v>
      </c>
    </row>
    <row r="19" spans="1:9" ht="15.75" thickBot="1"/>
    <row r="20" spans="1:9" ht="15.75" thickBot="1">
      <c r="A20" s="236" t="s">
        <v>131</v>
      </c>
      <c r="B20" s="236"/>
      <c r="C20" s="236"/>
      <c r="D20" s="236"/>
      <c r="E20" s="236"/>
      <c r="F20" s="236"/>
      <c r="G20" s="236"/>
      <c r="H20" s="236"/>
      <c r="I20" s="236"/>
    </row>
    <row r="21" spans="1:9" ht="45.75" thickBot="1">
      <c r="A21" s="215" t="s">
        <v>0</v>
      </c>
      <c r="B21" s="216" t="s">
        <v>113</v>
      </c>
      <c r="C21" s="216" t="s">
        <v>114</v>
      </c>
      <c r="D21" s="215" t="s">
        <v>115</v>
      </c>
      <c r="E21" s="215" t="s">
        <v>116</v>
      </c>
      <c r="F21" s="216" t="s">
        <v>117</v>
      </c>
      <c r="G21" s="216" t="s">
        <v>67</v>
      </c>
      <c r="H21" s="216" t="s">
        <v>118</v>
      </c>
      <c r="I21" s="216" t="s">
        <v>119</v>
      </c>
    </row>
    <row r="22" spans="1:9" ht="15.75" thickBot="1">
      <c r="A22" s="87">
        <v>1</v>
      </c>
      <c r="B22" s="65">
        <v>1.2736677999999999</v>
      </c>
      <c r="C22" s="65">
        <v>1.3233671</v>
      </c>
      <c r="D22" s="87">
        <v>10</v>
      </c>
      <c r="E22" s="87">
        <v>10</v>
      </c>
      <c r="F22" s="65">
        <v>49.6993000000001</v>
      </c>
      <c r="G22" s="65">
        <v>5.1117499999997498E-2</v>
      </c>
      <c r="H22" s="65">
        <v>0.97225607668611602</v>
      </c>
      <c r="I22" s="65">
        <v>0.97225607668611602</v>
      </c>
    </row>
    <row r="23" spans="1:9" ht="15.75" thickBot="1">
      <c r="A23" s="87">
        <v>2</v>
      </c>
      <c r="B23" s="65">
        <v>3.9391619000000002</v>
      </c>
      <c r="C23" s="65">
        <v>3.8451669000000002</v>
      </c>
      <c r="D23" s="87">
        <v>10</v>
      </c>
      <c r="E23" s="87">
        <v>10</v>
      </c>
      <c r="F23" s="65">
        <v>-93.995000000000005</v>
      </c>
      <c r="G23" s="65">
        <v>0.11068750000000201</v>
      </c>
      <c r="H23" s="65">
        <v>-0.84919254658383703</v>
      </c>
      <c r="I23" s="65">
        <v>0.84919254658383703</v>
      </c>
    </row>
    <row r="24" spans="1:9" ht="15.75" thickBot="1">
      <c r="A24" s="87">
        <v>3</v>
      </c>
      <c r="B24" s="65">
        <v>6.6154754000000002</v>
      </c>
      <c r="C24" s="65">
        <v>6.6002584999999998</v>
      </c>
      <c r="D24" s="87">
        <v>10</v>
      </c>
      <c r="E24" s="87">
        <v>10</v>
      </c>
      <c r="F24" s="65">
        <v>-15.2169000000022</v>
      </c>
      <c r="G24" s="65">
        <v>5.2941875000015501E-2</v>
      </c>
      <c r="H24" s="65">
        <v>-0.28742654089976499</v>
      </c>
      <c r="I24" s="65">
        <v>0.28742654089976499</v>
      </c>
    </row>
    <row r="25" spans="1:9" ht="15.75" thickBot="1">
      <c r="A25" s="87">
        <v>4</v>
      </c>
      <c r="B25" s="65">
        <v>9.2950099999999996</v>
      </c>
      <c r="C25" s="65">
        <v>9.2054861999999993</v>
      </c>
      <c r="D25" s="87">
        <v>10</v>
      </c>
      <c r="E25" s="87">
        <v>10</v>
      </c>
      <c r="F25" s="65">
        <v>-89.523800000000307</v>
      </c>
      <c r="G25" s="65">
        <v>0.17994750000000201</v>
      </c>
      <c r="H25" s="65">
        <v>-0.49749954847941402</v>
      </c>
      <c r="I25" s="65">
        <v>0.49749954847941402</v>
      </c>
    </row>
    <row r="26" spans="1:9" ht="15.75" thickBot="1">
      <c r="A26" s="87">
        <v>5</v>
      </c>
      <c r="B26" s="65">
        <v>11.6705586</v>
      </c>
      <c r="C26" s="65">
        <v>11.724547599999999</v>
      </c>
      <c r="D26" s="87">
        <v>10</v>
      </c>
      <c r="E26" s="87">
        <v>10</v>
      </c>
      <c r="F26" s="65">
        <v>53.988999999997802</v>
      </c>
      <c r="G26" s="65">
        <v>9.4148125000006494E-2</v>
      </c>
      <c r="H26" s="65">
        <v>0.57344742659499703</v>
      </c>
      <c r="I26" s="65">
        <v>0.57344742659499703</v>
      </c>
    </row>
    <row r="27" spans="1:9" ht="15.75" thickBot="1"/>
    <row r="28" spans="1:9" ht="15.75" thickBot="1">
      <c r="A28" s="236" t="s">
        <v>130</v>
      </c>
      <c r="B28" s="236"/>
      <c r="C28" s="236"/>
      <c r="D28" s="236"/>
      <c r="E28" s="236"/>
      <c r="F28" s="236"/>
      <c r="G28" s="236"/>
      <c r="H28" s="236"/>
      <c r="I28" s="236"/>
    </row>
    <row r="29" spans="1:9" ht="45.75" thickBot="1">
      <c r="A29" s="215" t="s">
        <v>0</v>
      </c>
      <c r="B29" s="216" t="s">
        <v>113</v>
      </c>
      <c r="C29" s="216" t="s">
        <v>114</v>
      </c>
      <c r="D29" s="215" t="s">
        <v>115</v>
      </c>
      <c r="E29" s="215" t="s">
        <v>116</v>
      </c>
      <c r="F29" s="216" t="s">
        <v>117</v>
      </c>
      <c r="G29" s="216" t="s">
        <v>67</v>
      </c>
      <c r="H29" s="216" t="s">
        <v>118</v>
      </c>
      <c r="I29" s="216" t="s">
        <v>119</v>
      </c>
    </row>
    <row r="30" spans="1:9" ht="15.75" thickBot="1">
      <c r="A30" s="87">
        <v>1</v>
      </c>
      <c r="B30" s="65">
        <v>1.2164277999999999</v>
      </c>
      <c r="C30" s="65">
        <v>1.0924951111111101</v>
      </c>
      <c r="D30" s="87">
        <v>10</v>
      </c>
      <c r="E30" s="87">
        <v>9</v>
      </c>
      <c r="F30" s="65">
        <v>-123.932688888889</v>
      </c>
      <c r="G30" s="65">
        <v>0.182852499999998</v>
      </c>
      <c r="H30" s="65">
        <v>-0.67777410146916495</v>
      </c>
      <c r="I30" s="65">
        <v>0.67777410146916495</v>
      </c>
    </row>
    <row r="31" spans="1:9" ht="15.75" thickBot="1">
      <c r="A31" s="87">
        <v>2</v>
      </c>
      <c r="B31" s="65">
        <v>2.4786074999999999</v>
      </c>
      <c r="C31" s="65">
        <v>2.4550694000000002</v>
      </c>
      <c r="D31" s="87">
        <v>10</v>
      </c>
      <c r="E31" s="87">
        <v>10</v>
      </c>
      <c r="F31" s="65">
        <v>-23.538100000000099</v>
      </c>
      <c r="G31" s="65">
        <v>6.0642499999995499E-2</v>
      </c>
      <c r="H31" s="65">
        <v>-0.38814527765184298</v>
      </c>
      <c r="I31" s="65">
        <v>0.38814527765184298</v>
      </c>
    </row>
    <row r="32" spans="1:9" ht="15.75" thickBot="1">
      <c r="A32" s="87">
        <v>3</v>
      </c>
      <c r="B32" s="65">
        <v>3.8325287000000001</v>
      </c>
      <c r="C32" s="65">
        <v>3.7959068999999999</v>
      </c>
      <c r="D32" s="87">
        <v>10</v>
      </c>
      <c r="E32" s="87">
        <v>10</v>
      </c>
      <c r="F32" s="65">
        <v>-36.621800000000299</v>
      </c>
      <c r="G32" s="65">
        <v>3.8833125000000697E-2</v>
      </c>
      <c r="H32" s="65">
        <v>-0.94305570308852604</v>
      </c>
      <c r="I32" s="65">
        <v>0.94305570308852604</v>
      </c>
    </row>
    <row r="33" spans="1:9" ht="15.75" thickBot="1">
      <c r="A33" s="87">
        <v>4</v>
      </c>
      <c r="B33" s="65">
        <v>5.0247172999999998</v>
      </c>
      <c r="C33" s="65">
        <v>5.0142419</v>
      </c>
      <c r="D33" s="87">
        <v>10</v>
      </c>
      <c r="E33" s="87">
        <v>10</v>
      </c>
      <c r="F33" s="65">
        <v>-10.4753999999998</v>
      </c>
      <c r="G33" s="65">
        <v>5.7998125000002801E-2</v>
      </c>
      <c r="H33" s="65">
        <v>-0.18061618371282301</v>
      </c>
      <c r="I33" s="65">
        <v>0.18061618371282301</v>
      </c>
    </row>
    <row r="34" spans="1:9" ht="15.75" thickBot="1">
      <c r="A34" s="87">
        <v>5</v>
      </c>
      <c r="B34" s="65">
        <v>6.3840231999999997</v>
      </c>
      <c r="C34" s="65">
        <v>6.3340648000000002</v>
      </c>
      <c r="D34" s="87">
        <v>10</v>
      </c>
      <c r="E34" s="87">
        <v>10</v>
      </c>
      <c r="F34" s="65">
        <v>-49.9583999999995</v>
      </c>
      <c r="G34" s="65">
        <v>5.9223125000001903E-2</v>
      </c>
      <c r="H34" s="65">
        <v>-0.84356237533898903</v>
      </c>
      <c r="I34" s="65">
        <v>0.84356237533898903</v>
      </c>
    </row>
    <row r="35" spans="1:9" ht="15.75" thickBot="1">
      <c r="A35" s="87">
        <v>6</v>
      </c>
      <c r="B35" s="65">
        <v>7.7557344285714303</v>
      </c>
      <c r="C35" s="65">
        <v>7.7089379999999998</v>
      </c>
      <c r="D35" s="87">
        <v>7</v>
      </c>
      <c r="E35" s="87">
        <v>9</v>
      </c>
      <c r="F35" s="65">
        <v>-46.796428571428599</v>
      </c>
      <c r="G35" s="65">
        <v>6.0620625000001899E-2</v>
      </c>
      <c r="H35" s="65">
        <v>-0.77195556085783001</v>
      </c>
      <c r="I35" s="65">
        <v>0.77195556085783001</v>
      </c>
    </row>
    <row r="36" spans="1:9" ht="15.75" thickBot="1">
      <c r="A36" s="87">
        <v>7</v>
      </c>
      <c r="B36" s="65">
        <v>9.0101238000000006</v>
      </c>
      <c r="C36" s="65">
        <v>8.9716167999999996</v>
      </c>
      <c r="D36" s="87">
        <v>10</v>
      </c>
      <c r="E36" s="87">
        <v>10</v>
      </c>
      <c r="F36" s="65">
        <v>-38.507000000001</v>
      </c>
      <c r="G36" s="65">
        <v>0.10986562500000099</v>
      </c>
      <c r="H36" s="65">
        <v>-0.35049179395284602</v>
      </c>
      <c r="I36" s="65">
        <v>0.35049179395284602</v>
      </c>
    </row>
    <row r="37" spans="1:9" ht="15.75" thickBot="1">
      <c r="A37" s="87">
        <v>8</v>
      </c>
      <c r="B37" s="65">
        <v>10.2655616</v>
      </c>
      <c r="C37" s="65">
        <v>10.2587945</v>
      </c>
      <c r="D37" s="87">
        <v>10</v>
      </c>
      <c r="E37" s="87">
        <v>10</v>
      </c>
      <c r="F37" s="65">
        <v>-6.7670999999993597</v>
      </c>
      <c r="G37" s="65">
        <v>6.3668750000003299E-2</v>
      </c>
      <c r="H37" s="65">
        <v>-0.106286050849106</v>
      </c>
      <c r="I37" s="65">
        <v>0.106286050849106</v>
      </c>
    </row>
    <row r="38" spans="1:9" ht="15.75" thickBot="1">
      <c r="A38" s="87">
        <v>9</v>
      </c>
      <c r="B38" s="65">
        <v>11.6623398</v>
      </c>
      <c r="C38" s="65">
        <v>11.6327853</v>
      </c>
      <c r="D38" s="87">
        <v>10</v>
      </c>
      <c r="E38" s="87">
        <v>10</v>
      </c>
      <c r="F38" s="65">
        <v>-29.554499999999699</v>
      </c>
      <c r="G38" s="65">
        <v>6.9121250000001605E-2</v>
      </c>
      <c r="H38" s="65">
        <v>-0.42757473280646702</v>
      </c>
      <c r="I38" s="65">
        <v>0.42757473280646702</v>
      </c>
    </row>
    <row r="39" spans="1:9" ht="15.75" thickBot="1">
      <c r="A39" s="87">
        <v>10</v>
      </c>
      <c r="B39" s="65">
        <v>12.9737118</v>
      </c>
      <c r="C39" s="65">
        <v>12.979139200000001</v>
      </c>
      <c r="D39" s="87">
        <v>10</v>
      </c>
      <c r="E39" s="87">
        <v>10</v>
      </c>
      <c r="F39" s="65">
        <v>5.4274000000002998</v>
      </c>
      <c r="G39" s="65">
        <v>6.16712500000016E-2</v>
      </c>
      <c r="H39" s="65">
        <v>8.8005350953648004E-2</v>
      </c>
      <c r="I39" s="65">
        <v>8.8005350953648004E-2</v>
      </c>
    </row>
    <row r="40" spans="1:9" ht="15.75" thickBot="1">
      <c r="A40" s="87">
        <v>11</v>
      </c>
      <c r="B40" s="65">
        <v>14.4544271</v>
      </c>
      <c r="C40" s="65">
        <v>14.396528999999999</v>
      </c>
      <c r="D40" s="87">
        <v>10</v>
      </c>
      <c r="E40" s="87">
        <v>10</v>
      </c>
      <c r="F40" s="65">
        <v>-57.898099999999197</v>
      </c>
      <c r="G40" s="65">
        <v>0.108239375000001</v>
      </c>
      <c r="H40" s="65">
        <v>-0.53490792976214596</v>
      </c>
      <c r="I40" s="65">
        <v>0.53490792976214596</v>
      </c>
    </row>
    <row r="41" spans="1:9" ht="15.75" thickBot="1">
      <c r="A41" s="87">
        <v>12</v>
      </c>
      <c r="B41" s="65">
        <v>15.6672212</v>
      </c>
      <c r="C41" s="65">
        <v>15.6184447</v>
      </c>
      <c r="D41" s="87">
        <v>10</v>
      </c>
      <c r="E41" s="87">
        <v>10</v>
      </c>
      <c r="F41" s="65">
        <v>-48.776500000000702</v>
      </c>
      <c r="G41" s="65">
        <v>4.9552499999996301E-2</v>
      </c>
      <c r="H41" s="65">
        <v>-0.98433984158224697</v>
      </c>
      <c r="I41" s="65">
        <v>0.98433984158224697</v>
      </c>
    </row>
    <row r="42" spans="1:9" ht="15.75" thickBot="1">
      <c r="A42" s="87">
        <v>13</v>
      </c>
      <c r="B42" s="65">
        <v>16.958912099999999</v>
      </c>
      <c r="C42" s="65">
        <v>16.9024365</v>
      </c>
      <c r="D42" s="87">
        <v>10</v>
      </c>
      <c r="E42" s="87">
        <v>10</v>
      </c>
      <c r="F42" s="65">
        <v>-56.475599999998799</v>
      </c>
      <c r="G42" s="65">
        <v>8.7989374999994902E-2</v>
      </c>
      <c r="H42" s="65">
        <v>-0.64184567739005005</v>
      </c>
      <c r="I42" s="65">
        <v>0.64184567739005005</v>
      </c>
    </row>
    <row r="43" spans="1:9" ht="15.75" thickBot="1"/>
    <row r="44" spans="1:9" ht="15.75" thickBot="1">
      <c r="A44" s="236" t="s">
        <v>129</v>
      </c>
      <c r="B44" s="236"/>
      <c r="C44" s="236"/>
      <c r="D44" s="236"/>
      <c r="E44" s="236"/>
      <c r="F44" s="236"/>
      <c r="G44" s="236"/>
      <c r="H44" s="236"/>
      <c r="I44" s="236"/>
    </row>
    <row r="45" spans="1:9" ht="45.75" thickBot="1">
      <c r="A45" s="215" t="s">
        <v>0</v>
      </c>
      <c r="B45" s="216" t="s">
        <v>113</v>
      </c>
      <c r="C45" s="216" t="s">
        <v>114</v>
      </c>
      <c r="D45" s="215" t="s">
        <v>115</v>
      </c>
      <c r="E45" s="215" t="s">
        <v>116</v>
      </c>
      <c r="F45" s="216" t="s">
        <v>117</v>
      </c>
      <c r="G45" s="216" t="s">
        <v>67</v>
      </c>
      <c r="H45" s="216" t="s">
        <v>118</v>
      </c>
      <c r="I45" s="216" t="s">
        <v>119</v>
      </c>
    </row>
    <row r="46" spans="1:9" ht="15.75" thickBot="1">
      <c r="A46" s="87">
        <v>1</v>
      </c>
      <c r="B46" s="65">
        <v>1.0210264</v>
      </c>
      <c r="C46" s="65">
        <v>0.89884912500000003</v>
      </c>
      <c r="D46" s="87">
        <v>10</v>
      </c>
      <c r="E46" s="87">
        <v>8</v>
      </c>
      <c r="F46" s="65">
        <v>-122.17727499999999</v>
      </c>
      <c r="G46" s="65">
        <v>9.0376249999998506E-2</v>
      </c>
      <c r="H46" s="65">
        <v>-1.3518736946930401</v>
      </c>
      <c r="I46" s="65">
        <v>1.3518736946930401</v>
      </c>
    </row>
    <row r="47" spans="1:9" ht="15.75" thickBot="1">
      <c r="A47" s="87">
        <v>2</v>
      </c>
      <c r="B47" s="65">
        <v>2.0344275000000001</v>
      </c>
      <c r="C47" s="65">
        <v>1.9689156000000001</v>
      </c>
      <c r="D47" s="87">
        <v>10</v>
      </c>
      <c r="E47" s="87">
        <v>10</v>
      </c>
      <c r="F47" s="65">
        <v>-65.511899999999997</v>
      </c>
      <c r="G47" s="65">
        <v>8.0852500000000202E-2</v>
      </c>
      <c r="H47" s="65">
        <v>-0.81026437030394605</v>
      </c>
      <c r="I47" s="65">
        <v>0.81026437030394605</v>
      </c>
    </row>
    <row r="48" spans="1:9" ht="15.75" thickBot="1">
      <c r="A48" s="87">
        <v>3</v>
      </c>
      <c r="B48" s="65">
        <v>2.8661120000000002</v>
      </c>
      <c r="C48" s="65">
        <v>2.8364546000000002</v>
      </c>
      <c r="D48" s="87">
        <v>10</v>
      </c>
      <c r="E48" s="87">
        <v>10</v>
      </c>
      <c r="F48" s="65">
        <v>-29.657400000000099</v>
      </c>
      <c r="G48" s="65">
        <v>4.3801875000004098E-2</v>
      </c>
      <c r="H48" s="65">
        <v>-0.67708060442611795</v>
      </c>
      <c r="I48" s="65">
        <v>0.67708060442611795</v>
      </c>
    </row>
    <row r="49" spans="1:9" ht="15.75" thickBot="1">
      <c r="A49" s="87">
        <v>4</v>
      </c>
      <c r="B49" s="65">
        <v>3.7875782222222201</v>
      </c>
      <c r="C49" s="65">
        <v>3.7573975555555599</v>
      </c>
      <c r="D49" s="87">
        <v>9</v>
      </c>
      <c r="E49" s="87">
        <v>9</v>
      </c>
      <c r="F49" s="65">
        <v>-30.180666666666902</v>
      </c>
      <c r="G49" s="65">
        <v>5.4671250000002898E-2</v>
      </c>
      <c r="H49" s="65">
        <v>-0.552039082089128</v>
      </c>
      <c r="I49" s="65">
        <v>0.552039082089128</v>
      </c>
    </row>
    <row r="50" spans="1:9" ht="15.75" thickBot="1">
      <c r="A50" s="87">
        <v>5</v>
      </c>
      <c r="B50" s="65">
        <v>6.6148009999999999</v>
      </c>
      <c r="C50" s="65">
        <v>6.53618233333333</v>
      </c>
      <c r="D50" s="87">
        <v>9</v>
      </c>
      <c r="E50" s="87">
        <v>9</v>
      </c>
      <c r="F50" s="65">
        <v>-78.6186666666664</v>
      </c>
      <c r="G50" s="65">
        <v>6.0377499999999501E-2</v>
      </c>
      <c r="H50" s="65">
        <v>-1.3021186148261701</v>
      </c>
      <c r="I50" s="65">
        <v>1.3021186148261701</v>
      </c>
    </row>
    <row r="51" spans="1:9" ht="15.75" thickBot="1">
      <c r="A51" s="87">
        <v>6</v>
      </c>
      <c r="B51" s="65">
        <v>7.5713907000000003</v>
      </c>
      <c r="C51" s="65">
        <v>7.4898743000000003</v>
      </c>
      <c r="D51" s="87">
        <v>10</v>
      </c>
      <c r="E51" s="87">
        <v>10</v>
      </c>
      <c r="F51" s="65">
        <v>-81.516399999999905</v>
      </c>
      <c r="G51" s="65">
        <v>4.8831250000002102E-2</v>
      </c>
      <c r="H51" s="65">
        <v>-1.66934903366177</v>
      </c>
      <c r="I51" s="65">
        <v>1.66934903366177</v>
      </c>
    </row>
    <row r="52" spans="1:9" ht="15.75" thickBot="1">
      <c r="A52" s="87">
        <v>7</v>
      </c>
      <c r="B52" s="65">
        <v>8.4103239999999992</v>
      </c>
      <c r="C52" s="65">
        <v>8.3577838</v>
      </c>
      <c r="D52" s="87">
        <v>10</v>
      </c>
      <c r="E52" s="87">
        <v>10</v>
      </c>
      <c r="F52" s="65">
        <v>-52.540199999999302</v>
      </c>
      <c r="G52" s="65">
        <v>4.2865000000000798E-2</v>
      </c>
      <c r="H52" s="65">
        <v>-1.2257132858975399</v>
      </c>
      <c r="I52" s="65">
        <v>1.2257132858975399</v>
      </c>
    </row>
    <row r="53" spans="1:9" ht="15.75" thickBot="1">
      <c r="A53" s="87">
        <v>8</v>
      </c>
      <c r="B53" s="65">
        <v>9.5838024999999991</v>
      </c>
      <c r="C53" s="65">
        <v>9.4144869999999994</v>
      </c>
      <c r="D53" s="87">
        <v>6</v>
      </c>
      <c r="E53" s="87">
        <v>9</v>
      </c>
      <c r="F53" s="65">
        <v>-169.315500000002</v>
      </c>
      <c r="G53" s="65">
        <v>0.38552999999999799</v>
      </c>
      <c r="H53" s="65">
        <v>-0.43917593961559998</v>
      </c>
      <c r="I53" s="65">
        <v>0.43917593961559998</v>
      </c>
    </row>
    <row r="54" spans="1:9" ht="15.75" thickBot="1">
      <c r="A54" s="87">
        <v>9</v>
      </c>
      <c r="B54" s="65">
        <v>12.093243299999999</v>
      </c>
      <c r="C54" s="65">
        <v>11.983440699999999</v>
      </c>
      <c r="D54" s="87">
        <v>10</v>
      </c>
      <c r="E54" s="87">
        <v>10</v>
      </c>
      <c r="F54" s="65">
        <v>-109.802600000002</v>
      </c>
      <c r="G54" s="65">
        <v>8.2005000000000494E-2</v>
      </c>
      <c r="H54" s="65">
        <v>-1.33897445277728</v>
      </c>
      <c r="I54" s="65">
        <v>1.33897445277728</v>
      </c>
    </row>
    <row r="55" spans="1:9" ht="15.75" thickBot="1">
      <c r="A55" s="87">
        <v>10</v>
      </c>
      <c r="B55" s="65">
        <v>13.0366768</v>
      </c>
      <c r="C55" s="65">
        <v>12.924425899999999</v>
      </c>
      <c r="D55" s="87">
        <v>10</v>
      </c>
      <c r="E55" s="87">
        <v>10</v>
      </c>
      <c r="F55" s="65">
        <v>-112.25089999999901</v>
      </c>
      <c r="G55" s="65">
        <v>4.3362499999999297E-2</v>
      </c>
      <c r="H55" s="65">
        <v>-2.5886630152782102</v>
      </c>
      <c r="I55" s="65">
        <v>2.5886630152782102</v>
      </c>
    </row>
    <row r="56" spans="1:9" ht="15.75" thickBot="1">
      <c r="A56" s="87">
        <v>11</v>
      </c>
      <c r="B56" s="65">
        <v>13.914796300000001</v>
      </c>
      <c r="C56" s="65">
        <v>13.809432299999999</v>
      </c>
      <c r="D56" s="87">
        <v>10</v>
      </c>
      <c r="E56" s="87">
        <v>10</v>
      </c>
      <c r="F56" s="65">
        <v>-105.364</v>
      </c>
      <c r="G56" s="65">
        <v>7.3068750000004901E-2</v>
      </c>
      <c r="H56" s="65">
        <v>-1.4419844324693201</v>
      </c>
      <c r="I56" s="65">
        <v>1.4419844324693201</v>
      </c>
    </row>
    <row r="57" spans="1:9" ht="15.75" thickBot="1">
      <c r="A57" s="87">
        <v>12</v>
      </c>
      <c r="B57" s="65">
        <v>14.913721300000001</v>
      </c>
      <c r="C57" s="65">
        <v>14.8011245</v>
      </c>
      <c r="D57" s="87">
        <v>10</v>
      </c>
      <c r="E57" s="87">
        <v>10</v>
      </c>
      <c r="F57" s="65">
        <v>-112.5968</v>
      </c>
      <c r="G57" s="65">
        <v>4.98187499999969E-2</v>
      </c>
      <c r="H57" s="65">
        <v>-2.2601289675073599</v>
      </c>
      <c r="I57" s="65">
        <v>2.2601289675073599</v>
      </c>
    </row>
    <row r="58" spans="1:9" ht="15.75" thickBot="1">
      <c r="A58" s="87">
        <v>13</v>
      </c>
      <c r="B58" s="65">
        <v>17.644123100000002</v>
      </c>
      <c r="C58" s="65">
        <v>17.603079600000001</v>
      </c>
      <c r="D58" s="87">
        <v>10</v>
      </c>
      <c r="E58" s="87">
        <v>10</v>
      </c>
      <c r="F58" s="65">
        <v>-41.043500000000698</v>
      </c>
      <c r="G58" s="65">
        <v>8.7375000000000605E-2</v>
      </c>
      <c r="H58" s="65">
        <v>-0.46973962804006097</v>
      </c>
      <c r="I58" s="65">
        <v>0.46973962804006097</v>
      </c>
    </row>
    <row r="59" spans="1:9" ht="15.75" thickBot="1">
      <c r="A59" s="87">
        <v>14</v>
      </c>
      <c r="B59" s="65">
        <v>18.5512236</v>
      </c>
      <c r="C59" s="65">
        <v>18.537392799999999</v>
      </c>
      <c r="D59" s="87">
        <v>10</v>
      </c>
      <c r="E59" s="87">
        <v>10</v>
      </c>
      <c r="F59" s="65">
        <v>-13.830800000000901</v>
      </c>
      <c r="G59" s="65">
        <v>4.4620625000000302E-2</v>
      </c>
      <c r="H59" s="65">
        <v>-0.30996428221256001</v>
      </c>
      <c r="I59" s="65">
        <v>0.30996428221256001</v>
      </c>
    </row>
    <row r="60" spans="1:9" ht="15.75" thickBot="1">
      <c r="A60" s="87">
        <v>15</v>
      </c>
      <c r="B60" s="65">
        <v>19.442148799999998</v>
      </c>
      <c r="C60" s="65">
        <v>19.401894200000001</v>
      </c>
      <c r="D60" s="87">
        <v>10</v>
      </c>
      <c r="E60" s="87">
        <v>10</v>
      </c>
      <c r="F60" s="65">
        <v>-40.254599999997303</v>
      </c>
      <c r="G60" s="65">
        <v>4.9501250000001398E-2</v>
      </c>
      <c r="H60" s="65">
        <v>-0.81320370697701805</v>
      </c>
      <c r="I60" s="65">
        <v>0.81320370697701805</v>
      </c>
    </row>
    <row r="61" spans="1:9" ht="15.75" thickBot="1">
      <c r="A61" s="87">
        <v>16</v>
      </c>
      <c r="B61" s="65">
        <v>20.3723995</v>
      </c>
      <c r="C61" s="65">
        <v>20.3443708888889</v>
      </c>
      <c r="D61" s="87">
        <v>8</v>
      </c>
      <c r="E61" s="87">
        <v>9</v>
      </c>
      <c r="F61" s="65">
        <v>-28.028611111111001</v>
      </c>
      <c r="G61" s="65">
        <v>4.8877499999990803E-2</v>
      </c>
      <c r="H61" s="65">
        <v>-0.573446086872615</v>
      </c>
      <c r="I61" s="65">
        <v>0.573446086872615</v>
      </c>
    </row>
    <row r="62" spans="1:9" ht="15.75" thickBot="1"/>
    <row r="63" spans="1:9" ht="15.75" thickBot="1">
      <c r="A63" s="236" t="s">
        <v>128</v>
      </c>
      <c r="B63" s="236"/>
      <c r="C63" s="236"/>
      <c r="D63" s="236"/>
      <c r="E63" s="236"/>
      <c r="F63" s="236"/>
      <c r="G63" s="236"/>
      <c r="H63" s="236"/>
      <c r="I63" s="236"/>
    </row>
    <row r="64" spans="1:9" ht="45.75" thickBot="1">
      <c r="A64" s="215" t="s">
        <v>0</v>
      </c>
      <c r="B64" s="216" t="s">
        <v>113</v>
      </c>
      <c r="C64" s="216" t="s">
        <v>114</v>
      </c>
      <c r="D64" s="215" t="s">
        <v>115</v>
      </c>
      <c r="E64" s="215" t="s">
        <v>116</v>
      </c>
      <c r="F64" s="216" t="s">
        <v>117</v>
      </c>
      <c r="G64" s="216" t="s">
        <v>67</v>
      </c>
      <c r="H64" s="216" t="s">
        <v>118</v>
      </c>
      <c r="I64" s="216" t="s">
        <v>119</v>
      </c>
    </row>
    <row r="65" spans="1:9" ht="15.75" thickBot="1">
      <c r="A65" s="87">
        <v>1</v>
      </c>
      <c r="B65" s="65">
        <v>0.77402409999999999</v>
      </c>
      <c r="C65" s="65">
        <v>0.694411555555556</v>
      </c>
      <c r="D65" s="87">
        <v>10</v>
      </c>
      <c r="E65" s="87">
        <v>9</v>
      </c>
      <c r="F65" s="65">
        <v>-79.612544444444396</v>
      </c>
      <c r="G65" s="65">
        <v>0.10765999999999699</v>
      </c>
      <c r="H65" s="65">
        <v>-0.73948118562554999</v>
      </c>
      <c r="I65" s="65">
        <v>0.73948118562554999</v>
      </c>
    </row>
    <row r="66" spans="1:9" ht="15.75" thickBot="1">
      <c r="A66" s="87">
        <v>2</v>
      </c>
      <c r="B66" s="65">
        <v>1.8085009000000001</v>
      </c>
      <c r="C66" s="65">
        <v>1.7651851000000001</v>
      </c>
      <c r="D66" s="87">
        <v>10</v>
      </c>
      <c r="E66" s="87">
        <v>10</v>
      </c>
      <c r="F66" s="65">
        <v>-43.315799999999797</v>
      </c>
      <c r="G66" s="65">
        <v>3.7971874999998503E-2</v>
      </c>
      <c r="H66" s="65">
        <v>-1.14073376676821</v>
      </c>
      <c r="I66" s="65">
        <v>1.14073376676821</v>
      </c>
    </row>
    <row r="67" spans="1:9" ht="15.75" thickBot="1">
      <c r="A67" s="87">
        <v>3</v>
      </c>
      <c r="B67" s="65">
        <v>2.1539875999999998</v>
      </c>
      <c r="C67" s="65">
        <v>2.1424877000000002</v>
      </c>
      <c r="D67" s="87">
        <v>10</v>
      </c>
      <c r="E67" s="87">
        <v>10</v>
      </c>
      <c r="F67" s="65">
        <v>-11.4999</v>
      </c>
      <c r="G67" s="65">
        <v>6.1803750000000199E-2</v>
      </c>
      <c r="H67" s="65">
        <v>-0.186071233541654</v>
      </c>
      <c r="I67" s="65">
        <v>0.186071233541654</v>
      </c>
    </row>
    <row r="68" spans="1:9" ht="15.75" thickBot="1">
      <c r="A68" s="87">
        <v>4</v>
      </c>
      <c r="B68" s="65">
        <v>2.4505357000000001</v>
      </c>
      <c r="C68" s="65">
        <v>2.4537635</v>
      </c>
      <c r="D68" s="87">
        <v>10</v>
      </c>
      <c r="E68" s="87">
        <v>10</v>
      </c>
      <c r="F68" s="65">
        <v>3.2277999999998901</v>
      </c>
      <c r="G68" s="65">
        <v>4.1185000000004697E-2</v>
      </c>
      <c r="H68" s="65">
        <v>7.8373194124062795E-2</v>
      </c>
      <c r="I68" s="65">
        <v>7.8373194124062795E-2</v>
      </c>
    </row>
    <row r="69" spans="1:9" ht="15.75" thickBot="1">
      <c r="A69" s="87">
        <v>5</v>
      </c>
      <c r="B69" s="65">
        <v>2.8748575000000001</v>
      </c>
      <c r="C69" s="65">
        <v>2.9187960999999998</v>
      </c>
      <c r="D69" s="87">
        <v>10</v>
      </c>
      <c r="E69" s="87">
        <v>10</v>
      </c>
      <c r="F69" s="65">
        <v>43.938599999999703</v>
      </c>
      <c r="G69" s="65">
        <v>8.0824999999999897E-2</v>
      </c>
      <c r="H69" s="65">
        <v>0.54362635323228903</v>
      </c>
      <c r="I69" s="65">
        <v>0.54362635323228903</v>
      </c>
    </row>
    <row r="70" spans="1:9" ht="15.75" thickBot="1">
      <c r="A70" s="87">
        <v>6</v>
      </c>
      <c r="B70" s="65">
        <v>4.0596566000000003</v>
      </c>
      <c r="C70" s="65">
        <v>3.9892253000000002</v>
      </c>
      <c r="D70" s="87">
        <v>10</v>
      </c>
      <c r="E70" s="87">
        <v>10</v>
      </c>
      <c r="F70" s="65">
        <v>-70.431300000000505</v>
      </c>
      <c r="G70" s="65">
        <v>3.9176874999999903E-2</v>
      </c>
      <c r="H70" s="65">
        <v>-1.7977773878085199</v>
      </c>
      <c r="I70" s="65">
        <v>1.7977773878085199</v>
      </c>
    </row>
    <row r="71" spans="1:9" ht="15.75" thickBot="1">
      <c r="A71" s="87">
        <v>7</v>
      </c>
      <c r="B71" s="65">
        <v>4.4425578999999997</v>
      </c>
      <c r="C71" s="65">
        <v>4.3845140000000002</v>
      </c>
      <c r="D71" s="87">
        <v>10</v>
      </c>
      <c r="E71" s="87">
        <v>10</v>
      </c>
      <c r="F71" s="65">
        <v>-58.043900000000399</v>
      </c>
      <c r="G71" s="65">
        <v>8.0639999999998505E-2</v>
      </c>
      <c r="H71" s="65">
        <v>-0.71979042658731995</v>
      </c>
      <c r="I71" s="65">
        <v>0.71979042658731995</v>
      </c>
    </row>
    <row r="72" spans="1:9" ht="15.75" thickBot="1">
      <c r="A72" s="87">
        <v>8</v>
      </c>
      <c r="B72" s="65">
        <v>4.7492956</v>
      </c>
      <c r="C72" s="65">
        <v>4.7157955999999999</v>
      </c>
      <c r="D72" s="87">
        <v>10</v>
      </c>
      <c r="E72" s="87">
        <v>10</v>
      </c>
      <c r="F72" s="65">
        <v>-33.500000000000099</v>
      </c>
      <c r="G72" s="65">
        <v>4.7103749999999299E-2</v>
      </c>
      <c r="H72" s="65">
        <v>-0.71119603004008303</v>
      </c>
      <c r="I72" s="65">
        <v>0.71119603004008303</v>
      </c>
    </row>
    <row r="73" spans="1:9" ht="15.75" thickBot="1">
      <c r="A73" s="87">
        <v>9</v>
      </c>
      <c r="B73" s="65">
        <v>5.1818508000000003</v>
      </c>
      <c r="C73" s="65">
        <v>5.1118062999999996</v>
      </c>
      <c r="D73" s="87">
        <v>10</v>
      </c>
      <c r="E73" s="87">
        <v>10</v>
      </c>
      <c r="F73" s="65">
        <v>-70.044500000000696</v>
      </c>
      <c r="G73" s="65">
        <v>4.4279999999997703E-2</v>
      </c>
      <c r="H73" s="65">
        <v>-1.58185411020787</v>
      </c>
      <c r="I73" s="65">
        <v>1.58185411020787</v>
      </c>
    </row>
    <row r="74" spans="1:9" ht="15.75" thickBot="1">
      <c r="A74" s="87">
        <v>10</v>
      </c>
      <c r="B74" s="65">
        <v>5.9003136999999999</v>
      </c>
      <c r="C74" s="65">
        <v>5.8670662</v>
      </c>
      <c r="D74" s="87">
        <v>10</v>
      </c>
      <c r="E74" s="87">
        <v>10</v>
      </c>
      <c r="F74" s="65">
        <v>-33.247499999999903</v>
      </c>
      <c r="G74" s="65">
        <v>3.6922500000000601E-2</v>
      </c>
      <c r="H74" s="65">
        <v>-0.90046719479990001</v>
      </c>
      <c r="I74" s="65">
        <v>0.90046719479990001</v>
      </c>
    </row>
    <row r="75" spans="1:9" ht="15.75" thickBot="1">
      <c r="A75" s="87">
        <v>11</v>
      </c>
      <c r="B75" s="65">
        <v>6.2672264999999996</v>
      </c>
      <c r="C75" s="65">
        <v>6.2330687999999999</v>
      </c>
      <c r="D75" s="87">
        <v>10</v>
      </c>
      <c r="E75" s="87">
        <v>10</v>
      </c>
      <c r="F75" s="65">
        <v>-34.1576999999997</v>
      </c>
      <c r="G75" s="65">
        <v>8.5689374999997597E-2</v>
      </c>
      <c r="H75" s="65">
        <v>-0.39862234962036602</v>
      </c>
      <c r="I75" s="65">
        <v>0.39862234962036602</v>
      </c>
    </row>
    <row r="76" spans="1:9" ht="15.75" thickBot="1">
      <c r="A76" s="87">
        <v>12</v>
      </c>
      <c r="B76" s="65">
        <v>6.6229392000000002</v>
      </c>
      <c r="C76" s="65">
        <v>6.5952948999999998</v>
      </c>
      <c r="D76" s="87">
        <v>10</v>
      </c>
      <c r="E76" s="87">
        <v>10</v>
      </c>
      <c r="F76" s="65">
        <v>-27.644300000000399</v>
      </c>
      <c r="G76" s="65">
        <v>4.82225000000003E-2</v>
      </c>
      <c r="H76" s="65">
        <v>-0.57326559178807102</v>
      </c>
      <c r="I76" s="65">
        <v>0.57326559178807102</v>
      </c>
    </row>
    <row r="77" spans="1:9" ht="15.75" thickBot="1">
      <c r="A77" s="87">
        <v>13</v>
      </c>
      <c r="B77" s="65">
        <v>7.0018025000000002</v>
      </c>
      <c r="C77" s="65">
        <v>6.9082162</v>
      </c>
      <c r="D77" s="87">
        <v>10</v>
      </c>
      <c r="E77" s="87">
        <v>10</v>
      </c>
      <c r="F77" s="65">
        <v>-93.586300000000094</v>
      </c>
      <c r="G77" s="65">
        <v>5.8257500000000698E-2</v>
      </c>
      <c r="H77" s="65">
        <v>-1.6064249238295301</v>
      </c>
      <c r="I77" s="65">
        <v>1.6064249238295301</v>
      </c>
    </row>
    <row r="78" spans="1:9" ht="15.75" thickBot="1">
      <c r="A78" s="87">
        <v>14</v>
      </c>
      <c r="B78" s="65">
        <v>7.3958456999999997</v>
      </c>
      <c r="C78" s="65">
        <v>7.4225978000000001</v>
      </c>
      <c r="D78" s="87">
        <v>10</v>
      </c>
      <c r="E78" s="87">
        <v>10</v>
      </c>
      <c r="F78" s="65">
        <v>26.7521000000004</v>
      </c>
      <c r="G78" s="65">
        <v>4.70581250000002E-2</v>
      </c>
      <c r="H78" s="65">
        <v>0.56849056353180905</v>
      </c>
      <c r="I78" s="65">
        <v>0.56849056353180905</v>
      </c>
    </row>
    <row r="79" spans="1:9" ht="15.75" thickBot="1">
      <c r="A79" s="87">
        <v>15</v>
      </c>
      <c r="B79" s="65">
        <v>8.5146843000000008</v>
      </c>
      <c r="C79" s="65">
        <v>8.4783425999999995</v>
      </c>
      <c r="D79" s="87">
        <v>10</v>
      </c>
      <c r="E79" s="87">
        <v>10</v>
      </c>
      <c r="F79" s="65">
        <v>-36.341700000001303</v>
      </c>
      <c r="G79" s="65">
        <v>4.1107500000001601E-2</v>
      </c>
      <c r="H79" s="65">
        <v>-0.88406495165115395</v>
      </c>
      <c r="I79" s="65">
        <v>0.88406495165115395</v>
      </c>
    </row>
    <row r="80" spans="1:9" ht="15.75" thickBot="1">
      <c r="A80" s="87">
        <v>16</v>
      </c>
      <c r="B80" s="65">
        <v>8.9020016999999996</v>
      </c>
      <c r="C80" s="65">
        <v>8.8342130999999995</v>
      </c>
      <c r="D80" s="87">
        <v>10</v>
      </c>
      <c r="E80" s="87">
        <v>10</v>
      </c>
      <c r="F80" s="65">
        <v>-67.788600000000102</v>
      </c>
      <c r="G80" s="65">
        <v>4.6523750000000398E-2</v>
      </c>
      <c r="H80" s="65">
        <v>-1.4570751497890799</v>
      </c>
      <c r="I80" s="65">
        <v>1.4570751497890799</v>
      </c>
    </row>
    <row r="81" spans="1:9" ht="15.75" thickBot="1">
      <c r="A81" s="87">
        <v>17</v>
      </c>
      <c r="B81" s="65">
        <v>9.2124486000000001</v>
      </c>
      <c r="C81" s="65">
        <v>9.1738835000000005</v>
      </c>
      <c r="D81" s="87">
        <v>10</v>
      </c>
      <c r="E81" s="87">
        <v>10</v>
      </c>
      <c r="F81" s="65">
        <v>-38.565099999999603</v>
      </c>
      <c r="G81" s="65">
        <v>3.6567500000002098E-2</v>
      </c>
      <c r="H81" s="65">
        <v>-1.0546277432145299</v>
      </c>
      <c r="I81" s="65">
        <v>1.0546277432145299</v>
      </c>
    </row>
    <row r="82" spans="1:9" ht="15.75" thickBot="1">
      <c r="A82" s="87">
        <v>18</v>
      </c>
      <c r="B82" s="65">
        <v>9.5820456000000007</v>
      </c>
      <c r="C82" s="65">
        <v>9.5414891999999991</v>
      </c>
      <c r="D82" s="87">
        <v>10</v>
      </c>
      <c r="E82" s="87">
        <v>10</v>
      </c>
      <c r="F82" s="65">
        <v>-40.556400000001602</v>
      </c>
      <c r="G82" s="65">
        <v>5.9815000000005301E-2</v>
      </c>
      <c r="H82" s="65">
        <v>-0.67803059433249202</v>
      </c>
      <c r="I82" s="65">
        <v>0.67803059433249202</v>
      </c>
    </row>
    <row r="83" spans="1:9" ht="15.75" thickBot="1">
      <c r="A83" s="87">
        <v>19</v>
      </c>
      <c r="B83" s="65">
        <v>10.750743999999999</v>
      </c>
      <c r="C83" s="65">
        <v>10.762715</v>
      </c>
      <c r="D83" s="87">
        <v>10</v>
      </c>
      <c r="E83" s="87">
        <v>10</v>
      </c>
      <c r="F83" s="65">
        <v>11.971000000000799</v>
      </c>
      <c r="G83" s="65">
        <v>3.50462500000015E-2</v>
      </c>
      <c r="H83" s="65">
        <v>0.34157720155509702</v>
      </c>
      <c r="I83" s="65">
        <v>0.34157720155509702</v>
      </c>
    </row>
    <row r="84" spans="1:9" ht="15.75" thickBot="1">
      <c r="A84" s="87">
        <v>20</v>
      </c>
      <c r="B84" s="65">
        <v>11.1652434</v>
      </c>
      <c r="C84" s="65">
        <v>11.1339086</v>
      </c>
      <c r="D84" s="87">
        <v>10</v>
      </c>
      <c r="E84" s="87">
        <v>10</v>
      </c>
      <c r="F84" s="65">
        <v>-31.334799999999799</v>
      </c>
      <c r="G84" s="65">
        <v>4.1191250000001102E-2</v>
      </c>
      <c r="H84" s="65">
        <v>-0.76071495766695396</v>
      </c>
      <c r="I84" s="65">
        <v>0.76071495766695396</v>
      </c>
    </row>
    <row r="85" spans="1:9" ht="15.75" thickBot="1">
      <c r="A85" s="87">
        <v>21</v>
      </c>
      <c r="B85" s="65">
        <v>11.499578100000001</v>
      </c>
      <c r="C85" s="65">
        <v>11.4616167</v>
      </c>
      <c r="D85" s="87">
        <v>10</v>
      </c>
      <c r="E85" s="87">
        <v>10</v>
      </c>
      <c r="F85" s="65">
        <v>-37.961400000000403</v>
      </c>
      <c r="G85" s="65">
        <v>5.7762499999998197E-2</v>
      </c>
      <c r="H85" s="65">
        <v>-0.65719800908896897</v>
      </c>
      <c r="I85" s="65">
        <v>0.65719800908896897</v>
      </c>
    </row>
    <row r="86" spans="1:9" ht="15.75" thickBot="1">
      <c r="A86" s="87">
        <v>22</v>
      </c>
      <c r="B86" s="65">
        <v>11.8571805</v>
      </c>
      <c r="C86" s="65">
        <v>11.872981100000001</v>
      </c>
      <c r="D86" s="87">
        <v>10</v>
      </c>
      <c r="E86" s="87">
        <v>10</v>
      </c>
      <c r="F86" s="65">
        <v>15.800600000000401</v>
      </c>
      <c r="G86" s="65">
        <v>4.3687500000002502E-2</v>
      </c>
      <c r="H86" s="65">
        <v>0.361673247496411</v>
      </c>
      <c r="I86" s="65">
        <v>0.361673247496411</v>
      </c>
    </row>
    <row r="87" spans="1:9" ht="15.75" thickBot="1">
      <c r="A87" s="87">
        <v>23</v>
      </c>
      <c r="B87" s="65">
        <v>12.2064564</v>
      </c>
      <c r="C87" s="65">
        <v>12.199537299999999</v>
      </c>
      <c r="D87" s="87">
        <v>10</v>
      </c>
      <c r="E87" s="87">
        <v>10</v>
      </c>
      <c r="F87" s="65">
        <v>-6.9191000000010696</v>
      </c>
      <c r="G87" s="65">
        <v>3.5199999999997497E-2</v>
      </c>
      <c r="H87" s="65">
        <v>-0.19656534090913499</v>
      </c>
      <c r="I87" s="65">
        <v>0.19656534090913499</v>
      </c>
    </row>
    <row r="88" spans="1:9" ht="15.75" thickBot="1">
      <c r="A88" s="87">
        <v>24</v>
      </c>
      <c r="B88" s="65">
        <v>12.591975</v>
      </c>
      <c r="C88" s="65">
        <v>12.581729599999999</v>
      </c>
      <c r="D88" s="87">
        <v>9</v>
      </c>
      <c r="E88" s="87">
        <v>10</v>
      </c>
      <c r="F88" s="65">
        <v>-10.2453999999987</v>
      </c>
      <c r="G88" s="65">
        <v>4.7369999999999898E-2</v>
      </c>
      <c r="H88" s="65">
        <v>-0.21628456829214199</v>
      </c>
      <c r="I88" s="65">
        <v>0.21628456829214199</v>
      </c>
    </row>
    <row r="89" spans="1:9" ht="15.75" thickBot="1">
      <c r="A89" s="87">
        <v>25</v>
      </c>
      <c r="B89" s="65">
        <v>12.981931299999999</v>
      </c>
      <c r="C89" s="65">
        <v>12.954866600000001</v>
      </c>
      <c r="D89" s="87">
        <v>10</v>
      </c>
      <c r="E89" s="87">
        <v>10</v>
      </c>
      <c r="F89" s="65">
        <v>-27.064699999998599</v>
      </c>
      <c r="G89" s="65">
        <v>3.5925000000001102E-2</v>
      </c>
      <c r="H89" s="65">
        <v>-0.75336673625602701</v>
      </c>
      <c r="I89" s="65">
        <v>0.75336673625602701</v>
      </c>
    </row>
    <row r="90" spans="1:9" ht="15.75" thickBot="1">
      <c r="A90" s="87">
        <v>26</v>
      </c>
      <c r="B90" s="65">
        <v>13.3672574</v>
      </c>
      <c r="C90" s="65">
        <v>13.3246091</v>
      </c>
      <c r="D90" s="87">
        <v>10</v>
      </c>
      <c r="E90" s="87">
        <v>10</v>
      </c>
      <c r="F90" s="65">
        <v>-42.6482999999998</v>
      </c>
      <c r="G90" s="65">
        <v>5.3574375000000597E-2</v>
      </c>
      <c r="H90" s="65">
        <v>-0.79605781682006105</v>
      </c>
      <c r="I90" s="65">
        <v>0.79605781682006105</v>
      </c>
    </row>
    <row r="91" spans="1:9" ht="15.75" thickBot="1">
      <c r="A91" s="87">
        <v>27</v>
      </c>
      <c r="B91" s="65">
        <v>13.7079074</v>
      </c>
      <c r="C91" s="65">
        <v>13.679975799999999</v>
      </c>
      <c r="D91" s="87">
        <v>10</v>
      </c>
      <c r="E91" s="87">
        <v>10</v>
      </c>
      <c r="F91" s="65">
        <v>-27.931599999998699</v>
      </c>
      <c r="G91" s="65">
        <v>5.1991874999999202E-2</v>
      </c>
      <c r="H91" s="65">
        <v>-0.53723009604864502</v>
      </c>
      <c r="I91" s="65">
        <v>0.53723009604864502</v>
      </c>
    </row>
    <row r="92" spans="1:9" ht="15.75" thickBot="1">
      <c r="A92" s="87">
        <v>28</v>
      </c>
      <c r="B92" s="65">
        <v>14.145558299999999</v>
      </c>
      <c r="C92" s="65">
        <v>14.094818</v>
      </c>
      <c r="D92" s="87">
        <v>10</v>
      </c>
      <c r="E92" s="87">
        <v>10</v>
      </c>
      <c r="F92" s="65">
        <v>-50.740299999999301</v>
      </c>
      <c r="G92" s="65">
        <v>7.64937499999951E-2</v>
      </c>
      <c r="H92" s="65">
        <v>-0.66332608873277299</v>
      </c>
      <c r="I92" s="65">
        <v>0.66332608873277299</v>
      </c>
    </row>
    <row r="93" spans="1:9" ht="15.75" thickBot="1">
      <c r="A93" s="87">
        <v>29</v>
      </c>
      <c r="B93" s="65">
        <v>15.2968539</v>
      </c>
      <c r="C93" s="65">
        <v>15.2520401</v>
      </c>
      <c r="D93" s="87">
        <v>10</v>
      </c>
      <c r="E93" s="87">
        <v>10</v>
      </c>
      <c r="F93" s="65">
        <v>-44.813800000000001</v>
      </c>
      <c r="G93" s="65">
        <v>5.7331250000001201E-2</v>
      </c>
      <c r="H93" s="65">
        <v>-0.781664450016337</v>
      </c>
      <c r="I93" s="65">
        <v>0.781664450016337</v>
      </c>
    </row>
    <row r="94" spans="1:9" ht="15.75" thickBot="1">
      <c r="A94" s="87">
        <v>30</v>
      </c>
      <c r="B94" s="65">
        <v>15.7837529</v>
      </c>
      <c r="C94" s="65">
        <v>15.61498375</v>
      </c>
      <c r="D94" s="87">
        <v>10</v>
      </c>
      <c r="E94" s="87">
        <v>8</v>
      </c>
      <c r="F94" s="65">
        <v>-168.769149999999</v>
      </c>
      <c r="G94" s="65">
        <v>6.01881250000025E-2</v>
      </c>
      <c r="H94" s="65">
        <v>-2.8040273725089802</v>
      </c>
      <c r="I94" s="65">
        <v>2.8040273725089802</v>
      </c>
    </row>
    <row r="95" spans="1:9" ht="15.75" thickBot="1">
      <c r="A95" s="87">
        <v>31</v>
      </c>
      <c r="B95" s="65">
        <v>16.571208444444402</v>
      </c>
      <c r="C95" s="65">
        <v>16.463056300000002</v>
      </c>
      <c r="D95" s="87">
        <v>9</v>
      </c>
      <c r="E95" s="87">
        <v>10</v>
      </c>
      <c r="F95" s="65">
        <v>-108.15214444444599</v>
      </c>
      <c r="G95" s="65">
        <v>6.4183749999999803E-2</v>
      </c>
      <c r="H95" s="65">
        <v>-1.6850393509953301</v>
      </c>
      <c r="I95" s="65">
        <v>1.6850393509953301</v>
      </c>
    </row>
  </sheetData>
  <mergeCells count="5">
    <mergeCell ref="A1:I1"/>
    <mergeCell ref="A20:I20"/>
    <mergeCell ref="A28:I28"/>
    <mergeCell ref="A44:I44"/>
    <mergeCell ref="A63:I6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653638-8D38-4EAE-B2E4-053B728CBC48}">
  <dimension ref="A1:V101"/>
  <sheetViews>
    <sheetView workbookViewId="0">
      <selection sqref="A1:V100"/>
    </sheetView>
  </sheetViews>
  <sheetFormatPr defaultRowHeight="12"/>
  <cols>
    <col min="1" max="1" width="9.28515625" style="83" bestFit="1" customWidth="1"/>
    <col min="2" max="7" width="9.28515625" style="8" bestFit="1" customWidth="1"/>
    <col min="8" max="11" width="9.28515625" style="57" bestFit="1" customWidth="1"/>
    <col min="12" max="12" width="9.140625" style="8"/>
    <col min="13" max="17" width="9.28515625" style="8" bestFit="1" customWidth="1"/>
    <col min="18" max="18" width="12" style="8" bestFit="1" customWidth="1"/>
    <col min="19" max="22" width="9.28515625" style="8" bestFit="1" customWidth="1"/>
    <col min="23" max="16384" width="9.140625" style="8"/>
  </cols>
  <sheetData>
    <row r="1" spans="1:22" ht="12.75" thickBot="1">
      <c r="A1" s="237" t="s">
        <v>120</v>
      </c>
      <c r="B1" s="237"/>
      <c r="C1" s="237"/>
      <c r="D1" s="237"/>
      <c r="E1" s="237"/>
      <c r="F1" s="237"/>
      <c r="G1" s="237"/>
      <c r="H1" s="237"/>
      <c r="I1" s="237"/>
      <c r="J1" s="237"/>
      <c r="K1" s="237"/>
      <c r="L1" s="237"/>
      <c r="M1" s="237"/>
      <c r="N1" s="237"/>
      <c r="O1" s="237"/>
      <c r="P1" s="237"/>
      <c r="Q1" s="237"/>
      <c r="R1" s="237"/>
      <c r="S1" s="237"/>
      <c r="T1" s="237"/>
      <c r="U1" s="237"/>
      <c r="V1" s="237"/>
    </row>
    <row r="2" spans="1:22" ht="12.75" thickBot="1">
      <c r="A2" s="238" t="s">
        <v>0</v>
      </c>
      <c r="B2" s="237" t="s">
        <v>83</v>
      </c>
      <c r="C2" s="237"/>
      <c r="D2" s="237"/>
      <c r="E2" s="237"/>
      <c r="F2" s="237"/>
      <c r="G2" s="237"/>
      <c r="H2" s="237"/>
      <c r="I2" s="237"/>
      <c r="J2" s="237"/>
      <c r="K2" s="237"/>
      <c r="L2" s="237"/>
      <c r="M2" s="237" t="s">
        <v>84</v>
      </c>
      <c r="N2" s="237"/>
      <c r="O2" s="237"/>
      <c r="P2" s="237"/>
      <c r="Q2" s="237"/>
      <c r="R2" s="237"/>
      <c r="S2" s="237" t="s">
        <v>85</v>
      </c>
      <c r="T2" s="237"/>
      <c r="U2" s="240" t="s">
        <v>125</v>
      </c>
      <c r="V2" s="240" t="s">
        <v>82</v>
      </c>
    </row>
    <row r="3" spans="1:22" ht="24.75" thickBot="1">
      <c r="A3" s="238"/>
      <c r="B3" s="217" t="s">
        <v>62</v>
      </c>
      <c r="C3" s="217" t="s">
        <v>63</v>
      </c>
      <c r="D3" s="217" t="s">
        <v>64</v>
      </c>
      <c r="E3" s="217" t="s">
        <v>65</v>
      </c>
      <c r="F3" s="217" t="s">
        <v>66</v>
      </c>
      <c r="G3" s="217" t="s">
        <v>67</v>
      </c>
      <c r="H3" s="218" t="s">
        <v>68</v>
      </c>
      <c r="I3" s="218" t="s">
        <v>69</v>
      </c>
      <c r="J3" s="218" t="s">
        <v>70</v>
      </c>
      <c r="K3" s="218" t="s">
        <v>71</v>
      </c>
      <c r="L3" s="217" t="s">
        <v>72</v>
      </c>
      <c r="M3" s="217" t="s">
        <v>73</v>
      </c>
      <c r="N3" s="217" t="s">
        <v>74</v>
      </c>
      <c r="O3" s="217" t="s">
        <v>75</v>
      </c>
      <c r="P3" s="217" t="s">
        <v>76</v>
      </c>
      <c r="Q3" s="217" t="s">
        <v>77</v>
      </c>
      <c r="R3" s="217" t="s">
        <v>78</v>
      </c>
      <c r="S3" s="217" t="s">
        <v>79</v>
      </c>
      <c r="T3" s="217" t="s">
        <v>80</v>
      </c>
      <c r="U3" s="240"/>
      <c r="V3" s="240"/>
    </row>
    <row r="4" spans="1:22" ht="12.75" thickBot="1">
      <c r="A4" s="74">
        <v>1</v>
      </c>
      <c r="B4" s="59">
        <v>1.72681</v>
      </c>
      <c r="C4" s="59">
        <v>6.5474999999999603E-2</v>
      </c>
      <c r="D4" s="59">
        <v>0.126112999999998</v>
      </c>
      <c r="E4" s="59">
        <v>18</v>
      </c>
      <c r="F4" s="59">
        <v>6.5474999999999603E-2</v>
      </c>
      <c r="G4" s="59">
        <v>0.16368749999999899</v>
      </c>
      <c r="H4" s="84">
        <v>0.76968256086721498</v>
      </c>
      <c r="I4" s="84">
        <v>0.77777777777777801</v>
      </c>
      <c r="J4" s="84">
        <v>5.5555555555555601E-2</v>
      </c>
      <c r="K4" s="84">
        <v>0.54977325776229602</v>
      </c>
      <c r="L4" s="59" t="s">
        <v>86</v>
      </c>
      <c r="M4" s="59">
        <v>1.7990217170728999</v>
      </c>
      <c r="N4" s="59">
        <v>9.6206733756806995E-2</v>
      </c>
      <c r="O4" s="59">
        <v>0.19909389901791</v>
      </c>
      <c r="P4" s="59">
        <v>7.2211717072902401E-2</v>
      </c>
      <c r="Q4" s="59">
        <v>1.8057511779981399</v>
      </c>
      <c r="R4" s="59">
        <v>-6.7294609252419599E-3</v>
      </c>
      <c r="S4" s="59">
        <v>1.82670779907977</v>
      </c>
      <c r="T4" s="59">
        <v>1.8001381405067201</v>
      </c>
      <c r="U4" s="69">
        <v>1.7990217170728999</v>
      </c>
      <c r="V4" s="69">
        <v>0.16368749999999899</v>
      </c>
    </row>
    <row r="5" spans="1:22" ht="12.75" thickBot="1">
      <c r="A5" s="73">
        <v>2</v>
      </c>
      <c r="B5" s="60">
        <v>3.0512199999999998</v>
      </c>
      <c r="C5" s="60">
        <v>3.1029249999999099E-2</v>
      </c>
      <c r="D5" s="60">
        <v>6.5692250000000604E-2</v>
      </c>
      <c r="E5" s="60">
        <v>20</v>
      </c>
      <c r="F5" s="60">
        <v>3.1029249999999099E-2</v>
      </c>
      <c r="G5" s="60">
        <v>7.75731249999978E-2</v>
      </c>
      <c r="H5" s="85">
        <v>0.84601089789339501</v>
      </c>
      <c r="I5" s="85">
        <v>0.8</v>
      </c>
      <c r="J5" s="85">
        <v>0</v>
      </c>
      <c r="K5" s="85">
        <v>0.60429349849528202</v>
      </c>
      <c r="L5" s="60" t="s">
        <v>86</v>
      </c>
      <c r="M5" s="60">
        <v>3.0783759194513198</v>
      </c>
      <c r="N5" s="60">
        <v>5.9732742721418902E-2</v>
      </c>
      <c r="O5" s="60">
        <v>0.119143824228998</v>
      </c>
      <c r="P5" s="60">
        <v>2.71559194513178E-2</v>
      </c>
      <c r="Q5" s="60">
        <v>3.0865902063083301</v>
      </c>
      <c r="R5" s="60">
        <v>-8.2142868570098705E-3</v>
      </c>
      <c r="S5" s="60">
        <v>3.0886158838356299</v>
      </c>
      <c r="T5" s="60">
        <v>3.0828496924322502</v>
      </c>
      <c r="U5" s="69">
        <v>3.0783759194513198</v>
      </c>
      <c r="V5" s="69">
        <v>7.75731249999978E-2</v>
      </c>
    </row>
    <row r="6" spans="1:22" ht="12.75" thickBot="1">
      <c r="A6" s="73">
        <v>3</v>
      </c>
      <c r="B6" s="60">
        <v>4.3903410000000003</v>
      </c>
      <c r="C6" s="60">
        <v>2.71017499999999E-2</v>
      </c>
      <c r="D6" s="60">
        <v>5.4651249999998298E-2</v>
      </c>
      <c r="E6" s="60">
        <v>20</v>
      </c>
      <c r="F6" s="60">
        <v>2.71017499999999E-2</v>
      </c>
      <c r="G6" s="60">
        <v>6.7754374999999797E-2</v>
      </c>
      <c r="H6" s="85">
        <v>0.80325695981220602</v>
      </c>
      <c r="I6" s="85">
        <v>0.8</v>
      </c>
      <c r="J6" s="85">
        <v>0.1</v>
      </c>
      <c r="K6" s="85">
        <v>0.57375497129443298</v>
      </c>
      <c r="L6" s="60" t="s">
        <v>86</v>
      </c>
      <c r="M6" s="60">
        <v>4.4155807146085602</v>
      </c>
      <c r="N6" s="60">
        <v>5.8145742721419098E-2</v>
      </c>
      <c r="O6" s="60">
        <v>7.7590798577244602E-2</v>
      </c>
      <c r="P6" s="60">
        <v>2.5239714608563401E-2</v>
      </c>
      <c r="Q6" s="60">
        <v>4.4216145621793403</v>
      </c>
      <c r="R6" s="60">
        <v>-6.03384757077752E-3</v>
      </c>
      <c r="S6" s="60">
        <v>4.4427224519903596</v>
      </c>
      <c r="T6" s="60">
        <v>4.4146307253159298</v>
      </c>
      <c r="U6" s="69">
        <v>4.4155807146085602</v>
      </c>
      <c r="V6" s="69">
        <v>6.7754374999999797E-2</v>
      </c>
    </row>
    <row r="7" spans="1:22" ht="12.75" thickBot="1">
      <c r="A7" s="73">
        <v>4</v>
      </c>
      <c r="B7" s="60">
        <v>5.6583350000000001</v>
      </c>
      <c r="C7" s="60">
        <v>3.3195000000000502E-2</v>
      </c>
      <c r="D7" s="60">
        <v>6.6870500000001207E-2</v>
      </c>
      <c r="E7" s="60">
        <v>20</v>
      </c>
      <c r="F7" s="60">
        <v>3.3195000000000502E-2</v>
      </c>
      <c r="G7" s="60">
        <v>8.2987500000001296E-2</v>
      </c>
      <c r="H7" s="85">
        <v>0.86905946067384998</v>
      </c>
      <c r="I7" s="85">
        <v>0.85</v>
      </c>
      <c r="J7" s="85">
        <v>0.05</v>
      </c>
      <c r="K7" s="85">
        <v>0.62075675762417803</v>
      </c>
      <c r="L7" s="60" t="s">
        <v>86</v>
      </c>
      <c r="M7" s="60">
        <v>5.6887538192443499</v>
      </c>
      <c r="N7" s="60">
        <v>4.3056211826702599E-2</v>
      </c>
      <c r="O7" s="60">
        <v>0.120272826750708</v>
      </c>
      <c r="P7" s="60">
        <v>3.0418819244352399E-2</v>
      </c>
      <c r="Q7" s="60">
        <v>5.6754491417431501</v>
      </c>
      <c r="R7" s="60">
        <v>1.33046775012007E-2</v>
      </c>
      <c r="S7" s="60">
        <v>5.7187624569102304</v>
      </c>
      <c r="T7" s="60">
        <v>5.6705582090298403</v>
      </c>
      <c r="U7" s="69">
        <v>5.6887538192443499</v>
      </c>
      <c r="V7" s="69">
        <v>8.2987500000001296E-2</v>
      </c>
    </row>
    <row r="8" spans="1:22" ht="12.75" thickBot="1">
      <c r="A8" s="73">
        <v>5</v>
      </c>
      <c r="B8" s="60">
        <v>7.0779284999999996</v>
      </c>
      <c r="C8" s="60">
        <v>4.5352249999998297E-2</v>
      </c>
      <c r="D8" s="60">
        <v>9.5810749999999195E-2</v>
      </c>
      <c r="E8" s="60">
        <v>20</v>
      </c>
      <c r="F8" s="60">
        <v>4.5352249999998297E-2</v>
      </c>
      <c r="G8" s="60">
        <v>0.113380624999996</v>
      </c>
      <c r="H8" s="85">
        <v>0.76288828676966802</v>
      </c>
      <c r="I8" s="85">
        <v>0.75</v>
      </c>
      <c r="J8" s="85">
        <v>0.05</v>
      </c>
      <c r="K8" s="85">
        <v>0.54492020483547698</v>
      </c>
      <c r="L8" s="60" t="s">
        <v>86</v>
      </c>
      <c r="M8" s="60">
        <v>7.0975304996606896</v>
      </c>
      <c r="N8" s="60">
        <v>5.6900424160476498E-2</v>
      </c>
      <c r="O8" s="60">
        <v>0.16951840498316401</v>
      </c>
      <c r="P8" s="60">
        <v>1.9601999660693498E-2</v>
      </c>
      <c r="Q8" s="60">
        <v>7.0968741125200703</v>
      </c>
      <c r="R8" s="60">
        <v>6.5638714062021797E-4</v>
      </c>
      <c r="S8" s="60">
        <v>7.1251416876642404</v>
      </c>
      <c r="T8" s="60">
        <v>7.0931404751808902</v>
      </c>
      <c r="U8" s="69">
        <v>7.0975304996606896</v>
      </c>
      <c r="V8" s="69">
        <v>0.113380624999996</v>
      </c>
    </row>
    <row r="9" spans="1:22" ht="12.75" thickBot="1">
      <c r="A9" s="73">
        <v>6</v>
      </c>
      <c r="B9" s="60">
        <v>8.3173110000000001</v>
      </c>
      <c r="C9" s="60">
        <v>2.9761749999999601E-2</v>
      </c>
      <c r="D9" s="60">
        <v>5.4924124999999401E-2</v>
      </c>
      <c r="E9" s="60">
        <v>20</v>
      </c>
      <c r="F9" s="60">
        <v>2.9761749999999601E-2</v>
      </c>
      <c r="G9" s="60">
        <v>7.4404374999998996E-2</v>
      </c>
      <c r="H9" s="85">
        <v>0.80325695981220602</v>
      </c>
      <c r="I9" s="85">
        <v>0.8</v>
      </c>
      <c r="J9" s="85">
        <v>0.2</v>
      </c>
      <c r="K9" s="85">
        <v>0.57375497129443298</v>
      </c>
      <c r="L9" s="60" t="s">
        <v>86</v>
      </c>
      <c r="M9" s="60">
        <v>8.3411814257107899</v>
      </c>
      <c r="N9" s="60">
        <v>6.8318890282102099E-2</v>
      </c>
      <c r="O9" s="60">
        <v>0.14488657648125899</v>
      </c>
      <c r="P9" s="60">
        <v>2.3870425710789799E-2</v>
      </c>
      <c r="Q9" s="60">
        <v>8.3393192071814699</v>
      </c>
      <c r="R9" s="60">
        <v>1.8622185293235599E-3</v>
      </c>
      <c r="S9" s="60">
        <v>8.3569209257344692</v>
      </c>
      <c r="T9" s="60">
        <v>8.3372206688164603</v>
      </c>
      <c r="U9" s="69">
        <v>8.3411814257107899</v>
      </c>
      <c r="V9" s="69">
        <v>7.4404374999998996E-2</v>
      </c>
    </row>
    <row r="10" spans="1:22" ht="12.75" thickBot="1">
      <c r="A10" s="73">
        <v>7</v>
      </c>
      <c r="B10" s="60">
        <v>9.5746210000000005</v>
      </c>
      <c r="C10" s="60">
        <v>2.4867500000000001E-2</v>
      </c>
      <c r="D10" s="60">
        <v>4.9367750000000002E-2</v>
      </c>
      <c r="E10" s="60">
        <v>20</v>
      </c>
      <c r="F10" s="60">
        <v>2.4867500000000001E-2</v>
      </c>
      <c r="G10" s="60">
        <v>6.2168750000000099E-2</v>
      </c>
      <c r="H10" s="85">
        <v>0.77644028615960403</v>
      </c>
      <c r="I10" s="85">
        <v>0.75</v>
      </c>
      <c r="J10" s="85">
        <v>0.1</v>
      </c>
      <c r="K10" s="85">
        <v>0.55460020439971702</v>
      </c>
      <c r="L10" s="60" t="s">
        <v>86</v>
      </c>
      <c r="M10" s="60">
        <v>9.5839365288527993</v>
      </c>
      <c r="N10" s="60">
        <v>4.0465240503165398E-2</v>
      </c>
      <c r="O10" s="60">
        <v>0.15291390331955901</v>
      </c>
      <c r="P10" s="60">
        <v>9.3155288527988506E-3</v>
      </c>
      <c r="Q10" s="60">
        <v>9.5846726968805704</v>
      </c>
      <c r="R10" s="60">
        <v>-7.3616802776754796E-4</v>
      </c>
      <c r="S10" s="60">
        <v>9.6092060184508998</v>
      </c>
      <c r="T10" s="60">
        <v>9.5809043946509398</v>
      </c>
      <c r="U10" s="69">
        <v>9.5839365288527993</v>
      </c>
      <c r="V10" s="69">
        <v>6.2168750000000099E-2</v>
      </c>
    </row>
    <row r="11" spans="1:22" ht="12.75" thickBot="1">
      <c r="A11" s="73">
        <v>8</v>
      </c>
      <c r="B11" s="60">
        <v>12.327937</v>
      </c>
      <c r="C11" s="60">
        <v>0.12523599999999899</v>
      </c>
      <c r="D11" s="60">
        <v>0.24881500000000001</v>
      </c>
      <c r="E11" s="60">
        <v>20</v>
      </c>
      <c r="F11" s="60">
        <v>0.12523599999999899</v>
      </c>
      <c r="G11" s="60">
        <v>0.31308999999999798</v>
      </c>
      <c r="H11" s="85">
        <v>1</v>
      </c>
      <c r="I11" s="85">
        <v>1</v>
      </c>
      <c r="J11" s="85">
        <v>0</v>
      </c>
      <c r="K11" s="85">
        <v>0.71428571428571397</v>
      </c>
      <c r="L11" s="60" t="s">
        <v>87</v>
      </c>
      <c r="M11" s="60">
        <v>12.368206414692001</v>
      </c>
      <c r="N11" s="60">
        <v>0.166057391397162</v>
      </c>
      <c r="O11" s="60">
        <v>0.20706919703880999</v>
      </c>
      <c r="P11" s="60">
        <v>4.0269414691978901E-2</v>
      </c>
      <c r="Q11" s="60">
        <v>12.375129669085799</v>
      </c>
      <c r="R11" s="60">
        <v>-6.9232543938006997E-3</v>
      </c>
      <c r="S11" s="60">
        <v>12.374663051008</v>
      </c>
      <c r="T11" s="60">
        <v>12.376118208147201</v>
      </c>
      <c r="U11" s="69">
        <v>12.368206414692001</v>
      </c>
      <c r="V11" s="69">
        <v>0.31308999999999798</v>
      </c>
    </row>
    <row r="12" spans="1:22" ht="12.75" thickBot="1">
      <c r="A12" s="73">
        <v>9</v>
      </c>
      <c r="B12" s="60">
        <v>13.648125</v>
      </c>
      <c r="C12" s="60">
        <v>2.6534250000001001E-2</v>
      </c>
      <c r="D12" s="60">
        <v>7.3643000000000597E-2</v>
      </c>
      <c r="E12" s="60">
        <v>20</v>
      </c>
      <c r="F12" s="60">
        <v>2.6534250000001001E-2</v>
      </c>
      <c r="G12" s="60">
        <v>6.6335625000002493E-2</v>
      </c>
      <c r="H12" s="85">
        <v>0.80302416151287803</v>
      </c>
      <c r="I12" s="85">
        <v>0.8</v>
      </c>
      <c r="J12" s="85">
        <v>0.05</v>
      </c>
      <c r="K12" s="85">
        <v>0.57358868679491304</v>
      </c>
      <c r="L12" s="60" t="s">
        <v>86</v>
      </c>
      <c r="M12" s="60">
        <v>13.680665692348001</v>
      </c>
      <c r="N12" s="60">
        <v>9.2447471267335796E-2</v>
      </c>
      <c r="O12" s="60">
        <v>0.11869027424431899</v>
      </c>
      <c r="P12" s="60">
        <v>3.2540692347996697E-2</v>
      </c>
      <c r="Q12" s="60">
        <v>13.6694458883715</v>
      </c>
      <c r="R12" s="60">
        <v>1.1219803976478799E-2</v>
      </c>
      <c r="S12" s="60">
        <v>13.6667814661661</v>
      </c>
      <c r="T12" s="60">
        <v>13.6718918358845</v>
      </c>
      <c r="U12" s="69">
        <v>13.680665692348001</v>
      </c>
      <c r="V12" s="69">
        <v>6.6335625000002493E-2</v>
      </c>
    </row>
    <row r="13" spans="1:22" ht="12.75" thickBot="1">
      <c r="A13" s="73">
        <v>10</v>
      </c>
      <c r="B13" s="60">
        <v>15.1230665</v>
      </c>
      <c r="C13" s="60">
        <v>2.58760000000011E-2</v>
      </c>
      <c r="D13" s="60">
        <v>5.4248250000000602E-2</v>
      </c>
      <c r="E13" s="60">
        <v>20</v>
      </c>
      <c r="F13" s="60">
        <v>2.58760000000011E-2</v>
      </c>
      <c r="G13" s="60">
        <v>6.4690000000002801E-2</v>
      </c>
      <c r="H13" s="85">
        <v>0.72960898080798897</v>
      </c>
      <c r="I13" s="85">
        <v>0.7</v>
      </c>
      <c r="J13" s="85">
        <v>0.05</v>
      </c>
      <c r="K13" s="85">
        <v>0.52114927200570604</v>
      </c>
      <c r="L13" s="60" t="s">
        <v>86</v>
      </c>
      <c r="M13" s="60">
        <v>15.150197976715701</v>
      </c>
      <c r="N13" s="60">
        <v>7.4007405369405102E-2</v>
      </c>
      <c r="O13" s="60">
        <v>0.111950276835036</v>
      </c>
      <c r="P13" s="60">
        <v>2.7131476715702301E-2</v>
      </c>
      <c r="Q13" s="60">
        <v>15.139703748139601</v>
      </c>
      <c r="R13" s="60">
        <v>1.04942285760838E-2</v>
      </c>
      <c r="S13" s="60">
        <v>15.163125396783601</v>
      </c>
      <c r="T13" s="60">
        <v>15.1284428035012</v>
      </c>
      <c r="U13" s="69">
        <v>15.150197976715701</v>
      </c>
      <c r="V13" s="69">
        <v>6.4690000000002801E-2</v>
      </c>
    </row>
    <row r="14" spans="1:22" ht="12.75" thickBot="1">
      <c r="A14" s="73">
        <v>11</v>
      </c>
      <c r="B14" s="60">
        <v>16.36486</v>
      </c>
      <c r="C14" s="60">
        <v>2.2188249999999202E-2</v>
      </c>
      <c r="D14" s="60">
        <v>4.2174124999995399E-2</v>
      </c>
      <c r="E14" s="60">
        <v>20</v>
      </c>
      <c r="F14" s="60">
        <v>2.2188249999999202E-2</v>
      </c>
      <c r="G14" s="60">
        <v>5.5470624999998101E-2</v>
      </c>
      <c r="H14" s="85">
        <v>0.86905946067384998</v>
      </c>
      <c r="I14" s="85">
        <v>0.85</v>
      </c>
      <c r="J14" s="85">
        <v>0.05</v>
      </c>
      <c r="K14" s="85">
        <v>0.62075675762417803</v>
      </c>
      <c r="L14" s="60" t="s">
        <v>86</v>
      </c>
      <c r="M14" s="60">
        <v>16.401699465568299</v>
      </c>
      <c r="N14" s="60">
        <v>6.3346080241343E-2</v>
      </c>
      <c r="O14" s="60">
        <v>0.111573208658104</v>
      </c>
      <c r="P14" s="60">
        <v>3.6839465568270703E-2</v>
      </c>
      <c r="Q14" s="60">
        <v>16.386000278334102</v>
      </c>
      <c r="R14" s="60">
        <v>1.5699187234158501E-2</v>
      </c>
      <c r="S14" s="60">
        <v>16.390402129774898</v>
      </c>
      <c r="T14" s="60">
        <v>16.383565961122901</v>
      </c>
      <c r="U14" s="69">
        <v>16.401699465568299</v>
      </c>
      <c r="V14" s="69">
        <v>5.5470624999998101E-2</v>
      </c>
    </row>
    <row r="15" spans="1:22" ht="12.75" thickBot="1">
      <c r="A15" s="73">
        <v>12</v>
      </c>
      <c r="B15" s="60">
        <v>17.643683500000002</v>
      </c>
      <c r="C15" s="60">
        <v>2.00715000000002E-2</v>
      </c>
      <c r="D15" s="60">
        <v>4.0986874999998001E-2</v>
      </c>
      <c r="E15" s="60">
        <v>20</v>
      </c>
      <c r="F15" s="60">
        <v>2.00715000000002E-2</v>
      </c>
      <c r="G15" s="60">
        <v>5.0178750000000598E-2</v>
      </c>
      <c r="H15" s="85">
        <v>0.76771740020465995</v>
      </c>
      <c r="I15" s="85">
        <v>0.75</v>
      </c>
      <c r="J15" s="85">
        <v>0.05</v>
      </c>
      <c r="K15" s="85">
        <v>0.54836957157475696</v>
      </c>
      <c r="L15" s="60" t="s">
        <v>86</v>
      </c>
      <c r="M15" s="60">
        <v>17.670066334169199</v>
      </c>
      <c r="N15" s="60">
        <v>4.6018471267336797E-2</v>
      </c>
      <c r="O15" s="60">
        <v>8.9647512838540902E-2</v>
      </c>
      <c r="P15" s="60">
        <v>2.6382834169222501E-2</v>
      </c>
      <c r="Q15" s="60">
        <v>17.663770963710999</v>
      </c>
      <c r="R15" s="60">
        <v>6.29537045822204E-3</v>
      </c>
      <c r="S15" s="60">
        <v>17.671781388384499</v>
      </c>
      <c r="T15" s="60">
        <v>17.6598894522356</v>
      </c>
      <c r="U15" s="69">
        <v>17.670066334169199</v>
      </c>
      <c r="V15" s="69">
        <v>5.0178750000000598E-2</v>
      </c>
    </row>
    <row r="16" spans="1:22" ht="12.75" thickBot="1">
      <c r="A16" s="73">
        <v>13</v>
      </c>
      <c r="B16" s="60">
        <v>18.943350500000001</v>
      </c>
      <c r="C16" s="60">
        <v>3.09662499999988E-2</v>
      </c>
      <c r="D16" s="60">
        <v>0.114788875000002</v>
      </c>
      <c r="E16" s="60">
        <v>20</v>
      </c>
      <c r="F16" s="60">
        <v>3.09662499999988E-2</v>
      </c>
      <c r="G16" s="60">
        <v>7.7415624999996893E-2</v>
      </c>
      <c r="H16" s="85">
        <v>0.63368672049505304</v>
      </c>
      <c r="I16" s="85">
        <v>0.6</v>
      </c>
      <c r="J16" s="85">
        <v>0.25</v>
      </c>
      <c r="K16" s="85">
        <v>0.45263337178218099</v>
      </c>
      <c r="L16" s="60" t="s">
        <v>88</v>
      </c>
      <c r="M16" s="60">
        <v>18.965383746784699</v>
      </c>
      <c r="N16" s="60">
        <v>8.3226235469801693E-2</v>
      </c>
      <c r="O16" s="60">
        <v>0.19607303088325601</v>
      </c>
      <c r="P16" s="60">
        <v>2.2033246784694399E-2</v>
      </c>
      <c r="Q16" s="60">
        <v>18.9723892584054</v>
      </c>
      <c r="R16" s="60">
        <v>-7.00551162071861E-3</v>
      </c>
      <c r="S16" s="60">
        <v>18.9696715691577</v>
      </c>
      <c r="T16" s="60">
        <v>18.9752326872966</v>
      </c>
      <c r="U16" s="69">
        <v>18.965383746784699</v>
      </c>
      <c r="V16" s="69">
        <v>7.7415624999996893E-2</v>
      </c>
    </row>
    <row r="17" spans="1:22" ht="12.75" thickBot="1">
      <c r="A17" s="73">
        <v>14</v>
      </c>
      <c r="B17" s="60">
        <v>20.243604999999999</v>
      </c>
      <c r="C17" s="60">
        <v>1.40157500000022E-2</v>
      </c>
      <c r="D17" s="60">
        <v>2.7766624999998199E-2</v>
      </c>
      <c r="E17" s="60">
        <v>20</v>
      </c>
      <c r="F17" s="60">
        <v>1.40157500000022E-2</v>
      </c>
      <c r="G17" s="60">
        <v>3.50393750000055E-2</v>
      </c>
      <c r="H17" s="85">
        <v>0.71568234480160997</v>
      </c>
      <c r="I17" s="85">
        <v>0.7</v>
      </c>
      <c r="J17" s="85">
        <v>0.2</v>
      </c>
      <c r="K17" s="85">
        <v>0.51120167485829304</v>
      </c>
      <c r="L17" s="60" t="s">
        <v>86</v>
      </c>
      <c r="M17" s="60">
        <v>20.262619068349501</v>
      </c>
      <c r="N17" s="60">
        <v>7.2525390282101698E-2</v>
      </c>
      <c r="O17" s="60">
        <v>0.100269766051568</v>
      </c>
      <c r="P17" s="60">
        <v>1.90140683494988E-2</v>
      </c>
      <c r="Q17" s="60">
        <v>20.267123710578201</v>
      </c>
      <c r="R17" s="60">
        <v>-4.5046422286958397E-3</v>
      </c>
      <c r="S17" s="60">
        <v>20.272041939916502</v>
      </c>
      <c r="T17" s="60">
        <v>20.266001688949999</v>
      </c>
      <c r="U17" s="69">
        <v>20.262619068349501</v>
      </c>
      <c r="V17" s="69">
        <v>3.50393750000055E-2</v>
      </c>
    </row>
    <row r="18" spans="1:22" ht="12.75" thickBot="1">
      <c r="A18" s="73">
        <v>15</v>
      </c>
      <c r="B18" s="60">
        <v>21.540012999999998</v>
      </c>
      <c r="C18" s="60">
        <v>1.6580500000001702E-2</v>
      </c>
      <c r="D18" s="60">
        <v>3.3280250000004202E-2</v>
      </c>
      <c r="E18" s="60">
        <v>20</v>
      </c>
      <c r="F18" s="60">
        <v>1.6580500000001702E-2</v>
      </c>
      <c r="G18" s="60">
        <v>4.14512500000042E-2</v>
      </c>
      <c r="H18" s="85">
        <v>0.73458192630080699</v>
      </c>
      <c r="I18" s="85">
        <v>0.7</v>
      </c>
      <c r="J18" s="85">
        <v>0.1</v>
      </c>
      <c r="K18" s="85">
        <v>0.52470137592914801</v>
      </c>
      <c r="L18" s="60" t="s">
        <v>86</v>
      </c>
      <c r="M18" s="60">
        <v>21.567247815232498</v>
      </c>
      <c r="N18" s="60">
        <v>4.9522575687659998E-2</v>
      </c>
      <c r="O18" s="60">
        <v>9.34410694849067E-2</v>
      </c>
      <c r="P18" s="60">
        <v>2.7234815232493E-2</v>
      </c>
      <c r="Q18" s="60">
        <v>21.556446816145101</v>
      </c>
      <c r="R18" s="60">
        <v>1.0800999087429399E-2</v>
      </c>
      <c r="S18" s="60">
        <v>21.569823884971498</v>
      </c>
      <c r="T18" s="60">
        <v>21.547470793108399</v>
      </c>
      <c r="U18" s="69">
        <v>21.567247815232498</v>
      </c>
      <c r="V18" s="69">
        <v>4.14512500000042E-2</v>
      </c>
    </row>
    <row r="19" spans="1:22" ht="12.75" thickBot="1">
      <c r="A19" s="73">
        <v>16</v>
      </c>
      <c r="B19" s="60">
        <v>22.875431500000001</v>
      </c>
      <c r="C19" s="60">
        <v>3.1961500000001301E-2</v>
      </c>
      <c r="D19" s="60">
        <v>0.10750549999999801</v>
      </c>
      <c r="E19" s="60">
        <v>20</v>
      </c>
      <c r="F19" s="60">
        <v>3.1961500000001301E-2</v>
      </c>
      <c r="G19" s="60">
        <v>7.9903750000003299E-2</v>
      </c>
      <c r="H19" s="85">
        <v>0.70460599890734099</v>
      </c>
      <c r="I19" s="85">
        <v>0.65</v>
      </c>
      <c r="J19" s="85">
        <v>0.05</v>
      </c>
      <c r="K19" s="85">
        <v>0.50328999921952899</v>
      </c>
      <c r="L19" s="60" t="s">
        <v>86</v>
      </c>
      <c r="M19" s="60">
        <v>22.882399691107199</v>
      </c>
      <c r="N19" s="60">
        <v>8.4840103277861206E-2</v>
      </c>
      <c r="O19" s="60">
        <v>0.165777708855498</v>
      </c>
      <c r="P19" s="60">
        <v>6.9681911072443396E-3</v>
      </c>
      <c r="Q19" s="60">
        <v>22.882667016514599</v>
      </c>
      <c r="R19" s="60">
        <v>-2.6732540737128802E-4</v>
      </c>
      <c r="S19" s="60">
        <v>22.893306366168101</v>
      </c>
      <c r="T19" s="60">
        <v>22.868896599016601</v>
      </c>
      <c r="U19" s="69">
        <v>22.882399691107199</v>
      </c>
      <c r="V19" s="69">
        <v>7.9903750000003299E-2</v>
      </c>
    </row>
    <row r="20" spans="1:22" ht="12.75" thickBot="1">
      <c r="A20" s="82"/>
      <c r="B20" s="52"/>
      <c r="C20" s="52"/>
      <c r="D20" s="52"/>
      <c r="E20" s="51"/>
      <c r="F20" s="52"/>
      <c r="G20" s="52"/>
      <c r="H20" s="53"/>
      <c r="I20" s="53"/>
      <c r="J20" s="53"/>
      <c r="K20" s="53"/>
      <c r="L20" s="51"/>
      <c r="M20" s="52"/>
      <c r="N20" s="52"/>
      <c r="O20" s="52"/>
      <c r="P20" s="52"/>
      <c r="Q20" s="52"/>
      <c r="R20" s="52"/>
      <c r="S20" s="52"/>
      <c r="T20" s="52"/>
      <c r="U20" s="50"/>
      <c r="V20" s="50"/>
    </row>
    <row r="21" spans="1:22" ht="12.75" thickBot="1">
      <c r="A21" s="239" t="s">
        <v>121</v>
      </c>
      <c r="B21" s="239"/>
      <c r="C21" s="239"/>
      <c r="D21" s="239"/>
      <c r="E21" s="239"/>
      <c r="F21" s="239"/>
      <c r="G21" s="239"/>
      <c r="H21" s="239"/>
      <c r="I21" s="239"/>
      <c r="J21" s="239"/>
      <c r="K21" s="239"/>
      <c r="L21" s="239"/>
      <c r="M21" s="239"/>
      <c r="N21" s="239"/>
      <c r="O21" s="239"/>
      <c r="P21" s="239"/>
      <c r="Q21" s="239"/>
      <c r="R21" s="239"/>
      <c r="S21" s="239"/>
      <c r="T21" s="239"/>
      <c r="U21" s="239"/>
      <c r="V21" s="239"/>
    </row>
    <row r="22" spans="1:22" ht="12.75" thickBot="1">
      <c r="A22" s="238" t="s">
        <v>0</v>
      </c>
      <c r="B22" s="237" t="s">
        <v>83</v>
      </c>
      <c r="C22" s="237"/>
      <c r="D22" s="237"/>
      <c r="E22" s="237"/>
      <c r="F22" s="237"/>
      <c r="G22" s="237"/>
      <c r="H22" s="237"/>
      <c r="I22" s="237"/>
      <c r="J22" s="237"/>
      <c r="K22" s="237"/>
      <c r="L22" s="237"/>
      <c r="M22" s="237" t="s">
        <v>84</v>
      </c>
      <c r="N22" s="237"/>
      <c r="O22" s="237"/>
      <c r="P22" s="237"/>
      <c r="Q22" s="237"/>
      <c r="R22" s="237"/>
      <c r="S22" s="237" t="s">
        <v>85</v>
      </c>
      <c r="T22" s="237"/>
      <c r="U22" s="240" t="s">
        <v>125</v>
      </c>
      <c r="V22" s="240" t="s">
        <v>82</v>
      </c>
    </row>
    <row r="23" spans="1:22" ht="24.75" thickBot="1">
      <c r="A23" s="238"/>
      <c r="B23" s="217" t="s">
        <v>62</v>
      </c>
      <c r="C23" s="217" t="s">
        <v>63</v>
      </c>
      <c r="D23" s="217" t="s">
        <v>64</v>
      </c>
      <c r="E23" s="217" t="s">
        <v>65</v>
      </c>
      <c r="F23" s="217" t="s">
        <v>66</v>
      </c>
      <c r="G23" s="217" t="s">
        <v>67</v>
      </c>
      <c r="H23" s="218" t="s">
        <v>68</v>
      </c>
      <c r="I23" s="218" t="s">
        <v>69</v>
      </c>
      <c r="J23" s="218" t="s">
        <v>70</v>
      </c>
      <c r="K23" s="218" t="s">
        <v>71</v>
      </c>
      <c r="L23" s="217" t="s">
        <v>72</v>
      </c>
      <c r="M23" s="217" t="s">
        <v>73</v>
      </c>
      <c r="N23" s="217" t="s">
        <v>74</v>
      </c>
      <c r="O23" s="217" t="s">
        <v>75</v>
      </c>
      <c r="P23" s="217" t="s">
        <v>76</v>
      </c>
      <c r="Q23" s="217" t="s">
        <v>77</v>
      </c>
      <c r="R23" s="217" t="s">
        <v>78</v>
      </c>
      <c r="S23" s="217" t="s">
        <v>79</v>
      </c>
      <c r="T23" s="217" t="s">
        <v>80</v>
      </c>
      <c r="U23" s="240"/>
      <c r="V23" s="240"/>
    </row>
    <row r="24" spans="1:22" ht="12.75" thickBot="1">
      <c r="A24" s="74">
        <v>1</v>
      </c>
      <c r="B24" s="59">
        <v>1.2426379999999999</v>
      </c>
      <c r="C24" s="59">
        <v>2.0446999999999001E-2</v>
      </c>
      <c r="D24" s="59">
        <v>3.7486124999998698E-2</v>
      </c>
      <c r="E24" s="59">
        <v>20</v>
      </c>
      <c r="F24" s="59">
        <v>2.0446999999999001E-2</v>
      </c>
      <c r="G24" s="59">
        <v>5.1117499999997498E-2</v>
      </c>
      <c r="H24" s="84">
        <v>0.75032225405913899</v>
      </c>
      <c r="I24" s="84">
        <v>0.7</v>
      </c>
      <c r="J24" s="84">
        <v>0.25</v>
      </c>
      <c r="K24" s="84">
        <v>0.53594446718509903</v>
      </c>
      <c r="L24" s="59" t="s">
        <v>86</v>
      </c>
      <c r="M24" s="59">
        <v>1.2756386986353201</v>
      </c>
      <c r="N24" s="59">
        <v>7.5423515087303494E-2</v>
      </c>
      <c r="O24" s="59">
        <v>0.17073026274971201</v>
      </c>
      <c r="P24" s="59">
        <v>3.3000698635322602E-2</v>
      </c>
      <c r="Q24" s="59">
        <v>1.2728540876266801</v>
      </c>
      <c r="R24" s="59">
        <v>2.7846110086449101E-3</v>
      </c>
      <c r="S24" s="59">
        <v>1.27971490712589</v>
      </c>
      <c r="T24" s="59">
        <v>1.25407614706458</v>
      </c>
      <c r="U24" s="69">
        <v>1.2756386986353201</v>
      </c>
      <c r="V24" s="69">
        <v>5.1117499999997498E-2</v>
      </c>
    </row>
    <row r="25" spans="1:22" ht="12.75" thickBot="1">
      <c r="A25" s="73">
        <v>2</v>
      </c>
      <c r="B25" s="60">
        <v>3.8517920000000001</v>
      </c>
      <c r="C25" s="60">
        <v>4.4275000000000703E-2</v>
      </c>
      <c r="D25" s="60">
        <v>8.8673999999999295E-2</v>
      </c>
      <c r="E25" s="60">
        <v>20</v>
      </c>
      <c r="F25" s="60">
        <v>4.4275000000000703E-2</v>
      </c>
      <c r="G25" s="60">
        <v>0.11068750000000201</v>
      </c>
      <c r="H25" s="85">
        <v>0.88905266573682695</v>
      </c>
      <c r="I25" s="85">
        <v>0.9</v>
      </c>
      <c r="J25" s="85">
        <v>0.05</v>
      </c>
      <c r="K25" s="85">
        <v>0.63503761838344797</v>
      </c>
      <c r="L25" s="60" t="s">
        <v>86</v>
      </c>
      <c r="M25" s="60">
        <v>3.9123578000713799</v>
      </c>
      <c r="N25" s="60">
        <v>9.2372622946251495E-2</v>
      </c>
      <c r="O25" s="60">
        <v>0.15356611220924099</v>
      </c>
      <c r="P25" s="60">
        <v>6.0565800071383798E-2</v>
      </c>
      <c r="Q25" s="60">
        <v>3.8915824997509101</v>
      </c>
      <c r="R25" s="60">
        <v>2.0775300320479102E-2</v>
      </c>
      <c r="S25" s="60">
        <v>3.89110206040045</v>
      </c>
      <c r="T25" s="60">
        <v>3.8920853260811801</v>
      </c>
      <c r="U25" s="69">
        <v>3.9123578000713799</v>
      </c>
      <c r="V25" s="69">
        <v>0.11068750000000201</v>
      </c>
    </row>
    <row r="26" spans="1:22" ht="12.75" thickBot="1">
      <c r="A26" s="73">
        <v>3</v>
      </c>
      <c r="B26" s="60">
        <v>6.5702619999999996</v>
      </c>
      <c r="C26" s="60">
        <v>2.1176750000006201E-2</v>
      </c>
      <c r="D26" s="60">
        <v>4.2851500000002901E-2</v>
      </c>
      <c r="E26" s="60">
        <v>20</v>
      </c>
      <c r="F26" s="60">
        <v>2.1176750000006201E-2</v>
      </c>
      <c r="G26" s="60">
        <v>5.2941875000015501E-2</v>
      </c>
      <c r="H26" s="85">
        <v>0.79054553688978701</v>
      </c>
      <c r="I26" s="85">
        <v>0.75</v>
      </c>
      <c r="J26" s="85">
        <v>0.05</v>
      </c>
      <c r="K26" s="85">
        <v>0.56467538349270496</v>
      </c>
      <c r="L26" s="60" t="s">
        <v>86</v>
      </c>
      <c r="M26" s="60">
        <v>6.6074046386588101</v>
      </c>
      <c r="N26" s="60">
        <v>7.5455039153354803E-2</v>
      </c>
      <c r="O26" s="60">
        <v>0.12603330880286601</v>
      </c>
      <c r="P26" s="60">
        <v>3.7142638658813197E-2</v>
      </c>
      <c r="Q26" s="60">
        <v>6.6123357138066199</v>
      </c>
      <c r="R26" s="60">
        <v>-4.9310751478062204E-3</v>
      </c>
      <c r="S26" s="60">
        <v>6.6154362225389196</v>
      </c>
      <c r="T26" s="60">
        <v>6.5851691027810997</v>
      </c>
      <c r="U26" s="69">
        <v>6.6074046386588101</v>
      </c>
      <c r="V26" s="69">
        <v>5.2941875000015501E-2</v>
      </c>
    </row>
    <row r="27" spans="1:22" ht="12.75" thickBot="1">
      <c r="A27" s="73">
        <v>4</v>
      </c>
      <c r="B27" s="60">
        <v>9.154026</v>
      </c>
      <c r="C27" s="60">
        <v>7.1979000000000695E-2</v>
      </c>
      <c r="D27" s="60">
        <v>0.13693662499999901</v>
      </c>
      <c r="E27" s="60">
        <v>20</v>
      </c>
      <c r="F27" s="60">
        <v>7.1979000000000695E-2</v>
      </c>
      <c r="G27" s="60">
        <v>0.17994750000000201</v>
      </c>
      <c r="H27" s="85">
        <v>0.75646043712656996</v>
      </c>
      <c r="I27" s="85">
        <v>0.75</v>
      </c>
      <c r="J27" s="85">
        <v>0.05</v>
      </c>
      <c r="K27" s="85">
        <v>0.54032888366183596</v>
      </c>
      <c r="L27" s="60" t="s">
        <v>86</v>
      </c>
      <c r="M27" s="60">
        <v>9.2071446475716598</v>
      </c>
      <c r="N27" s="60">
        <v>0.146393112045311</v>
      </c>
      <c r="O27" s="60">
        <v>0.23234075654854899</v>
      </c>
      <c r="P27" s="60">
        <v>5.3118647571661598E-2</v>
      </c>
      <c r="Q27" s="60">
        <v>9.1979725190211106</v>
      </c>
      <c r="R27" s="60">
        <v>9.1721285505528306E-3</v>
      </c>
      <c r="S27" s="60">
        <v>9.1772193279203904</v>
      </c>
      <c r="T27" s="60">
        <v>9.2001439837330707</v>
      </c>
      <c r="U27" s="69">
        <v>9.2071446475716598</v>
      </c>
      <c r="V27" s="69">
        <v>0.17994750000000201</v>
      </c>
    </row>
    <row r="28" spans="1:22" ht="12.75" thickBot="1">
      <c r="A28" s="73">
        <v>5</v>
      </c>
      <c r="B28" s="60">
        <v>11.597098000000001</v>
      </c>
      <c r="C28" s="60">
        <v>3.76592500000026E-2</v>
      </c>
      <c r="D28" s="60">
        <v>0.16094149999999999</v>
      </c>
      <c r="E28" s="60">
        <v>20</v>
      </c>
      <c r="F28" s="60">
        <v>3.76592500000026E-2</v>
      </c>
      <c r="G28" s="60">
        <v>9.4148125000006494E-2</v>
      </c>
      <c r="H28" s="85">
        <v>0.649140637903733</v>
      </c>
      <c r="I28" s="85">
        <v>0.6</v>
      </c>
      <c r="J28" s="85">
        <v>0.2</v>
      </c>
      <c r="K28" s="85">
        <v>0.46367188421695199</v>
      </c>
      <c r="L28" s="60" t="s">
        <v>88</v>
      </c>
      <c r="M28" s="60">
        <v>11.615877358092501</v>
      </c>
      <c r="N28" s="60">
        <v>0.11259290388835801</v>
      </c>
      <c r="O28" s="60">
        <v>0.23492104302150499</v>
      </c>
      <c r="P28" s="60">
        <v>1.8779358092540801E-2</v>
      </c>
      <c r="Q28" s="60">
        <v>11.6205440605208</v>
      </c>
      <c r="R28" s="60">
        <v>-4.6667024282616197E-3</v>
      </c>
      <c r="S28" s="60">
        <v>11.629864682791901</v>
      </c>
      <c r="T28" s="60">
        <v>11.607062053227899</v>
      </c>
      <c r="U28" s="69">
        <v>11.615877358092501</v>
      </c>
      <c r="V28" s="69">
        <v>9.4148125000006494E-2</v>
      </c>
    </row>
    <row r="29" spans="1:22" ht="12.75" thickBot="1">
      <c r="A29" s="82"/>
      <c r="B29" s="52"/>
      <c r="C29" s="52"/>
      <c r="D29" s="52"/>
      <c r="E29" s="51"/>
      <c r="F29" s="52"/>
      <c r="G29" s="52"/>
      <c r="H29" s="53"/>
      <c r="I29" s="53"/>
      <c r="J29" s="53"/>
      <c r="K29" s="53"/>
      <c r="L29" s="51"/>
      <c r="M29" s="52"/>
      <c r="N29" s="52"/>
      <c r="O29" s="52"/>
      <c r="P29" s="52"/>
      <c r="Q29" s="52"/>
      <c r="R29" s="52"/>
      <c r="S29" s="52"/>
      <c r="T29" s="52"/>
      <c r="U29" s="50"/>
      <c r="V29" s="50"/>
    </row>
    <row r="30" spans="1:22" ht="12.75" thickBot="1">
      <c r="A30" s="239" t="s">
        <v>122</v>
      </c>
      <c r="B30" s="239"/>
      <c r="C30" s="239"/>
      <c r="D30" s="239"/>
      <c r="E30" s="239"/>
      <c r="F30" s="239"/>
      <c r="G30" s="239"/>
      <c r="H30" s="239"/>
      <c r="I30" s="239"/>
      <c r="J30" s="239"/>
      <c r="K30" s="239"/>
      <c r="L30" s="239"/>
      <c r="M30" s="239"/>
      <c r="N30" s="239"/>
      <c r="O30" s="239"/>
      <c r="P30" s="239"/>
      <c r="Q30" s="239"/>
      <c r="R30" s="239"/>
      <c r="S30" s="239"/>
      <c r="T30" s="239"/>
      <c r="U30" s="239"/>
      <c r="V30" s="239"/>
    </row>
    <row r="31" spans="1:22" ht="12.75" thickBot="1">
      <c r="A31" s="238" t="s">
        <v>0</v>
      </c>
      <c r="B31" s="237" t="s">
        <v>83</v>
      </c>
      <c r="C31" s="237"/>
      <c r="D31" s="237"/>
      <c r="E31" s="237"/>
      <c r="F31" s="237"/>
      <c r="G31" s="237"/>
      <c r="H31" s="237"/>
      <c r="I31" s="237"/>
      <c r="J31" s="237"/>
      <c r="K31" s="237"/>
      <c r="L31" s="237"/>
      <c r="M31" s="237" t="s">
        <v>84</v>
      </c>
      <c r="N31" s="237"/>
      <c r="O31" s="237"/>
      <c r="P31" s="237"/>
      <c r="Q31" s="237"/>
      <c r="R31" s="237"/>
      <c r="S31" s="237" t="s">
        <v>85</v>
      </c>
      <c r="T31" s="237"/>
      <c r="U31" s="240" t="s">
        <v>125</v>
      </c>
      <c r="V31" s="240" t="s">
        <v>82</v>
      </c>
    </row>
    <row r="32" spans="1:22" ht="24.75" thickBot="1">
      <c r="A32" s="238"/>
      <c r="B32" s="217" t="s">
        <v>62</v>
      </c>
      <c r="C32" s="217" t="s">
        <v>63</v>
      </c>
      <c r="D32" s="217" t="s">
        <v>64</v>
      </c>
      <c r="E32" s="217" t="s">
        <v>65</v>
      </c>
      <c r="F32" s="217" t="s">
        <v>66</v>
      </c>
      <c r="G32" s="217" t="s">
        <v>67</v>
      </c>
      <c r="H32" s="218" t="s">
        <v>68</v>
      </c>
      <c r="I32" s="218" t="s">
        <v>69</v>
      </c>
      <c r="J32" s="218" t="s">
        <v>70</v>
      </c>
      <c r="K32" s="218" t="s">
        <v>71</v>
      </c>
      <c r="L32" s="217" t="s">
        <v>72</v>
      </c>
      <c r="M32" s="217" t="s">
        <v>73</v>
      </c>
      <c r="N32" s="217" t="s">
        <v>74</v>
      </c>
      <c r="O32" s="217" t="s">
        <v>75</v>
      </c>
      <c r="P32" s="217" t="s">
        <v>76</v>
      </c>
      <c r="Q32" s="217" t="s">
        <v>77</v>
      </c>
      <c r="R32" s="217" t="s">
        <v>78</v>
      </c>
      <c r="S32" s="217" t="s">
        <v>79</v>
      </c>
      <c r="T32" s="217" t="s">
        <v>80</v>
      </c>
      <c r="U32" s="240"/>
      <c r="V32" s="240"/>
    </row>
    <row r="33" spans="1:22" ht="12.75" thickBot="1">
      <c r="A33" s="74">
        <v>1</v>
      </c>
      <c r="B33" s="59">
        <v>1.134361</v>
      </c>
      <c r="C33" s="59">
        <v>7.3140999999998998E-2</v>
      </c>
      <c r="D33" s="59">
        <v>0.12748700000000099</v>
      </c>
      <c r="E33" s="59">
        <v>19</v>
      </c>
      <c r="F33" s="59">
        <v>7.3140999999998998E-2</v>
      </c>
      <c r="G33" s="59">
        <v>0.182852499999998</v>
      </c>
      <c r="H33" s="84">
        <v>0.95764727312111197</v>
      </c>
      <c r="I33" s="84">
        <v>0.94736842105263197</v>
      </c>
      <c r="J33" s="84">
        <v>0</v>
      </c>
      <c r="K33" s="84">
        <v>0.68403376651507997</v>
      </c>
      <c r="L33" s="59" t="s">
        <v>86</v>
      </c>
      <c r="M33" s="59">
        <v>1.1617892303602</v>
      </c>
      <c r="N33" s="59">
        <v>9.0029979850597006E-2</v>
      </c>
      <c r="O33" s="59">
        <v>0.14921008887239501</v>
      </c>
      <c r="P33" s="59">
        <v>2.7428230360203601E-2</v>
      </c>
      <c r="Q33" s="59">
        <v>1.1587610991481201</v>
      </c>
      <c r="R33" s="59">
        <v>3.0281312120816798E-3</v>
      </c>
      <c r="S33" s="59">
        <v>1.1808858541048901</v>
      </c>
      <c r="T33" s="59">
        <v>1.1386942147756101</v>
      </c>
      <c r="U33" s="69">
        <v>1.1617892303602</v>
      </c>
      <c r="V33" s="69">
        <v>0.182852499999998</v>
      </c>
    </row>
    <row r="34" spans="1:22" ht="12.75" thickBot="1">
      <c r="A34" s="73">
        <v>2</v>
      </c>
      <c r="B34" s="60">
        <v>2.4416000000000002</v>
      </c>
      <c r="C34" s="60">
        <v>2.42569999999982E-2</v>
      </c>
      <c r="D34" s="60">
        <v>4.19222499999998E-2</v>
      </c>
      <c r="E34" s="60">
        <v>20</v>
      </c>
      <c r="F34" s="60">
        <v>2.42569999999982E-2</v>
      </c>
      <c r="G34" s="60">
        <v>6.0642499999995499E-2</v>
      </c>
      <c r="H34" s="85">
        <v>0.88607373641025999</v>
      </c>
      <c r="I34" s="85">
        <v>0.85</v>
      </c>
      <c r="J34" s="85">
        <v>0</v>
      </c>
      <c r="K34" s="85">
        <v>0.63290981172161398</v>
      </c>
      <c r="L34" s="60" t="s">
        <v>86</v>
      </c>
      <c r="M34" s="60">
        <v>2.47044805454258</v>
      </c>
      <c r="N34" s="60">
        <v>6.4368375166949904E-2</v>
      </c>
      <c r="O34" s="60">
        <v>9.3278362642330304E-2</v>
      </c>
      <c r="P34" s="60">
        <v>2.88480545425784E-2</v>
      </c>
      <c r="Q34" s="60">
        <v>2.4603232968459401</v>
      </c>
      <c r="R34" s="60">
        <v>1.0124757696638099E-2</v>
      </c>
      <c r="S34" s="60">
        <v>2.4638598290462501</v>
      </c>
      <c r="T34" s="60">
        <v>2.4328825833910601</v>
      </c>
      <c r="U34" s="69">
        <v>2.47044805454258</v>
      </c>
      <c r="V34" s="69">
        <v>6.0642499999995499E-2</v>
      </c>
    </row>
    <row r="35" spans="1:22" ht="12.75" thickBot="1">
      <c r="A35" s="73">
        <v>3</v>
      </c>
      <c r="B35" s="60">
        <v>3.7837200000000002</v>
      </c>
      <c r="C35" s="60">
        <v>1.55332500000003E-2</v>
      </c>
      <c r="D35" s="60">
        <v>3.6294249999997898E-2</v>
      </c>
      <c r="E35" s="60">
        <v>20</v>
      </c>
      <c r="F35" s="60">
        <v>1.55332500000003E-2</v>
      </c>
      <c r="G35" s="60">
        <v>3.8833125000000697E-2</v>
      </c>
      <c r="H35" s="85">
        <v>0.70363652016388301</v>
      </c>
      <c r="I35" s="85">
        <v>0.7</v>
      </c>
      <c r="J35" s="85">
        <v>0.15</v>
      </c>
      <c r="K35" s="85">
        <v>0.502597514402773</v>
      </c>
      <c r="L35" s="60" t="s">
        <v>86</v>
      </c>
      <c r="M35" s="60">
        <v>3.8059519435565701</v>
      </c>
      <c r="N35" s="60">
        <v>8.4196811506721106E-2</v>
      </c>
      <c r="O35" s="60">
        <v>9.6369041666733199E-2</v>
      </c>
      <c r="P35" s="60">
        <v>2.2231943556567699E-2</v>
      </c>
      <c r="Q35" s="60">
        <v>3.8127298907009801</v>
      </c>
      <c r="R35" s="60">
        <v>-6.7779471444078298E-3</v>
      </c>
      <c r="S35" s="60">
        <v>3.8184314304531202</v>
      </c>
      <c r="T35" s="60">
        <v>3.7867374673824101</v>
      </c>
      <c r="U35" s="69">
        <v>3.8059519435565701</v>
      </c>
      <c r="V35" s="69">
        <v>3.8833125000000697E-2</v>
      </c>
    </row>
    <row r="36" spans="1:22" ht="12.75" thickBot="1">
      <c r="A36" s="73">
        <v>4</v>
      </c>
      <c r="B36" s="60">
        <v>4.9979209999999998</v>
      </c>
      <c r="C36" s="60">
        <v>2.3199250000001101E-2</v>
      </c>
      <c r="D36" s="60">
        <v>4.5785999999999702E-2</v>
      </c>
      <c r="E36" s="60">
        <v>20</v>
      </c>
      <c r="F36" s="60">
        <v>2.3199250000001101E-2</v>
      </c>
      <c r="G36" s="60">
        <v>5.7998125000002801E-2</v>
      </c>
      <c r="H36" s="85">
        <v>0.75032225405913899</v>
      </c>
      <c r="I36" s="85">
        <v>0.7</v>
      </c>
      <c r="J36" s="85">
        <v>0</v>
      </c>
      <c r="K36" s="85">
        <v>0.53594446718509903</v>
      </c>
      <c r="L36" s="60" t="s">
        <v>86</v>
      </c>
      <c r="M36" s="60">
        <v>5.0174881615147902</v>
      </c>
      <c r="N36" s="60">
        <v>7.6409088994817395E-2</v>
      </c>
      <c r="O36" s="60">
        <v>9.4550039523576296E-2</v>
      </c>
      <c r="P36" s="60">
        <v>1.95671615147885E-2</v>
      </c>
      <c r="Q36" s="60">
        <v>5.0172379703159198</v>
      </c>
      <c r="R36" s="60">
        <v>2.5019119887392799E-4</v>
      </c>
      <c r="S36" s="60">
        <v>5.0278896595158002</v>
      </c>
      <c r="T36" s="60">
        <v>4.9961883583044502</v>
      </c>
      <c r="U36" s="69">
        <v>5.0174881615147902</v>
      </c>
      <c r="V36" s="69">
        <v>5.7998125000002801E-2</v>
      </c>
    </row>
    <row r="37" spans="1:22" ht="12.75" thickBot="1">
      <c r="A37" s="73">
        <v>5</v>
      </c>
      <c r="B37" s="60">
        <v>6.3075095000000001</v>
      </c>
      <c r="C37" s="60">
        <v>2.36892500000008E-2</v>
      </c>
      <c r="D37" s="60">
        <v>4.5498875000000702E-2</v>
      </c>
      <c r="E37" s="60">
        <v>20</v>
      </c>
      <c r="F37" s="60">
        <v>2.36892500000008E-2</v>
      </c>
      <c r="G37" s="60">
        <v>5.9223125000001903E-2</v>
      </c>
      <c r="H37" s="85">
        <v>0.82711131639419799</v>
      </c>
      <c r="I37" s="85">
        <v>0.8</v>
      </c>
      <c r="J37" s="85">
        <v>0.1</v>
      </c>
      <c r="K37" s="85">
        <v>0.59079379742442695</v>
      </c>
      <c r="L37" s="60" t="s">
        <v>86</v>
      </c>
      <c r="M37" s="60">
        <v>6.3300391929751498</v>
      </c>
      <c r="N37" s="60">
        <v>5.88219712673363E-2</v>
      </c>
      <c r="O37" s="60">
        <v>0.14039816998681201</v>
      </c>
      <c r="P37" s="60">
        <v>2.25296929751462E-2</v>
      </c>
      <c r="Q37" s="60">
        <v>6.3246682447447</v>
      </c>
      <c r="R37" s="60">
        <v>5.3709482304506997E-3</v>
      </c>
      <c r="S37" s="60">
        <v>6.3216742425706203</v>
      </c>
      <c r="T37" s="60">
        <v>6.3274210425455104</v>
      </c>
      <c r="U37" s="69">
        <v>6.3300391929751498</v>
      </c>
      <c r="V37" s="69">
        <v>5.9223125000001903E-2</v>
      </c>
    </row>
    <row r="38" spans="1:22" ht="12.75" thickBot="1">
      <c r="A38" s="73">
        <v>6</v>
      </c>
      <c r="B38" s="60">
        <v>7.6930965000000002</v>
      </c>
      <c r="C38" s="60">
        <v>2.42482500000007E-2</v>
      </c>
      <c r="D38" s="60">
        <v>4.4956125000002303E-2</v>
      </c>
      <c r="E38" s="60">
        <v>16</v>
      </c>
      <c r="F38" s="60">
        <v>2.42482500000007E-2</v>
      </c>
      <c r="G38" s="60">
        <v>6.0620625000001899E-2</v>
      </c>
      <c r="H38" s="85">
        <v>0.868400243631265</v>
      </c>
      <c r="I38" s="85">
        <v>0.8125</v>
      </c>
      <c r="J38" s="85">
        <v>0</v>
      </c>
      <c r="K38" s="85">
        <v>0.62028588830804599</v>
      </c>
      <c r="L38" s="60" t="s">
        <v>86</v>
      </c>
      <c r="M38" s="60">
        <v>7.7176749155535704</v>
      </c>
      <c r="N38" s="60">
        <v>5.5484391397162103E-2</v>
      </c>
      <c r="O38" s="60">
        <v>9.5427607559858296E-2</v>
      </c>
      <c r="P38" s="60">
        <v>2.4578415553569301E-2</v>
      </c>
      <c r="Q38" s="60">
        <v>7.7106070799460902</v>
      </c>
      <c r="R38" s="60">
        <v>7.0678356074766998E-3</v>
      </c>
      <c r="S38" s="60">
        <v>7.7182978987020503</v>
      </c>
      <c r="T38" s="60">
        <v>7.6857825910229298</v>
      </c>
      <c r="U38" s="69">
        <v>7.7176749155535704</v>
      </c>
      <c r="V38" s="69">
        <v>6.0620625000001899E-2</v>
      </c>
    </row>
    <row r="39" spans="1:22" ht="12.75" thickBot="1">
      <c r="A39" s="73">
        <v>7</v>
      </c>
      <c r="B39" s="60">
        <v>8.9473280000000006</v>
      </c>
      <c r="C39" s="60">
        <v>4.3946250000000298E-2</v>
      </c>
      <c r="D39" s="60">
        <v>7.2988000000000497E-2</v>
      </c>
      <c r="E39" s="60">
        <v>20</v>
      </c>
      <c r="F39" s="60">
        <v>4.3946250000000298E-2</v>
      </c>
      <c r="G39" s="60">
        <v>0.10986562500000099</v>
      </c>
      <c r="H39" s="85">
        <v>0.81183601370932401</v>
      </c>
      <c r="I39" s="85">
        <v>0.8</v>
      </c>
      <c r="J39" s="85">
        <v>0</v>
      </c>
      <c r="K39" s="85">
        <v>0.57988286693523095</v>
      </c>
      <c r="L39" s="60" t="s">
        <v>86</v>
      </c>
      <c r="M39" s="60">
        <v>8.9661099514213998</v>
      </c>
      <c r="N39" s="60">
        <v>6.7710351915943198E-2</v>
      </c>
      <c r="O39" s="60">
        <v>0.15667545855555701</v>
      </c>
      <c r="P39" s="60">
        <v>1.8781951421395601E-2</v>
      </c>
      <c r="Q39" s="60">
        <v>8.9637558903328696</v>
      </c>
      <c r="R39" s="60">
        <v>2.35406108852843E-3</v>
      </c>
      <c r="S39" s="60">
        <v>8.9699530890247292</v>
      </c>
      <c r="T39" s="60">
        <v>8.9562030078999104</v>
      </c>
      <c r="U39" s="69">
        <v>8.9661099514213998</v>
      </c>
      <c r="V39" s="69">
        <v>0.10986562500000099</v>
      </c>
    </row>
    <row r="40" spans="1:22" ht="12.75" thickBot="1">
      <c r="A40" s="73">
        <v>8</v>
      </c>
      <c r="B40" s="60">
        <v>10.245630999999999</v>
      </c>
      <c r="C40" s="60">
        <v>2.5467500000001302E-2</v>
      </c>
      <c r="D40" s="60">
        <v>4.8226374999998697E-2</v>
      </c>
      <c r="E40" s="60">
        <v>20</v>
      </c>
      <c r="F40" s="60">
        <v>2.5467500000001302E-2</v>
      </c>
      <c r="G40" s="60">
        <v>6.3668750000003299E-2</v>
      </c>
      <c r="H40" s="85">
        <v>0.80084945223590798</v>
      </c>
      <c r="I40" s="85">
        <v>0.75</v>
      </c>
      <c r="J40" s="85">
        <v>0</v>
      </c>
      <c r="K40" s="85">
        <v>0.57203532302564897</v>
      </c>
      <c r="L40" s="60" t="s">
        <v>86</v>
      </c>
      <c r="M40" s="60">
        <v>10.2778094072406</v>
      </c>
      <c r="N40" s="60">
        <v>4.80475976342436E-2</v>
      </c>
      <c r="O40" s="60">
        <v>0.10723878120550399</v>
      </c>
      <c r="P40" s="60">
        <v>3.21784072406128E-2</v>
      </c>
      <c r="Q40" s="60">
        <v>10.261186769263601</v>
      </c>
      <c r="R40" s="60">
        <v>1.6622637976970701E-2</v>
      </c>
      <c r="S40" s="60">
        <v>10.274128610801</v>
      </c>
      <c r="T40" s="60">
        <v>10.2438406591318</v>
      </c>
      <c r="U40" s="69">
        <v>10.2778094072406</v>
      </c>
      <c r="V40" s="69">
        <v>6.3668750000003299E-2</v>
      </c>
    </row>
    <row r="41" spans="1:22" ht="12.75" thickBot="1">
      <c r="A41" s="73">
        <v>9</v>
      </c>
      <c r="B41" s="60">
        <v>11.6290285</v>
      </c>
      <c r="C41" s="60">
        <v>2.76485000000006E-2</v>
      </c>
      <c r="D41" s="60">
        <v>5.3051750000001598E-2</v>
      </c>
      <c r="E41" s="60">
        <v>20</v>
      </c>
      <c r="F41" s="60">
        <v>2.76485000000006E-2</v>
      </c>
      <c r="G41" s="60">
        <v>6.9121250000001605E-2</v>
      </c>
      <c r="H41" s="85">
        <v>0.85633142549547303</v>
      </c>
      <c r="I41" s="85">
        <v>0.8</v>
      </c>
      <c r="J41" s="85">
        <v>0</v>
      </c>
      <c r="K41" s="85">
        <v>0.61166530392533802</v>
      </c>
      <c r="L41" s="60" t="s">
        <v>86</v>
      </c>
      <c r="M41" s="60">
        <v>11.6640392873566</v>
      </c>
      <c r="N41" s="60">
        <v>7.2364924160476796E-2</v>
      </c>
      <c r="O41" s="60">
        <v>0.105644462334608</v>
      </c>
      <c r="P41" s="60">
        <v>3.5010787356606302E-2</v>
      </c>
      <c r="Q41" s="60">
        <v>11.6635449592969</v>
      </c>
      <c r="R41" s="60">
        <v>4.9432805966098702E-4</v>
      </c>
      <c r="S41" s="60">
        <v>11.681369349213201</v>
      </c>
      <c r="T41" s="60">
        <v>11.6324954453278</v>
      </c>
      <c r="U41" s="69">
        <v>11.6640392873566</v>
      </c>
      <c r="V41" s="69">
        <v>6.9121250000001605E-2</v>
      </c>
    </row>
    <row r="42" spans="1:22" ht="12.75" thickBot="1">
      <c r="A42" s="73">
        <v>10</v>
      </c>
      <c r="B42" s="60">
        <v>12.939035000000001</v>
      </c>
      <c r="C42" s="60">
        <v>2.46685000000006E-2</v>
      </c>
      <c r="D42" s="60">
        <v>3.79753749999985E-2</v>
      </c>
      <c r="E42" s="60">
        <v>20</v>
      </c>
      <c r="F42" s="60">
        <v>2.46685000000006E-2</v>
      </c>
      <c r="G42" s="60">
        <v>6.16712500000016E-2</v>
      </c>
      <c r="H42" s="85">
        <v>0.87553936536389299</v>
      </c>
      <c r="I42" s="85">
        <v>0.85</v>
      </c>
      <c r="J42" s="85">
        <v>0.05</v>
      </c>
      <c r="K42" s="85">
        <v>0.62538526097420899</v>
      </c>
      <c r="L42" s="60" t="s">
        <v>86</v>
      </c>
      <c r="M42" s="60">
        <v>12.976236910794601</v>
      </c>
      <c r="N42" s="60">
        <v>5.5681014343412098E-2</v>
      </c>
      <c r="O42" s="60">
        <v>9.8948809024359805E-2</v>
      </c>
      <c r="P42" s="60">
        <v>3.72019107946144E-2</v>
      </c>
      <c r="Q42" s="60">
        <v>12.964801961926399</v>
      </c>
      <c r="R42" s="60">
        <v>1.1434948868201299E-2</v>
      </c>
      <c r="S42" s="60">
        <v>12.966407837243599</v>
      </c>
      <c r="T42" s="60">
        <v>12.9530159906677</v>
      </c>
      <c r="U42" s="69">
        <v>12.976236910794601</v>
      </c>
      <c r="V42" s="69">
        <v>6.16712500000016E-2</v>
      </c>
    </row>
    <row r="43" spans="1:22" ht="12.75" thickBot="1">
      <c r="A43" s="73">
        <v>11</v>
      </c>
      <c r="B43" s="60">
        <v>14.391220000000001</v>
      </c>
      <c r="C43" s="60">
        <v>4.3295750000000403E-2</v>
      </c>
      <c r="D43" s="60">
        <v>7.2644499999999099E-2</v>
      </c>
      <c r="E43" s="60">
        <v>20</v>
      </c>
      <c r="F43" s="60">
        <v>4.3295750000000403E-2</v>
      </c>
      <c r="G43" s="60">
        <v>0.108239375000001</v>
      </c>
      <c r="H43" s="85">
        <v>0.875986825286861</v>
      </c>
      <c r="I43" s="85">
        <v>0.85</v>
      </c>
      <c r="J43" s="85">
        <v>0</v>
      </c>
      <c r="K43" s="85">
        <v>0.62570487520490103</v>
      </c>
      <c r="L43" s="60" t="s">
        <v>86</v>
      </c>
      <c r="M43" s="60">
        <v>14.4318405861904</v>
      </c>
      <c r="N43" s="60">
        <v>5.9711742721419499E-2</v>
      </c>
      <c r="O43" s="60">
        <v>0.108620445898096</v>
      </c>
      <c r="P43" s="60">
        <v>4.06205861903981E-2</v>
      </c>
      <c r="Q43" s="60">
        <v>14.4367335405001</v>
      </c>
      <c r="R43" s="60">
        <v>-4.8929543097031604E-3</v>
      </c>
      <c r="S43" s="60">
        <v>14.4587215624789</v>
      </c>
      <c r="T43" s="60">
        <v>14.4016695960634</v>
      </c>
      <c r="U43" s="69">
        <v>14.4318405861904</v>
      </c>
      <c r="V43" s="69">
        <v>0.108239375000001</v>
      </c>
    </row>
    <row r="44" spans="1:22" ht="12.75" thickBot="1">
      <c r="A44" s="73">
        <v>12</v>
      </c>
      <c r="B44" s="60">
        <v>15.600365500000001</v>
      </c>
      <c r="C44" s="60">
        <v>1.98209999999985E-2</v>
      </c>
      <c r="D44" s="60">
        <v>4.4421624999998202E-2</v>
      </c>
      <c r="E44" s="60">
        <v>20</v>
      </c>
      <c r="F44" s="60">
        <v>1.98209999999985E-2</v>
      </c>
      <c r="G44" s="60">
        <v>4.9552499999996301E-2</v>
      </c>
      <c r="H44" s="85">
        <v>0.72426139869872797</v>
      </c>
      <c r="I44" s="85">
        <v>0.7</v>
      </c>
      <c r="J44" s="85">
        <v>0.05</v>
      </c>
      <c r="K44" s="85">
        <v>0.51732957049909201</v>
      </c>
      <c r="L44" s="60" t="s">
        <v>86</v>
      </c>
      <c r="M44" s="60">
        <v>15.6092003064118</v>
      </c>
      <c r="N44" s="60">
        <v>7.0994491623288997E-2</v>
      </c>
      <c r="O44" s="60">
        <v>0.129804506971223</v>
      </c>
      <c r="P44" s="60">
        <v>8.8348064118211108E-3</v>
      </c>
      <c r="Q44" s="60">
        <v>15.6369341877888</v>
      </c>
      <c r="R44" s="60">
        <v>-2.77338813770278E-2</v>
      </c>
      <c r="S44" s="60">
        <v>15.6488664736746</v>
      </c>
      <c r="T44" s="60">
        <v>15.6027997983538</v>
      </c>
      <c r="U44" s="69">
        <v>15.6092003064118</v>
      </c>
      <c r="V44" s="69">
        <v>4.9552499999996301E-2</v>
      </c>
    </row>
    <row r="45" spans="1:22" ht="12.75" thickBot="1">
      <c r="A45" s="73">
        <v>13</v>
      </c>
      <c r="B45" s="60">
        <v>16.905670000000001</v>
      </c>
      <c r="C45" s="60">
        <v>3.5195749999997999E-2</v>
      </c>
      <c r="D45" s="60">
        <v>5.76949999999989E-2</v>
      </c>
      <c r="E45" s="60">
        <v>20</v>
      </c>
      <c r="F45" s="60">
        <v>3.5195749999997999E-2</v>
      </c>
      <c r="G45" s="60">
        <v>8.7989374999994902E-2</v>
      </c>
      <c r="H45" s="85">
        <v>0.84105612281059905</v>
      </c>
      <c r="I45" s="85">
        <v>0.8</v>
      </c>
      <c r="J45" s="85">
        <v>0</v>
      </c>
      <c r="K45" s="85">
        <v>0.60075437343614202</v>
      </c>
      <c r="L45" s="60" t="s">
        <v>86</v>
      </c>
      <c r="M45" s="60">
        <v>16.930138554275999</v>
      </c>
      <c r="N45" s="60">
        <v>6.2239966713653297E-2</v>
      </c>
      <c r="O45" s="60">
        <v>0.10570392436281099</v>
      </c>
      <c r="P45" s="60">
        <v>2.4468554275969698E-2</v>
      </c>
      <c r="Q45" s="60">
        <v>16.930114165119299</v>
      </c>
      <c r="R45" s="60">
        <v>2.43891566320542E-5</v>
      </c>
      <c r="S45" s="60">
        <v>16.955780336031399</v>
      </c>
      <c r="T45" s="60">
        <v>16.898165567676301</v>
      </c>
      <c r="U45" s="69">
        <v>16.930138554275999</v>
      </c>
      <c r="V45" s="69">
        <v>8.7989374999994902E-2</v>
      </c>
    </row>
    <row r="46" spans="1:22" ht="12.75" thickBot="1">
      <c r="A46" s="82"/>
      <c r="B46" s="52"/>
      <c r="C46" s="52"/>
      <c r="D46" s="52"/>
      <c r="E46" s="51"/>
      <c r="F46" s="52"/>
      <c r="G46" s="52"/>
      <c r="H46" s="53"/>
      <c r="I46" s="53"/>
      <c r="J46" s="53"/>
      <c r="K46" s="53"/>
      <c r="L46" s="51"/>
      <c r="M46" s="52"/>
      <c r="N46" s="52"/>
      <c r="O46" s="52"/>
      <c r="P46" s="52"/>
      <c r="Q46" s="52"/>
      <c r="R46" s="52"/>
      <c r="S46" s="52"/>
      <c r="T46" s="52"/>
      <c r="U46" s="50"/>
      <c r="V46" s="50"/>
    </row>
    <row r="47" spans="1:22" ht="12.75" thickBot="1">
      <c r="A47" s="239" t="s">
        <v>123</v>
      </c>
      <c r="B47" s="239"/>
      <c r="C47" s="239"/>
      <c r="D47" s="239"/>
      <c r="E47" s="239"/>
      <c r="F47" s="239"/>
      <c r="G47" s="239"/>
      <c r="H47" s="239"/>
      <c r="I47" s="239"/>
      <c r="J47" s="239"/>
      <c r="K47" s="239"/>
      <c r="L47" s="239"/>
      <c r="M47" s="239"/>
      <c r="N47" s="239"/>
      <c r="O47" s="239"/>
      <c r="P47" s="239"/>
      <c r="Q47" s="239"/>
      <c r="R47" s="239"/>
      <c r="S47" s="239"/>
      <c r="T47" s="239"/>
      <c r="U47" s="239"/>
      <c r="V47" s="239"/>
    </row>
    <row r="48" spans="1:22" ht="12.75" thickBot="1">
      <c r="A48" s="238" t="s">
        <v>0</v>
      </c>
      <c r="B48" s="237" t="s">
        <v>83</v>
      </c>
      <c r="C48" s="237"/>
      <c r="D48" s="237"/>
      <c r="E48" s="237"/>
      <c r="F48" s="237"/>
      <c r="G48" s="237"/>
      <c r="H48" s="237"/>
      <c r="I48" s="237"/>
      <c r="J48" s="237"/>
      <c r="K48" s="237"/>
      <c r="L48" s="237"/>
      <c r="M48" s="237" t="s">
        <v>84</v>
      </c>
      <c r="N48" s="237"/>
      <c r="O48" s="237"/>
      <c r="P48" s="237"/>
      <c r="Q48" s="237"/>
      <c r="R48" s="237"/>
      <c r="S48" s="237" t="s">
        <v>85</v>
      </c>
      <c r="T48" s="237"/>
      <c r="U48" s="241" t="s">
        <v>81</v>
      </c>
      <c r="V48" s="240" t="s">
        <v>82</v>
      </c>
    </row>
    <row r="49" spans="1:22" ht="24.75" thickBot="1">
      <c r="A49" s="238"/>
      <c r="B49" s="217" t="s">
        <v>62</v>
      </c>
      <c r="C49" s="217" t="s">
        <v>63</v>
      </c>
      <c r="D49" s="217" t="s">
        <v>64</v>
      </c>
      <c r="E49" s="217" t="s">
        <v>65</v>
      </c>
      <c r="F49" s="217" t="s">
        <v>66</v>
      </c>
      <c r="G49" s="217" t="s">
        <v>67</v>
      </c>
      <c r="H49" s="218" t="s">
        <v>68</v>
      </c>
      <c r="I49" s="218" t="s">
        <v>69</v>
      </c>
      <c r="J49" s="218" t="s">
        <v>70</v>
      </c>
      <c r="K49" s="218" t="s">
        <v>71</v>
      </c>
      <c r="L49" s="217" t="s">
        <v>72</v>
      </c>
      <c r="M49" s="217" t="s">
        <v>73</v>
      </c>
      <c r="N49" s="217" t="s">
        <v>74</v>
      </c>
      <c r="O49" s="217" t="s">
        <v>75</v>
      </c>
      <c r="P49" s="217" t="s">
        <v>76</v>
      </c>
      <c r="Q49" s="217" t="s">
        <v>77</v>
      </c>
      <c r="R49" s="217" t="s">
        <v>78</v>
      </c>
      <c r="S49" s="217" t="s">
        <v>79</v>
      </c>
      <c r="T49" s="217" t="s">
        <v>80</v>
      </c>
      <c r="U49" s="242"/>
      <c r="V49" s="240"/>
    </row>
    <row r="50" spans="1:22" ht="12.75" thickBot="1">
      <c r="A50" s="74">
        <v>1</v>
      </c>
      <c r="B50" s="59">
        <v>0.95643449999999897</v>
      </c>
      <c r="C50" s="59">
        <v>3.6150499999999398E-2</v>
      </c>
      <c r="D50" s="59">
        <v>9.1359750000000406E-2</v>
      </c>
      <c r="E50" s="59">
        <v>18</v>
      </c>
      <c r="F50" s="59">
        <v>3.6150499999999398E-2</v>
      </c>
      <c r="G50" s="59">
        <v>9.0376249999998506E-2</v>
      </c>
      <c r="H50" s="84">
        <v>0.86150388355653096</v>
      </c>
      <c r="I50" s="84">
        <v>0.83333333333333304</v>
      </c>
      <c r="J50" s="84">
        <v>0</v>
      </c>
      <c r="K50" s="84">
        <v>0.61535991682609303</v>
      </c>
      <c r="L50" s="59" t="s">
        <v>86</v>
      </c>
      <c r="M50" s="59">
        <v>0.98482772946691399</v>
      </c>
      <c r="N50" s="59">
        <v>7.3233424160476596E-2</v>
      </c>
      <c r="O50" s="59">
        <v>0.115666013727537</v>
      </c>
      <c r="P50" s="59">
        <v>2.8393229466915099E-2</v>
      </c>
      <c r="Q50" s="59">
        <v>0.99017369284647105</v>
      </c>
      <c r="R50" s="59">
        <v>-5.3459633795566201E-3</v>
      </c>
      <c r="S50" s="59">
        <v>1.0026236517989</v>
      </c>
      <c r="T50" s="59">
        <v>0.94828268723956599</v>
      </c>
      <c r="U50" s="69">
        <v>0.98482772946691399</v>
      </c>
      <c r="V50" s="69">
        <v>9.0376249999998506E-2</v>
      </c>
    </row>
    <row r="51" spans="1:22" ht="12.75" thickBot="1">
      <c r="A51" s="73">
        <v>2</v>
      </c>
      <c r="B51" s="60">
        <v>1.9712829999999999</v>
      </c>
      <c r="C51" s="60">
        <v>3.2341000000000099E-2</v>
      </c>
      <c r="D51" s="60">
        <v>5.8878875000000899E-2</v>
      </c>
      <c r="E51" s="60">
        <v>20</v>
      </c>
      <c r="F51" s="60">
        <v>3.2341000000000099E-2</v>
      </c>
      <c r="G51" s="60">
        <v>8.0852500000000202E-2</v>
      </c>
      <c r="H51" s="85">
        <v>0.96837238332242703</v>
      </c>
      <c r="I51" s="85">
        <v>0.95</v>
      </c>
      <c r="J51" s="85">
        <v>0</v>
      </c>
      <c r="K51" s="85">
        <v>0.69169455951601999</v>
      </c>
      <c r="L51" s="60" t="s">
        <v>86</v>
      </c>
      <c r="M51" s="60">
        <v>2.0034608729464201</v>
      </c>
      <c r="N51" s="60">
        <v>7.0672584596783994E-2</v>
      </c>
      <c r="O51" s="60">
        <v>0.10295366470891899</v>
      </c>
      <c r="P51" s="60">
        <v>3.2177872946418197E-2</v>
      </c>
      <c r="Q51" s="60">
        <v>2.0039568587736101</v>
      </c>
      <c r="R51" s="60">
        <v>-4.9598582718690697E-4</v>
      </c>
      <c r="S51" s="60">
        <v>2.0109776061683302</v>
      </c>
      <c r="T51" s="60">
        <v>1.9764151715537901</v>
      </c>
      <c r="U51" s="69">
        <v>2.0034608729464201</v>
      </c>
      <c r="V51" s="69">
        <v>8.0852500000000202E-2</v>
      </c>
    </row>
    <row r="52" spans="1:22" ht="12.75" thickBot="1">
      <c r="A52" s="73">
        <v>3</v>
      </c>
      <c r="B52" s="60">
        <v>2.8353169999999999</v>
      </c>
      <c r="C52" s="60">
        <v>1.7520750000001601E-2</v>
      </c>
      <c r="D52" s="60">
        <v>3.33741249999999E-2</v>
      </c>
      <c r="E52" s="60">
        <v>20</v>
      </c>
      <c r="F52" s="60">
        <v>1.7520750000001601E-2</v>
      </c>
      <c r="G52" s="60">
        <v>4.3801875000004098E-2</v>
      </c>
      <c r="H52" s="85">
        <v>0.84601089789339501</v>
      </c>
      <c r="I52" s="85">
        <v>0.8</v>
      </c>
      <c r="J52" s="85">
        <v>0.05</v>
      </c>
      <c r="K52" s="85">
        <v>0.60429349849528202</v>
      </c>
      <c r="L52" s="60" t="s">
        <v>86</v>
      </c>
      <c r="M52" s="60">
        <v>2.8694007271885398</v>
      </c>
      <c r="N52" s="60">
        <v>6.4504438838904499E-2</v>
      </c>
      <c r="O52" s="60">
        <v>9.8800195075138902E-2</v>
      </c>
      <c r="P52" s="60">
        <v>3.4083727188537701E-2</v>
      </c>
      <c r="Q52" s="60">
        <v>2.8616704069505299</v>
      </c>
      <c r="R52" s="60">
        <v>7.7303202380125703E-3</v>
      </c>
      <c r="S52" s="60">
        <v>2.8742530878622401</v>
      </c>
      <c r="T52" s="60">
        <v>2.8433214133042299</v>
      </c>
      <c r="U52" s="69">
        <v>2.8694007271885398</v>
      </c>
      <c r="V52" s="69">
        <v>4.3801875000004098E-2</v>
      </c>
    </row>
    <row r="53" spans="1:22" ht="12.75" thickBot="1">
      <c r="A53" s="73">
        <v>4</v>
      </c>
      <c r="B53" s="60">
        <v>3.7473405</v>
      </c>
      <c r="C53" s="60">
        <v>2.1868500000001199E-2</v>
      </c>
      <c r="D53" s="60">
        <v>3.3552125000001702E-2</v>
      </c>
      <c r="E53" s="60">
        <v>18</v>
      </c>
      <c r="F53" s="60">
        <v>2.1868500000001199E-2</v>
      </c>
      <c r="G53" s="60">
        <v>5.4671250000002898E-2</v>
      </c>
      <c r="H53" s="85">
        <v>0.82772319792026205</v>
      </c>
      <c r="I53" s="85">
        <v>0.77777777777777801</v>
      </c>
      <c r="J53" s="85">
        <v>0</v>
      </c>
      <c r="K53" s="85">
        <v>0.59123085565733002</v>
      </c>
      <c r="L53" s="60" t="s">
        <v>86</v>
      </c>
      <c r="M53" s="60">
        <v>3.7670741148332101</v>
      </c>
      <c r="N53" s="60">
        <v>4.7263015698930197E-2</v>
      </c>
      <c r="O53" s="60">
        <v>0.10345199269496499</v>
      </c>
      <c r="P53" s="60">
        <v>1.9733614833213699E-2</v>
      </c>
      <c r="Q53" s="60">
        <v>3.7595681155432201</v>
      </c>
      <c r="R53" s="60">
        <v>7.5059992899899602E-3</v>
      </c>
      <c r="S53" s="60">
        <v>3.7707604026502799</v>
      </c>
      <c r="T53" s="60">
        <v>3.7276567230994302</v>
      </c>
      <c r="U53" s="69">
        <v>3.7670741148332101</v>
      </c>
      <c r="V53" s="69">
        <v>5.4671250000002898E-2</v>
      </c>
    </row>
    <row r="54" spans="1:22" ht="12.75" thickBot="1">
      <c r="A54" s="73">
        <v>5</v>
      </c>
      <c r="B54" s="60">
        <v>6.5211540000000001</v>
      </c>
      <c r="C54" s="60">
        <v>2.4150999999999801E-2</v>
      </c>
      <c r="D54" s="60">
        <v>4.1142374999998801E-2</v>
      </c>
      <c r="E54" s="60">
        <v>18</v>
      </c>
      <c r="F54" s="60">
        <v>2.4150999999999801E-2</v>
      </c>
      <c r="G54" s="60">
        <v>6.0377499999999501E-2</v>
      </c>
      <c r="H54" s="85">
        <v>0.80657910774255004</v>
      </c>
      <c r="I54" s="85">
        <v>0.77777777777777801</v>
      </c>
      <c r="J54" s="85">
        <v>0.11111111111111099</v>
      </c>
      <c r="K54" s="85">
        <v>0.57612793410182095</v>
      </c>
      <c r="L54" s="60" t="s">
        <v>86</v>
      </c>
      <c r="M54" s="60">
        <v>6.5233496350501099</v>
      </c>
      <c r="N54" s="60">
        <v>6.7484466713654004E-2</v>
      </c>
      <c r="O54" s="60">
        <v>0.150244254874116</v>
      </c>
      <c r="P54" s="60">
        <v>2.1956350501079998E-3</v>
      </c>
      <c r="Q54" s="60">
        <v>6.5224385469742696</v>
      </c>
      <c r="R54" s="60">
        <v>9.1108807583673002E-4</v>
      </c>
      <c r="S54" s="60">
        <v>6.5378003121328403</v>
      </c>
      <c r="T54" s="60">
        <v>6.5111618738534798</v>
      </c>
      <c r="U54" s="69">
        <v>6.5233496350501099</v>
      </c>
      <c r="V54" s="69">
        <v>6.0377499999999501E-2</v>
      </c>
    </row>
    <row r="55" spans="1:22" ht="12.75" thickBot="1">
      <c r="A55" s="73">
        <v>6</v>
      </c>
      <c r="B55" s="60">
        <v>7.4859555000000002</v>
      </c>
      <c r="C55" s="60">
        <v>1.9532500000000799E-2</v>
      </c>
      <c r="D55" s="60">
        <v>4.9907999999998502E-2</v>
      </c>
      <c r="E55" s="60">
        <v>20</v>
      </c>
      <c r="F55" s="60">
        <v>1.9532500000000799E-2</v>
      </c>
      <c r="G55" s="60">
        <v>4.8831250000002102E-2</v>
      </c>
      <c r="H55" s="85">
        <v>0.78306402290747201</v>
      </c>
      <c r="I55" s="85">
        <v>0.75</v>
      </c>
      <c r="J55" s="85">
        <v>0.1</v>
      </c>
      <c r="K55" s="85">
        <v>0.55933144493390896</v>
      </c>
      <c r="L55" s="60" t="s">
        <v>86</v>
      </c>
      <c r="M55" s="60">
        <v>7.5049044770613902</v>
      </c>
      <c r="N55" s="60">
        <v>5.54614053694054E-2</v>
      </c>
      <c r="O55" s="60">
        <v>0.12835541064105199</v>
      </c>
      <c r="P55" s="60">
        <v>1.89489770613855E-2</v>
      </c>
      <c r="Q55" s="60">
        <v>7.5054654188032996</v>
      </c>
      <c r="R55" s="60">
        <v>-5.6094174191478896E-4</v>
      </c>
      <c r="S55" s="60">
        <v>7.5300611627680603</v>
      </c>
      <c r="T55" s="60">
        <v>7.4867984888450501</v>
      </c>
      <c r="U55" s="69">
        <v>7.5049044770613902</v>
      </c>
      <c r="V55" s="69">
        <v>4.8831250000002102E-2</v>
      </c>
    </row>
    <row r="56" spans="1:22" ht="12.75" thickBot="1">
      <c r="A56" s="73">
        <v>7</v>
      </c>
      <c r="B56" s="60">
        <v>8.3212200000000003</v>
      </c>
      <c r="C56" s="60">
        <v>1.71460000000003E-2</v>
      </c>
      <c r="D56" s="60">
        <v>5.0181124999999903E-2</v>
      </c>
      <c r="E56" s="60">
        <v>20</v>
      </c>
      <c r="F56" s="60">
        <v>1.71460000000003E-2</v>
      </c>
      <c r="G56" s="60">
        <v>4.2865000000000798E-2</v>
      </c>
      <c r="H56" s="85">
        <v>0.77644028615960403</v>
      </c>
      <c r="I56" s="85">
        <v>0.75</v>
      </c>
      <c r="J56" s="85">
        <v>0.15</v>
      </c>
      <c r="K56" s="85">
        <v>0.55460020439971702</v>
      </c>
      <c r="L56" s="60" t="s">
        <v>86</v>
      </c>
      <c r="M56" s="60">
        <v>8.3344298952433995</v>
      </c>
      <c r="N56" s="60">
        <v>5.8200063576126303E-2</v>
      </c>
      <c r="O56" s="60">
        <v>0.14625771560057399</v>
      </c>
      <c r="P56" s="60">
        <v>1.3209895243399199E-2</v>
      </c>
      <c r="Q56" s="60">
        <v>8.3457871321732604</v>
      </c>
      <c r="R56" s="60">
        <v>-1.13572369298627E-2</v>
      </c>
      <c r="S56" s="60">
        <v>8.3551160964253004</v>
      </c>
      <c r="T56" s="60">
        <v>8.3350607244130899</v>
      </c>
      <c r="U56" s="69">
        <v>8.3344298952433995</v>
      </c>
      <c r="V56" s="69">
        <v>4.2865000000000798E-2</v>
      </c>
    </row>
    <row r="57" spans="1:22" ht="12.75" thickBot="1">
      <c r="A57" s="73">
        <v>8</v>
      </c>
      <c r="B57" s="60">
        <v>9.4332049999999992</v>
      </c>
      <c r="C57" s="60">
        <v>0.15421199999999899</v>
      </c>
      <c r="D57" s="60">
        <v>0.30226724999999999</v>
      </c>
      <c r="E57" s="60">
        <v>15</v>
      </c>
      <c r="F57" s="60">
        <v>0.15421199999999899</v>
      </c>
      <c r="G57" s="60">
        <v>0.38552999999999799</v>
      </c>
      <c r="H57" s="85">
        <v>1</v>
      </c>
      <c r="I57" s="85">
        <v>1</v>
      </c>
      <c r="J57" s="85">
        <v>0</v>
      </c>
      <c r="K57" s="85">
        <v>0.71428571428571397</v>
      </c>
      <c r="L57" s="60" t="s">
        <v>87</v>
      </c>
      <c r="M57" s="60">
        <v>9.5417065930276799</v>
      </c>
      <c r="N57" s="60">
        <v>0.18238666658929101</v>
      </c>
      <c r="O57" s="60">
        <v>0.21081567420174399</v>
      </c>
      <c r="P57" s="60">
        <v>0.10850159302767901</v>
      </c>
      <c r="Q57" s="60">
        <v>9.5380813082722895</v>
      </c>
      <c r="R57" s="60">
        <v>3.6252847553921398E-3</v>
      </c>
      <c r="S57" s="60">
        <v>9.5552262735736608</v>
      </c>
      <c r="T57" s="60">
        <v>9.48753456023565</v>
      </c>
      <c r="U57" s="69">
        <v>9.5417065930276799</v>
      </c>
      <c r="V57" s="69">
        <v>0.38552999999999799</v>
      </c>
    </row>
    <row r="58" spans="1:22" ht="12.75" thickBot="1">
      <c r="A58" s="73">
        <v>9</v>
      </c>
      <c r="B58" s="60">
        <v>12.036028999999999</v>
      </c>
      <c r="C58" s="60">
        <v>3.2802000000000199E-2</v>
      </c>
      <c r="D58" s="60">
        <v>0.106551249999999</v>
      </c>
      <c r="E58" s="60">
        <v>20</v>
      </c>
      <c r="F58" s="60">
        <v>3.2802000000000199E-2</v>
      </c>
      <c r="G58" s="60">
        <v>8.2005000000000494E-2</v>
      </c>
      <c r="H58" s="85">
        <v>0.65346676435454198</v>
      </c>
      <c r="I58" s="85">
        <v>0.65</v>
      </c>
      <c r="J58" s="85">
        <v>0</v>
      </c>
      <c r="K58" s="85">
        <v>0.46676197453895801</v>
      </c>
      <c r="L58" s="60" t="s">
        <v>88</v>
      </c>
      <c r="M58" s="60">
        <v>12.0691327934207</v>
      </c>
      <c r="N58" s="60">
        <v>6.7190042911112302E-2</v>
      </c>
      <c r="O58" s="60">
        <v>0.11914606651174001</v>
      </c>
      <c r="P58" s="60">
        <v>3.3103793420718099E-2</v>
      </c>
      <c r="Q58" s="60">
        <v>12.070647695368001</v>
      </c>
      <c r="R58" s="60">
        <v>-1.51490194730286E-3</v>
      </c>
      <c r="S58" s="60">
        <v>12.0766250365284</v>
      </c>
      <c r="T58" s="60">
        <v>12.0458620387352</v>
      </c>
      <c r="U58" s="69">
        <v>12.0691327934207</v>
      </c>
      <c r="V58" s="69">
        <v>8.2005000000000494E-2</v>
      </c>
    </row>
    <row r="59" spans="1:22" ht="12.75" thickBot="1">
      <c r="A59" s="73">
        <v>10</v>
      </c>
      <c r="B59" s="60">
        <v>12.939916999999999</v>
      </c>
      <c r="C59" s="60">
        <v>1.7344999999999701E-2</v>
      </c>
      <c r="D59" s="60">
        <v>7.6196000000001304E-2</v>
      </c>
      <c r="E59" s="60">
        <v>20</v>
      </c>
      <c r="F59" s="60">
        <v>1.7344999999999701E-2</v>
      </c>
      <c r="G59" s="60">
        <v>4.3362499999999297E-2</v>
      </c>
      <c r="H59" s="85">
        <v>0.63187584066316205</v>
      </c>
      <c r="I59" s="85">
        <v>0.6</v>
      </c>
      <c r="J59" s="85">
        <v>0.15</v>
      </c>
      <c r="K59" s="85">
        <v>0.45133988618797299</v>
      </c>
      <c r="L59" s="60" t="s">
        <v>88</v>
      </c>
      <c r="M59" s="60">
        <v>12.943529976173</v>
      </c>
      <c r="N59" s="60">
        <v>8.1196300800137594E-2</v>
      </c>
      <c r="O59" s="60">
        <v>0.13021456323834801</v>
      </c>
      <c r="P59" s="60">
        <v>3.6129761730201398E-3</v>
      </c>
      <c r="Q59" s="60">
        <v>12.949098536442399</v>
      </c>
      <c r="R59" s="60">
        <v>-5.5685602693369401E-3</v>
      </c>
      <c r="S59" s="60">
        <v>12.975542609605601</v>
      </c>
      <c r="T59" s="60">
        <v>12.9314288964718</v>
      </c>
      <c r="U59" s="69">
        <v>12.943529976173</v>
      </c>
      <c r="V59" s="69">
        <v>4.3362499999999297E-2</v>
      </c>
    </row>
    <row r="60" spans="1:22" ht="12.75" thickBot="1">
      <c r="A60" s="73">
        <v>11</v>
      </c>
      <c r="B60" s="60">
        <v>13.827309</v>
      </c>
      <c r="C60" s="60">
        <v>2.9227500000001998E-2</v>
      </c>
      <c r="D60" s="60">
        <v>6.3174374999999103E-2</v>
      </c>
      <c r="E60" s="60">
        <v>20</v>
      </c>
      <c r="F60" s="60">
        <v>2.9227500000001998E-2</v>
      </c>
      <c r="G60" s="60">
        <v>7.3068750000004901E-2</v>
      </c>
      <c r="H60" s="85">
        <v>0.78690464581950803</v>
      </c>
      <c r="I60" s="85">
        <v>0.75</v>
      </c>
      <c r="J60" s="85">
        <v>0.1</v>
      </c>
      <c r="K60" s="85">
        <v>0.56207474701393401</v>
      </c>
      <c r="L60" s="60" t="s">
        <v>86</v>
      </c>
      <c r="M60" s="60">
        <v>13.840770520291599</v>
      </c>
      <c r="N60" s="60">
        <v>8.3249563576127006E-2</v>
      </c>
      <c r="O60" s="60">
        <v>0.133526952478698</v>
      </c>
      <c r="P60" s="60">
        <v>1.3461520291549799E-2</v>
      </c>
      <c r="Q60" s="60">
        <v>13.8427721391843</v>
      </c>
      <c r="R60" s="60">
        <v>-2.0016188927236599E-3</v>
      </c>
      <c r="S60" s="60">
        <v>13.8617440646243</v>
      </c>
      <c r="T60" s="60">
        <v>13.829669846054699</v>
      </c>
      <c r="U60" s="69">
        <v>13.840770520291599</v>
      </c>
      <c r="V60" s="69">
        <v>7.3068750000004901E-2</v>
      </c>
    </row>
    <row r="61" spans="1:22" ht="12.75" thickBot="1">
      <c r="A61" s="73">
        <v>12</v>
      </c>
      <c r="B61" s="60">
        <v>14.794332000000001</v>
      </c>
      <c r="C61" s="60">
        <v>1.99274999999988E-2</v>
      </c>
      <c r="D61" s="60">
        <v>7.0575749999999701E-2</v>
      </c>
      <c r="E61" s="60">
        <v>20</v>
      </c>
      <c r="F61" s="60">
        <v>1.99274999999988E-2</v>
      </c>
      <c r="G61" s="60">
        <v>4.98187499999969E-2</v>
      </c>
      <c r="H61" s="85">
        <v>0.64912402564777505</v>
      </c>
      <c r="I61" s="85">
        <v>0.6</v>
      </c>
      <c r="J61" s="85">
        <v>0.15</v>
      </c>
      <c r="K61" s="85">
        <v>0.463660018319839</v>
      </c>
      <c r="L61" s="60" t="s">
        <v>88</v>
      </c>
      <c r="M61" s="60">
        <v>14.803290101198099</v>
      </c>
      <c r="N61" s="60">
        <v>6.3281905369404701E-2</v>
      </c>
      <c r="O61" s="60">
        <v>0.16623659225356099</v>
      </c>
      <c r="P61" s="60">
        <v>8.9581011980897109E-3</v>
      </c>
      <c r="Q61" s="60">
        <v>14.7993000903006</v>
      </c>
      <c r="R61" s="60">
        <v>3.9900108975139403E-3</v>
      </c>
      <c r="S61" s="60">
        <v>14.833672148400799</v>
      </c>
      <c r="T61" s="60">
        <v>14.790300383955801</v>
      </c>
      <c r="U61" s="69">
        <v>14.803290101198099</v>
      </c>
      <c r="V61" s="69">
        <v>4.98187499999969E-2</v>
      </c>
    </row>
    <row r="62" spans="1:22" ht="12.75" thickBot="1">
      <c r="A62" s="73">
        <v>13</v>
      </c>
      <c r="B62" s="60">
        <v>17.5669225</v>
      </c>
      <c r="C62" s="60">
        <v>3.49500000000003E-2</v>
      </c>
      <c r="D62" s="60">
        <v>6.0605999999999903E-2</v>
      </c>
      <c r="E62" s="60">
        <v>20</v>
      </c>
      <c r="F62" s="60">
        <v>3.49500000000003E-2</v>
      </c>
      <c r="G62" s="60">
        <v>8.7375000000000605E-2</v>
      </c>
      <c r="H62" s="85">
        <v>0.887959042173046</v>
      </c>
      <c r="I62" s="85">
        <v>0.85</v>
      </c>
      <c r="J62" s="85">
        <v>0</v>
      </c>
      <c r="K62" s="85">
        <v>0.634256458695033</v>
      </c>
      <c r="L62" s="60" t="s">
        <v>86</v>
      </c>
      <c r="M62" s="60">
        <v>17.5956244807813</v>
      </c>
      <c r="N62" s="60">
        <v>8.6778593527719397E-2</v>
      </c>
      <c r="O62" s="60">
        <v>0.13105948562967301</v>
      </c>
      <c r="P62" s="60">
        <v>2.8701980781303101E-2</v>
      </c>
      <c r="Q62" s="60">
        <v>17.578660001315001</v>
      </c>
      <c r="R62" s="60">
        <v>1.6964479466345501E-2</v>
      </c>
      <c r="S62" s="60">
        <v>17.584613720277599</v>
      </c>
      <c r="T62" s="60">
        <v>17.571196256441699</v>
      </c>
      <c r="U62" s="69">
        <v>17.5956244807813</v>
      </c>
      <c r="V62" s="69">
        <v>8.7375000000000605E-2</v>
      </c>
    </row>
    <row r="63" spans="1:22" ht="12.75" thickBot="1">
      <c r="A63" s="73">
        <v>14</v>
      </c>
      <c r="B63" s="60">
        <v>18.494873999999999</v>
      </c>
      <c r="C63" s="60">
        <v>1.78482500000001E-2</v>
      </c>
      <c r="D63" s="60">
        <v>6.5992624999992699E-2</v>
      </c>
      <c r="E63" s="60">
        <v>20</v>
      </c>
      <c r="F63" s="60">
        <v>1.78482500000001E-2</v>
      </c>
      <c r="G63" s="60">
        <v>4.4620625000000302E-2</v>
      </c>
      <c r="H63" s="85">
        <v>0.65228327938863995</v>
      </c>
      <c r="I63" s="85">
        <v>0.6</v>
      </c>
      <c r="J63" s="85">
        <v>0.15</v>
      </c>
      <c r="K63" s="85">
        <v>0.46591662813474299</v>
      </c>
      <c r="L63" s="60" t="s">
        <v>88</v>
      </c>
      <c r="M63" s="60">
        <v>18.497520993544601</v>
      </c>
      <c r="N63" s="60">
        <v>7.6798178756079902E-2</v>
      </c>
      <c r="O63" s="60">
        <v>0.112687504960649</v>
      </c>
      <c r="P63" s="60">
        <v>2.64699354461229E-3</v>
      </c>
      <c r="Q63" s="60">
        <v>18.5194414878363</v>
      </c>
      <c r="R63" s="60">
        <v>-2.1920494291674E-2</v>
      </c>
      <c r="S63" s="60">
        <v>18.528514262978</v>
      </c>
      <c r="T63" s="60">
        <v>18.474248605801801</v>
      </c>
      <c r="U63" s="69">
        <v>18.497520993544601</v>
      </c>
      <c r="V63" s="69">
        <v>4.4620625000000302E-2</v>
      </c>
    </row>
    <row r="64" spans="1:22" ht="12.75" thickBot="1">
      <c r="A64" s="73">
        <v>15</v>
      </c>
      <c r="B64" s="60">
        <v>19.388335999999999</v>
      </c>
      <c r="C64" s="60">
        <v>1.9800500000000599E-2</v>
      </c>
      <c r="D64" s="60">
        <v>4.1528375000002199E-2</v>
      </c>
      <c r="E64" s="60">
        <v>20</v>
      </c>
      <c r="F64" s="60">
        <v>1.9800500000000599E-2</v>
      </c>
      <c r="G64" s="60">
        <v>4.9501250000001398E-2</v>
      </c>
      <c r="H64" s="85">
        <v>0.82545962711009202</v>
      </c>
      <c r="I64" s="85">
        <v>0.8</v>
      </c>
      <c r="J64" s="85">
        <v>0.05</v>
      </c>
      <c r="K64" s="85">
        <v>0.58961401936435198</v>
      </c>
      <c r="L64" s="60" t="s">
        <v>86</v>
      </c>
      <c r="M64" s="60">
        <v>19.408794338626102</v>
      </c>
      <c r="N64" s="60">
        <v>6.6298630517786006E-2</v>
      </c>
      <c r="O64" s="60">
        <v>0.109384230216946</v>
      </c>
      <c r="P64" s="60">
        <v>2.04583386260744E-2</v>
      </c>
      <c r="Q64" s="60">
        <v>19.424675851742901</v>
      </c>
      <c r="R64" s="60">
        <v>-1.5881513116859501E-2</v>
      </c>
      <c r="S64" s="60">
        <v>19.432724481828</v>
      </c>
      <c r="T64" s="60">
        <v>19.389941035170501</v>
      </c>
      <c r="U64" s="69">
        <v>19.408794338626102</v>
      </c>
      <c r="V64" s="69">
        <v>4.9501250000001398E-2</v>
      </c>
    </row>
    <row r="65" spans="1:22" ht="12.75" thickBot="1">
      <c r="A65" s="73">
        <v>16</v>
      </c>
      <c r="B65" s="60">
        <v>20.332564999999999</v>
      </c>
      <c r="C65" s="60">
        <v>1.9550999999996301E-2</v>
      </c>
      <c r="D65" s="60">
        <v>4.0379000000001497E-2</v>
      </c>
      <c r="E65" s="60">
        <v>17</v>
      </c>
      <c r="F65" s="60">
        <v>1.9550999999996301E-2</v>
      </c>
      <c r="G65" s="60">
        <v>4.8877499999990803E-2</v>
      </c>
      <c r="H65" s="85">
        <v>0.69929350811274404</v>
      </c>
      <c r="I65" s="85">
        <v>0.64705882352941202</v>
      </c>
      <c r="J65" s="85">
        <v>0</v>
      </c>
      <c r="K65" s="85">
        <v>0.49949536293767399</v>
      </c>
      <c r="L65" s="60" t="s">
        <v>88</v>
      </c>
      <c r="M65" s="60">
        <v>20.332865575428201</v>
      </c>
      <c r="N65" s="60">
        <v>6.6654900055276897E-2</v>
      </c>
      <c r="O65" s="60">
        <v>9.1123745494969599E-2</v>
      </c>
      <c r="P65" s="60">
        <v>3.0057542815597999E-4</v>
      </c>
      <c r="Q65" s="60">
        <v>20.3458314143808</v>
      </c>
      <c r="R65" s="60">
        <v>-1.2965838952609899E-2</v>
      </c>
      <c r="S65" s="60">
        <v>20.3679144537229</v>
      </c>
      <c r="T65" s="60">
        <v>20.314656045997701</v>
      </c>
      <c r="U65" s="69">
        <v>20.332865575428201</v>
      </c>
      <c r="V65" s="69">
        <v>4.8877499999990803E-2</v>
      </c>
    </row>
    <row r="66" spans="1:22" ht="12.75" thickBot="1">
      <c r="A66" s="82"/>
      <c r="B66" s="52"/>
      <c r="C66" s="52"/>
      <c r="D66" s="52"/>
      <c r="E66" s="51"/>
      <c r="F66" s="52"/>
      <c r="G66" s="52"/>
      <c r="H66" s="53"/>
      <c r="I66" s="53"/>
      <c r="J66" s="53"/>
      <c r="K66" s="53"/>
      <c r="L66" s="51"/>
      <c r="M66" s="52"/>
      <c r="N66" s="52"/>
      <c r="O66" s="52"/>
      <c r="P66" s="52"/>
      <c r="Q66" s="52"/>
      <c r="R66" s="52"/>
      <c r="S66" s="52"/>
      <c r="T66" s="52"/>
      <c r="U66" s="50"/>
      <c r="V66" s="50"/>
    </row>
    <row r="67" spans="1:22" ht="12.75" thickBot="1">
      <c r="A67" s="239" t="s">
        <v>124</v>
      </c>
      <c r="B67" s="239"/>
      <c r="C67" s="239"/>
      <c r="D67" s="239"/>
      <c r="E67" s="239"/>
      <c r="F67" s="239"/>
      <c r="G67" s="239"/>
      <c r="H67" s="239"/>
      <c r="I67" s="239"/>
      <c r="J67" s="239"/>
      <c r="K67" s="239"/>
      <c r="L67" s="239"/>
      <c r="M67" s="239"/>
      <c r="N67" s="239"/>
      <c r="O67" s="239"/>
      <c r="P67" s="239"/>
      <c r="Q67" s="239"/>
      <c r="R67" s="239"/>
      <c r="S67" s="239"/>
      <c r="T67" s="239"/>
      <c r="U67" s="239"/>
      <c r="V67" s="239"/>
    </row>
    <row r="68" spans="1:22" ht="12.75" thickBot="1">
      <c r="A68" s="238" t="s">
        <v>0</v>
      </c>
      <c r="B68" s="237" t="s">
        <v>83</v>
      </c>
      <c r="C68" s="237"/>
      <c r="D68" s="237"/>
      <c r="E68" s="237"/>
      <c r="F68" s="237"/>
      <c r="G68" s="237"/>
      <c r="H68" s="237"/>
      <c r="I68" s="237"/>
      <c r="J68" s="237"/>
      <c r="K68" s="237"/>
      <c r="L68" s="237"/>
      <c r="M68" s="237" t="s">
        <v>84</v>
      </c>
      <c r="N68" s="237"/>
      <c r="O68" s="237"/>
      <c r="P68" s="237"/>
      <c r="Q68" s="237"/>
      <c r="R68" s="237"/>
      <c r="S68" s="237" t="s">
        <v>85</v>
      </c>
      <c r="T68" s="237"/>
      <c r="U68" s="241" t="s">
        <v>81</v>
      </c>
      <c r="V68" s="240" t="s">
        <v>82</v>
      </c>
    </row>
    <row r="69" spans="1:22" ht="24.75" thickBot="1">
      <c r="A69" s="238"/>
      <c r="B69" s="217" t="s">
        <v>62</v>
      </c>
      <c r="C69" s="217" t="s">
        <v>63</v>
      </c>
      <c r="D69" s="217" t="s">
        <v>64</v>
      </c>
      <c r="E69" s="217" t="s">
        <v>65</v>
      </c>
      <c r="F69" s="217" t="s">
        <v>66</v>
      </c>
      <c r="G69" s="217" t="s">
        <v>67</v>
      </c>
      <c r="H69" s="218" t="s">
        <v>68</v>
      </c>
      <c r="I69" s="218" t="s">
        <v>69</v>
      </c>
      <c r="J69" s="218" t="s">
        <v>70</v>
      </c>
      <c r="K69" s="218" t="s">
        <v>71</v>
      </c>
      <c r="L69" s="217" t="s">
        <v>72</v>
      </c>
      <c r="M69" s="217" t="s">
        <v>73</v>
      </c>
      <c r="N69" s="217" t="s">
        <v>74</v>
      </c>
      <c r="O69" s="217" t="s">
        <v>75</v>
      </c>
      <c r="P69" s="217" t="s">
        <v>76</v>
      </c>
      <c r="Q69" s="217" t="s">
        <v>77</v>
      </c>
      <c r="R69" s="217" t="s">
        <v>78</v>
      </c>
      <c r="S69" s="217" t="s">
        <v>79</v>
      </c>
      <c r="T69" s="217" t="s">
        <v>80</v>
      </c>
      <c r="U69" s="242"/>
      <c r="V69" s="240"/>
    </row>
    <row r="70" spans="1:22" ht="12.75" thickBot="1">
      <c r="A70" s="74">
        <v>1</v>
      </c>
      <c r="B70" s="59">
        <v>0.70300100000000099</v>
      </c>
      <c r="C70" s="59">
        <v>4.3063999999998798E-2</v>
      </c>
      <c r="D70" s="59">
        <v>9.4873000000000096E-2</v>
      </c>
      <c r="E70" s="59">
        <v>19</v>
      </c>
      <c r="F70" s="59">
        <v>4.3063999999998798E-2</v>
      </c>
      <c r="G70" s="59">
        <v>0.10765999999999699</v>
      </c>
      <c r="H70" s="84">
        <v>0.81788327427896201</v>
      </c>
      <c r="I70" s="84">
        <v>0.78947368421052599</v>
      </c>
      <c r="J70" s="84">
        <v>0</v>
      </c>
      <c r="K70" s="84">
        <v>0.58420233877068795</v>
      </c>
      <c r="L70" s="59" t="s">
        <v>86</v>
      </c>
      <c r="M70" s="59">
        <v>0.72702738729557204</v>
      </c>
      <c r="N70" s="59">
        <v>9.7995415229563801E-2</v>
      </c>
      <c r="O70" s="59">
        <v>0.125287652472478</v>
      </c>
      <c r="P70" s="59">
        <v>2.40263872955719E-2</v>
      </c>
      <c r="Q70" s="59">
        <v>0.74291754536679599</v>
      </c>
      <c r="R70" s="59">
        <v>-1.5890158071223501E-2</v>
      </c>
      <c r="S70" s="59">
        <v>0.77391556803805295</v>
      </c>
      <c r="T70" s="59">
        <v>0.71828604390308204</v>
      </c>
      <c r="U70" s="69">
        <v>0.72702738729557204</v>
      </c>
      <c r="V70" s="69">
        <v>0.10765999999999699</v>
      </c>
    </row>
    <row r="71" spans="1:22" ht="12.75" thickBot="1">
      <c r="A71" s="73">
        <v>2</v>
      </c>
      <c r="B71" s="60">
        <v>1.766486</v>
      </c>
      <c r="C71" s="60">
        <v>1.5188749999999401E-2</v>
      </c>
      <c r="D71" s="60">
        <v>3.3294124999999397E-2</v>
      </c>
      <c r="E71" s="60">
        <v>20</v>
      </c>
      <c r="F71" s="60">
        <v>1.5188749999999401E-2</v>
      </c>
      <c r="G71" s="60">
        <v>3.7971874999998503E-2</v>
      </c>
      <c r="H71" s="85">
        <v>0.84601089789339501</v>
      </c>
      <c r="I71" s="85">
        <v>0.8</v>
      </c>
      <c r="J71" s="85">
        <v>0.05</v>
      </c>
      <c r="K71" s="85">
        <v>0.60429349849528202</v>
      </c>
      <c r="L71" s="60" t="s">
        <v>86</v>
      </c>
      <c r="M71" s="60">
        <v>1.7885446284316899</v>
      </c>
      <c r="N71" s="60">
        <v>5.1147075687661497E-2</v>
      </c>
      <c r="O71" s="60">
        <v>9.3892710608054306E-2</v>
      </c>
      <c r="P71" s="60">
        <v>2.20586284316877E-2</v>
      </c>
      <c r="Q71" s="60">
        <v>1.7959282011687301</v>
      </c>
      <c r="R71" s="60">
        <v>-7.3835727370419298E-3</v>
      </c>
      <c r="S71" s="60">
        <v>1.8067978003671901</v>
      </c>
      <c r="T71" s="60">
        <v>1.76382330449758</v>
      </c>
      <c r="U71" s="69">
        <v>1.7885446284316899</v>
      </c>
      <c r="V71" s="69">
        <v>3.7971874999998503E-2</v>
      </c>
    </row>
    <row r="72" spans="1:22" ht="12.75" thickBot="1">
      <c r="A72" s="73">
        <v>3</v>
      </c>
      <c r="B72" s="60">
        <v>2.125175</v>
      </c>
      <c r="C72" s="60">
        <v>2.4721500000000101E-2</v>
      </c>
      <c r="D72" s="60">
        <v>4.1963999999999703E-2</v>
      </c>
      <c r="E72" s="60">
        <v>20</v>
      </c>
      <c r="F72" s="60">
        <v>2.4721500000000101E-2</v>
      </c>
      <c r="G72" s="60">
        <v>6.1803750000000199E-2</v>
      </c>
      <c r="H72" s="85">
        <v>0.84391174868632002</v>
      </c>
      <c r="I72" s="85">
        <v>0.8</v>
      </c>
      <c r="J72" s="85">
        <v>0</v>
      </c>
      <c r="K72" s="85">
        <v>0.60279410620451401</v>
      </c>
      <c r="L72" s="60" t="s">
        <v>86</v>
      </c>
      <c r="M72" s="60">
        <v>2.1555030644554898</v>
      </c>
      <c r="N72" s="60">
        <v>5.2903351695426301E-2</v>
      </c>
      <c r="O72" s="60">
        <v>9.0819833249357398E-2</v>
      </c>
      <c r="P72" s="60">
        <v>3.0328064455492E-2</v>
      </c>
      <c r="Q72" s="60">
        <v>2.1557505750834798</v>
      </c>
      <c r="R72" s="60">
        <v>-2.4751062798733498E-4</v>
      </c>
      <c r="S72" s="60">
        <v>2.1724573057321601</v>
      </c>
      <c r="T72" s="60">
        <v>2.1261687374076002</v>
      </c>
      <c r="U72" s="69">
        <v>2.1555030644554898</v>
      </c>
      <c r="V72" s="69">
        <v>6.1803750000000199E-2</v>
      </c>
    </row>
    <row r="73" spans="1:22" ht="12.75" thickBot="1">
      <c r="A73" s="73">
        <v>4</v>
      </c>
      <c r="B73" s="60">
        <v>2.46122</v>
      </c>
      <c r="C73" s="60">
        <v>1.64740000000019E-2</v>
      </c>
      <c r="D73" s="60">
        <v>2.79982500000013E-2</v>
      </c>
      <c r="E73" s="60">
        <v>20</v>
      </c>
      <c r="F73" s="60">
        <v>1.64740000000019E-2</v>
      </c>
      <c r="G73" s="60">
        <v>4.1185000000004697E-2</v>
      </c>
      <c r="H73" s="85">
        <v>0.77146734066678602</v>
      </c>
      <c r="I73" s="85">
        <v>0.75</v>
      </c>
      <c r="J73" s="85">
        <v>0.2</v>
      </c>
      <c r="K73" s="85">
        <v>0.55104810047627495</v>
      </c>
      <c r="L73" s="60" t="s">
        <v>86</v>
      </c>
      <c r="M73" s="60">
        <v>2.4732176240005499</v>
      </c>
      <c r="N73" s="60">
        <v>5.8103402516819003E-2</v>
      </c>
      <c r="O73" s="60">
        <v>7.2228126314882998E-2</v>
      </c>
      <c r="P73" s="60">
        <v>1.19976240005513E-2</v>
      </c>
      <c r="Q73" s="60">
        <v>2.47927904067084</v>
      </c>
      <c r="R73" s="60">
        <v>-6.0614166702888097E-3</v>
      </c>
      <c r="S73" s="60">
        <v>2.50516240582545</v>
      </c>
      <c r="T73" s="60">
        <v>2.4703874823193601</v>
      </c>
      <c r="U73" s="69">
        <v>2.4732176240005499</v>
      </c>
      <c r="V73" s="69">
        <v>4.1185000000004697E-2</v>
      </c>
    </row>
    <row r="74" spans="1:22" ht="12.75" thickBot="1">
      <c r="A74" s="73">
        <v>5</v>
      </c>
      <c r="B74" s="60">
        <v>2.8956884999999999</v>
      </c>
      <c r="C74" s="60">
        <v>3.2329999999999998E-2</v>
      </c>
      <c r="D74" s="60">
        <v>5.9992999999999498E-2</v>
      </c>
      <c r="E74" s="60">
        <v>20</v>
      </c>
      <c r="F74" s="60">
        <v>3.2329999999999998E-2</v>
      </c>
      <c r="G74" s="60">
        <v>8.0824999999999897E-2</v>
      </c>
      <c r="H74" s="85">
        <v>0.78501934005672203</v>
      </c>
      <c r="I74" s="85">
        <v>0.75</v>
      </c>
      <c r="J74" s="85">
        <v>0.1</v>
      </c>
      <c r="K74" s="85">
        <v>0.56072810004051599</v>
      </c>
      <c r="L74" s="60" t="s">
        <v>86</v>
      </c>
      <c r="M74" s="60">
        <v>2.9022937793580401</v>
      </c>
      <c r="N74" s="60">
        <v>6.49402831304495E-2</v>
      </c>
      <c r="O74" s="60">
        <v>0.102460825352312</v>
      </c>
      <c r="P74" s="60">
        <v>6.6052793580397796E-3</v>
      </c>
      <c r="Q74" s="60">
        <v>2.9068550286786898</v>
      </c>
      <c r="R74" s="60">
        <v>-4.5612493206501599E-3</v>
      </c>
      <c r="S74" s="60">
        <v>2.9388498432697499</v>
      </c>
      <c r="T74" s="60">
        <v>2.8959069485526898</v>
      </c>
      <c r="U74" s="69">
        <v>2.9022937793580401</v>
      </c>
      <c r="V74" s="69">
        <v>8.0824999999999897E-2</v>
      </c>
    </row>
    <row r="75" spans="1:22" ht="12.75" thickBot="1">
      <c r="A75" s="73">
        <v>6</v>
      </c>
      <c r="B75" s="60">
        <v>4.011844</v>
      </c>
      <c r="C75" s="60">
        <v>1.5670750000000001E-2</v>
      </c>
      <c r="D75" s="60">
        <v>2.7395625000000499E-2</v>
      </c>
      <c r="E75" s="60">
        <v>20</v>
      </c>
      <c r="F75" s="60">
        <v>1.5670750000000001E-2</v>
      </c>
      <c r="G75" s="60">
        <v>3.9176874999999903E-2</v>
      </c>
      <c r="H75" s="85">
        <v>0.68360726820106898</v>
      </c>
      <c r="I75" s="85">
        <v>0.65</v>
      </c>
      <c r="J75" s="85">
        <v>0.1</v>
      </c>
      <c r="K75" s="85">
        <v>0.48829090585790602</v>
      </c>
      <c r="L75" s="60" t="s">
        <v>88</v>
      </c>
      <c r="M75" s="60">
        <v>4.0214144362196</v>
      </c>
      <c r="N75" s="60">
        <v>5.5135337085319799E-2</v>
      </c>
      <c r="O75" s="60">
        <v>0.109782469088226</v>
      </c>
      <c r="P75" s="60">
        <v>9.5704362196036303E-3</v>
      </c>
      <c r="Q75" s="60">
        <v>4.0286596758598403</v>
      </c>
      <c r="R75" s="60">
        <v>-7.2452396402411497E-3</v>
      </c>
      <c r="S75" s="60">
        <v>4.0497534492652996</v>
      </c>
      <c r="T75" s="60">
        <v>4.0082526220894801</v>
      </c>
      <c r="U75" s="69">
        <v>4.0214144362196</v>
      </c>
      <c r="V75" s="69">
        <v>3.9176874999999903E-2</v>
      </c>
    </row>
    <row r="76" spans="1:22" ht="12.75" thickBot="1">
      <c r="A76" s="73">
        <v>7</v>
      </c>
      <c r="B76" s="60">
        <v>4.3913000000000002</v>
      </c>
      <c r="C76" s="60">
        <v>3.2255999999999403E-2</v>
      </c>
      <c r="D76" s="60">
        <v>5.9402125000000999E-2</v>
      </c>
      <c r="E76" s="60">
        <v>20</v>
      </c>
      <c r="F76" s="60">
        <v>3.2255999999999403E-2</v>
      </c>
      <c r="G76" s="60">
        <v>8.0639999999998505E-2</v>
      </c>
      <c r="H76" s="85">
        <v>0.92816571274773696</v>
      </c>
      <c r="I76" s="85">
        <v>0.9</v>
      </c>
      <c r="J76" s="85">
        <v>0</v>
      </c>
      <c r="K76" s="85">
        <v>0.66297550910552605</v>
      </c>
      <c r="L76" s="60" t="s">
        <v>86</v>
      </c>
      <c r="M76" s="60">
        <v>4.4339459689030098</v>
      </c>
      <c r="N76" s="60">
        <v>7.6863680553375099E-2</v>
      </c>
      <c r="O76" s="60">
        <v>9.3829339560491998E-2</v>
      </c>
      <c r="P76" s="60">
        <v>4.2645968903009597E-2</v>
      </c>
      <c r="Q76" s="60">
        <v>4.4418556322235503</v>
      </c>
      <c r="R76" s="60">
        <v>-7.9096633205377707E-3</v>
      </c>
      <c r="S76" s="60">
        <v>4.4553043189684001</v>
      </c>
      <c r="T76" s="60">
        <v>4.4006958680191302</v>
      </c>
      <c r="U76" s="69">
        <v>4.4339459689030098</v>
      </c>
      <c r="V76" s="69">
        <v>8.0639999999998505E-2</v>
      </c>
    </row>
    <row r="77" spans="1:22" ht="12.75" thickBot="1">
      <c r="A77" s="73">
        <v>8</v>
      </c>
      <c r="B77" s="60">
        <v>4.7125355000000004</v>
      </c>
      <c r="C77" s="60">
        <v>1.8841499999999699E-2</v>
      </c>
      <c r="D77" s="60">
        <v>2.8546750000000301E-2</v>
      </c>
      <c r="E77" s="60">
        <v>20</v>
      </c>
      <c r="F77" s="60">
        <v>1.8841499999999699E-2</v>
      </c>
      <c r="G77" s="60">
        <v>4.7103749999999299E-2</v>
      </c>
      <c r="H77" s="85">
        <v>0.89653809607016399</v>
      </c>
      <c r="I77" s="85">
        <v>0.85</v>
      </c>
      <c r="J77" s="85">
        <v>0</v>
      </c>
      <c r="K77" s="85">
        <v>0.64038435433583196</v>
      </c>
      <c r="L77" s="60" t="s">
        <v>86</v>
      </c>
      <c r="M77" s="60">
        <v>4.7452195398369996</v>
      </c>
      <c r="N77" s="60">
        <v>6.1694831728706302E-2</v>
      </c>
      <c r="O77" s="60">
        <v>9.1495492396853298E-2</v>
      </c>
      <c r="P77" s="60">
        <v>3.2684039836996498E-2</v>
      </c>
      <c r="Q77" s="60">
        <v>4.7432310032069998</v>
      </c>
      <c r="R77" s="60">
        <v>1.9885366299927701E-3</v>
      </c>
      <c r="S77" s="60">
        <v>4.7508134449755604</v>
      </c>
      <c r="T77" s="60">
        <v>4.7101894973146203</v>
      </c>
      <c r="U77" s="69">
        <v>4.7452195398369996</v>
      </c>
      <c r="V77" s="69">
        <v>4.7103749999999299E-2</v>
      </c>
    </row>
    <row r="78" spans="1:22" ht="12.75" thickBot="1">
      <c r="A78" s="73">
        <v>9</v>
      </c>
      <c r="B78" s="60">
        <v>5.1285340000000001</v>
      </c>
      <c r="C78" s="60">
        <v>1.77119999999991E-2</v>
      </c>
      <c r="D78" s="60">
        <v>3.9902125000000198E-2</v>
      </c>
      <c r="E78" s="60">
        <v>20</v>
      </c>
      <c r="F78" s="60">
        <v>1.77119999999991E-2</v>
      </c>
      <c r="G78" s="60">
        <v>4.4279999999997703E-2</v>
      </c>
      <c r="H78" s="85">
        <v>0.82711131639419799</v>
      </c>
      <c r="I78" s="85">
        <v>0.8</v>
      </c>
      <c r="J78" s="85">
        <v>0.05</v>
      </c>
      <c r="K78" s="85">
        <v>0.59079379742442695</v>
      </c>
      <c r="L78" s="60" t="s">
        <v>86</v>
      </c>
      <c r="M78" s="60">
        <v>5.1428953681057603</v>
      </c>
      <c r="N78" s="60">
        <v>6.3081514343412207E-2</v>
      </c>
      <c r="O78" s="60">
        <v>0.107425606317754</v>
      </c>
      <c r="P78" s="60">
        <v>1.43613681057557E-2</v>
      </c>
      <c r="Q78" s="60">
        <v>5.1538393267049996</v>
      </c>
      <c r="R78" s="60">
        <v>-1.0943958599245501E-2</v>
      </c>
      <c r="S78" s="60">
        <v>5.1640392257000602</v>
      </c>
      <c r="T78" s="60">
        <v>5.1317709575401196</v>
      </c>
      <c r="U78" s="69">
        <v>5.1428953681057603</v>
      </c>
      <c r="V78" s="69">
        <v>4.4279999999997703E-2</v>
      </c>
    </row>
    <row r="79" spans="1:22" ht="12.75" thickBot="1">
      <c r="A79" s="73">
        <v>10</v>
      </c>
      <c r="B79" s="60">
        <v>5.8810510000000003</v>
      </c>
      <c r="C79" s="60">
        <v>1.4769000000000299E-2</v>
      </c>
      <c r="D79" s="60">
        <v>2.7131750000001498E-2</v>
      </c>
      <c r="E79" s="60">
        <v>20</v>
      </c>
      <c r="F79" s="60">
        <v>1.4769000000000299E-2</v>
      </c>
      <c r="G79" s="60">
        <v>3.6922500000000601E-2</v>
      </c>
      <c r="H79" s="85">
        <v>0.82545962711009202</v>
      </c>
      <c r="I79" s="85">
        <v>0.8</v>
      </c>
      <c r="J79" s="85">
        <v>0.1</v>
      </c>
      <c r="K79" s="85">
        <v>0.58961401936435198</v>
      </c>
      <c r="L79" s="60" t="s">
        <v>86</v>
      </c>
      <c r="M79" s="60">
        <v>5.8980295153819897</v>
      </c>
      <c r="N79" s="60">
        <v>5.0517351695426302E-2</v>
      </c>
      <c r="O79" s="60">
        <v>0.109800400787569</v>
      </c>
      <c r="P79" s="60">
        <v>1.6978515381986799E-2</v>
      </c>
      <c r="Q79" s="60">
        <v>5.8952437765428396</v>
      </c>
      <c r="R79" s="60">
        <v>2.7857388391465702E-3</v>
      </c>
      <c r="S79" s="60">
        <v>5.9185168825796</v>
      </c>
      <c r="T79" s="60">
        <v>5.8798457654362002</v>
      </c>
      <c r="U79" s="69">
        <v>5.8980295153819897</v>
      </c>
      <c r="V79" s="69">
        <v>3.6922500000000601E-2</v>
      </c>
    </row>
    <row r="80" spans="1:22" ht="12.75" thickBot="1">
      <c r="A80" s="73">
        <v>11</v>
      </c>
      <c r="B80" s="60">
        <v>6.2258060000000004</v>
      </c>
      <c r="C80" s="60">
        <v>3.4275749999999099E-2</v>
      </c>
      <c r="D80" s="60">
        <v>6.2163625000001103E-2</v>
      </c>
      <c r="E80" s="60">
        <v>20</v>
      </c>
      <c r="F80" s="60">
        <v>3.4275749999999099E-2</v>
      </c>
      <c r="G80" s="60">
        <v>8.5689374999997597E-2</v>
      </c>
      <c r="H80" s="85">
        <v>0.92816571274773696</v>
      </c>
      <c r="I80" s="85">
        <v>0.9</v>
      </c>
      <c r="J80" s="85">
        <v>0</v>
      </c>
      <c r="K80" s="85">
        <v>0.66297550910552605</v>
      </c>
      <c r="L80" s="60" t="s">
        <v>86</v>
      </c>
      <c r="M80" s="60">
        <v>6.26126158888726</v>
      </c>
      <c r="N80" s="60">
        <v>5.1650424160476799E-2</v>
      </c>
      <c r="O80" s="60">
        <v>9.4392628218218297E-2</v>
      </c>
      <c r="P80" s="60">
        <v>3.5455588887257E-2</v>
      </c>
      <c r="Q80" s="60">
        <v>6.2609606827712003</v>
      </c>
      <c r="R80" s="60">
        <v>3.0090611605793099E-4</v>
      </c>
      <c r="S80" s="60">
        <v>6.3010900182155298</v>
      </c>
      <c r="T80" s="60">
        <v>6.2281685310864301</v>
      </c>
      <c r="U80" s="69">
        <v>6.26126158888726</v>
      </c>
      <c r="V80" s="69">
        <v>8.5689374999997597E-2</v>
      </c>
    </row>
    <row r="81" spans="1:22" ht="12.75" thickBot="1">
      <c r="A81" s="73">
        <v>12</v>
      </c>
      <c r="B81" s="60">
        <v>6.5892590000000002</v>
      </c>
      <c r="C81" s="60">
        <v>1.9289000000000101E-2</v>
      </c>
      <c r="D81" s="60">
        <v>3.9837499999999103E-2</v>
      </c>
      <c r="E81" s="60">
        <v>20</v>
      </c>
      <c r="F81" s="60">
        <v>1.9289000000000101E-2</v>
      </c>
      <c r="G81" s="60">
        <v>4.82225000000003E-2</v>
      </c>
      <c r="H81" s="85">
        <v>0.70889712977235197</v>
      </c>
      <c r="I81" s="85">
        <v>0.7</v>
      </c>
      <c r="J81" s="85">
        <v>0.05</v>
      </c>
      <c r="K81" s="85">
        <v>0.50635509269453705</v>
      </c>
      <c r="L81" s="60" t="s">
        <v>86</v>
      </c>
      <c r="M81" s="60">
        <v>6.6026774326625697</v>
      </c>
      <c r="N81" s="60">
        <v>7.9277761056468096E-2</v>
      </c>
      <c r="O81" s="60">
        <v>8.2095274363335594E-2</v>
      </c>
      <c r="P81" s="60">
        <v>1.3418432662571299E-2</v>
      </c>
      <c r="Q81" s="60">
        <v>6.6248760171205001</v>
      </c>
      <c r="R81" s="60">
        <v>-2.2198584457926E-2</v>
      </c>
      <c r="S81" s="60">
        <v>6.6318826875465096</v>
      </c>
      <c r="T81" s="60">
        <v>6.5999053640058696</v>
      </c>
      <c r="U81" s="69">
        <v>6.6026774326625697</v>
      </c>
      <c r="V81" s="69">
        <v>4.82225000000003E-2</v>
      </c>
    </row>
    <row r="82" spans="1:22" ht="12.75" thickBot="1">
      <c r="A82" s="73">
        <v>13</v>
      </c>
      <c r="B82" s="60">
        <v>6.9686405000000002</v>
      </c>
      <c r="C82" s="60">
        <v>2.3303000000000299E-2</v>
      </c>
      <c r="D82" s="60">
        <v>4.2731749999998798E-2</v>
      </c>
      <c r="E82" s="60">
        <v>20</v>
      </c>
      <c r="F82" s="60">
        <v>2.3303000000000299E-2</v>
      </c>
      <c r="G82" s="60">
        <v>5.8257500000000698E-2</v>
      </c>
      <c r="H82" s="85">
        <v>0.68766083652833798</v>
      </c>
      <c r="I82" s="85">
        <v>0.65</v>
      </c>
      <c r="J82" s="85">
        <v>0.1</v>
      </c>
      <c r="K82" s="85">
        <v>0.49118631180595501</v>
      </c>
      <c r="L82" s="60" t="s">
        <v>88</v>
      </c>
      <c r="M82" s="60">
        <v>6.9780285354349099</v>
      </c>
      <c r="N82" s="60">
        <v>5.68977021040959E-2</v>
      </c>
      <c r="O82" s="60">
        <v>0.108955990626645</v>
      </c>
      <c r="P82" s="60">
        <v>9.3880354349105098E-3</v>
      </c>
      <c r="Q82" s="60">
        <v>7.0079904199568501</v>
      </c>
      <c r="R82" s="60">
        <v>-2.9961884521940301E-2</v>
      </c>
      <c r="S82" s="60">
        <v>7.0210431083747702</v>
      </c>
      <c r="T82" s="60">
        <v>6.9598657423655403</v>
      </c>
      <c r="U82" s="69">
        <v>6.9780285354349099</v>
      </c>
      <c r="V82" s="69">
        <v>5.8257500000000698E-2</v>
      </c>
    </row>
    <row r="83" spans="1:22" ht="12.75" thickBot="1">
      <c r="A83" s="73">
        <v>14</v>
      </c>
      <c r="B83" s="60">
        <v>7.3708914999999999</v>
      </c>
      <c r="C83" s="60">
        <v>1.88232500000001E-2</v>
      </c>
      <c r="D83" s="60">
        <v>3.1599249999998399E-2</v>
      </c>
      <c r="E83" s="60">
        <v>20</v>
      </c>
      <c r="F83" s="60">
        <v>1.88232500000001E-2</v>
      </c>
      <c r="G83" s="60">
        <v>4.70581250000002E-2</v>
      </c>
      <c r="H83" s="85">
        <v>0.74481266948203095</v>
      </c>
      <c r="I83" s="85">
        <v>0.7</v>
      </c>
      <c r="J83" s="85">
        <v>0.05</v>
      </c>
      <c r="K83" s="85">
        <v>0.53200904963002205</v>
      </c>
      <c r="L83" s="60" t="s">
        <v>86</v>
      </c>
      <c r="M83" s="60">
        <v>7.3771321344473701</v>
      </c>
      <c r="N83" s="60">
        <v>7.0482563576126298E-2</v>
      </c>
      <c r="O83" s="60">
        <v>0.11455780506705</v>
      </c>
      <c r="P83" s="60">
        <v>6.2406344473719998E-3</v>
      </c>
      <c r="Q83" s="60">
        <v>7.4060087810973396</v>
      </c>
      <c r="R83" s="60">
        <v>-2.8876646649964099E-2</v>
      </c>
      <c r="S83" s="60">
        <v>7.4106722621285197</v>
      </c>
      <c r="T83" s="60">
        <v>7.3638317049248201</v>
      </c>
      <c r="U83" s="69">
        <v>7.3771321344473701</v>
      </c>
      <c r="V83" s="69">
        <v>4.70581250000002E-2</v>
      </c>
    </row>
    <row r="84" spans="1:22" ht="12.75" thickBot="1">
      <c r="A84" s="73">
        <v>15</v>
      </c>
      <c r="B84" s="60">
        <v>8.4613545000000006</v>
      </c>
      <c r="C84" s="60">
        <v>1.64430000000007E-2</v>
      </c>
      <c r="D84" s="60">
        <v>3.1509500000002098E-2</v>
      </c>
      <c r="E84" s="60">
        <v>20</v>
      </c>
      <c r="F84" s="60">
        <v>1.64430000000007E-2</v>
      </c>
      <c r="G84" s="60">
        <v>4.1107500000001601E-2</v>
      </c>
      <c r="H84" s="85">
        <v>0.84435920860928904</v>
      </c>
      <c r="I84" s="85">
        <v>0.8</v>
      </c>
      <c r="J84" s="85">
        <v>0.05</v>
      </c>
      <c r="K84" s="85">
        <v>0.60311372043520595</v>
      </c>
      <c r="L84" s="60" t="s">
        <v>86</v>
      </c>
      <c r="M84" s="60">
        <v>8.4898612298451894</v>
      </c>
      <c r="N84" s="60">
        <v>4.7330021736895302E-2</v>
      </c>
      <c r="O84" s="60">
        <v>8.8086219227451204E-2</v>
      </c>
      <c r="P84" s="60">
        <v>2.8506729845185302E-2</v>
      </c>
      <c r="Q84" s="60">
        <v>8.4897848651317496</v>
      </c>
      <c r="R84" s="60">
        <v>7.6364713438081794E-5</v>
      </c>
      <c r="S84" s="60">
        <v>8.49657835561041</v>
      </c>
      <c r="T84" s="60">
        <v>8.4585507710611108</v>
      </c>
      <c r="U84" s="69">
        <v>8.4898612298451894</v>
      </c>
      <c r="V84" s="69">
        <v>4.1107500000001601E-2</v>
      </c>
    </row>
    <row r="85" spans="1:22" ht="12.75" thickBot="1">
      <c r="A85" s="73">
        <v>16</v>
      </c>
      <c r="B85" s="60">
        <v>8.8415949999999999</v>
      </c>
      <c r="C85" s="60">
        <v>1.8609500000000199E-2</v>
      </c>
      <c r="D85" s="60">
        <v>3.2341250000001799E-2</v>
      </c>
      <c r="E85" s="60">
        <v>20</v>
      </c>
      <c r="F85" s="60">
        <v>1.8609500000000199E-2</v>
      </c>
      <c r="G85" s="60">
        <v>4.6523750000000398E-2</v>
      </c>
      <c r="H85" s="85">
        <v>0.89653809607016399</v>
      </c>
      <c r="I85" s="85">
        <v>0.85</v>
      </c>
      <c r="J85" s="85">
        <v>0.1</v>
      </c>
      <c r="K85" s="85">
        <v>0.64038435433583196</v>
      </c>
      <c r="L85" s="60" t="s">
        <v>86</v>
      </c>
      <c r="M85" s="60">
        <v>8.8675278600366596</v>
      </c>
      <c r="N85" s="60">
        <v>6.03996519283665E-2</v>
      </c>
      <c r="O85" s="60">
        <v>8.5224129849109695E-2</v>
      </c>
      <c r="P85" s="60">
        <v>2.5932860036658002E-2</v>
      </c>
      <c r="Q85" s="60">
        <v>8.8651152586456092</v>
      </c>
      <c r="R85" s="60">
        <v>2.4126013910468198E-3</v>
      </c>
      <c r="S85" s="60">
        <v>8.8856852411133591</v>
      </c>
      <c r="T85" s="60">
        <v>8.8343493672647107</v>
      </c>
      <c r="U85" s="69">
        <v>8.8675278600366596</v>
      </c>
      <c r="V85" s="69">
        <v>4.6523750000000398E-2</v>
      </c>
    </row>
    <row r="86" spans="1:22" ht="12.75" thickBot="1">
      <c r="A86" s="73">
        <v>17</v>
      </c>
      <c r="B86" s="60">
        <v>9.1889350000000007</v>
      </c>
      <c r="C86" s="60">
        <v>1.4627000000000801E-2</v>
      </c>
      <c r="D86" s="60">
        <v>2.8869875000001599E-2</v>
      </c>
      <c r="E86" s="60">
        <v>20</v>
      </c>
      <c r="F86" s="60">
        <v>1.4627000000000801E-2</v>
      </c>
      <c r="G86" s="60">
        <v>3.6567500000002098E-2</v>
      </c>
      <c r="H86" s="85">
        <v>0.77448496901035402</v>
      </c>
      <c r="I86" s="85">
        <v>0.75</v>
      </c>
      <c r="J86" s="85">
        <v>0.15</v>
      </c>
      <c r="K86" s="85">
        <v>0.55320354929311</v>
      </c>
      <c r="L86" s="60" t="s">
        <v>86</v>
      </c>
      <c r="M86" s="60">
        <v>9.2064866652229096</v>
      </c>
      <c r="N86" s="60">
        <v>3.9673014343411903E-2</v>
      </c>
      <c r="O86" s="60">
        <v>6.06234672124751E-2</v>
      </c>
      <c r="P86" s="60">
        <v>1.75516652229071E-2</v>
      </c>
      <c r="Q86" s="60">
        <v>9.2081373515600191</v>
      </c>
      <c r="R86" s="60">
        <v>-1.6506863371148501E-3</v>
      </c>
      <c r="S86" s="60">
        <v>9.2333542013350502</v>
      </c>
      <c r="T86" s="60">
        <v>9.1931387491301599</v>
      </c>
      <c r="U86" s="69">
        <v>9.2064866652229096</v>
      </c>
      <c r="V86" s="69">
        <v>3.6567500000002098E-2</v>
      </c>
    </row>
    <row r="87" spans="1:22" ht="12.75" thickBot="1">
      <c r="A87" s="73">
        <v>18</v>
      </c>
      <c r="B87" s="60">
        <v>9.5539240000000003</v>
      </c>
      <c r="C87" s="60">
        <v>2.3926000000002098E-2</v>
      </c>
      <c r="D87" s="60">
        <v>5.6696749999998602E-2</v>
      </c>
      <c r="E87" s="60">
        <v>20</v>
      </c>
      <c r="F87" s="60">
        <v>2.3926000000002098E-2</v>
      </c>
      <c r="G87" s="60">
        <v>5.9815000000005301E-2</v>
      </c>
      <c r="H87" s="85">
        <v>0.82711131639419799</v>
      </c>
      <c r="I87" s="85">
        <v>0.8</v>
      </c>
      <c r="J87" s="85">
        <v>0</v>
      </c>
      <c r="K87" s="85">
        <v>0.59079379742442695</v>
      </c>
      <c r="L87" s="60" t="s">
        <v>86</v>
      </c>
      <c r="M87" s="60">
        <v>9.5749980385405706</v>
      </c>
      <c r="N87" s="60">
        <v>4.8984150624786303E-2</v>
      </c>
      <c r="O87" s="60">
        <v>7.3474592652478604E-2</v>
      </c>
      <c r="P87" s="60">
        <v>2.1074038540572101E-2</v>
      </c>
      <c r="Q87" s="60">
        <v>9.5866968417626097</v>
      </c>
      <c r="R87" s="60">
        <v>-1.16988032220391E-2</v>
      </c>
      <c r="S87" s="60">
        <v>9.5984525986835401</v>
      </c>
      <c r="T87" s="60">
        <v>9.5700459641797604</v>
      </c>
      <c r="U87" s="69">
        <v>9.5749980385405706</v>
      </c>
      <c r="V87" s="69">
        <v>5.9815000000005301E-2</v>
      </c>
    </row>
    <row r="88" spans="1:22" ht="12.75" thickBot="1">
      <c r="A88" s="73">
        <v>19</v>
      </c>
      <c r="B88" s="60">
        <v>10.778677999999999</v>
      </c>
      <c r="C88" s="60">
        <v>1.40185000000006E-2</v>
      </c>
      <c r="D88" s="60">
        <v>3.15616250000001E-2</v>
      </c>
      <c r="E88" s="60">
        <v>20</v>
      </c>
      <c r="F88" s="60">
        <v>1.40185000000006E-2</v>
      </c>
      <c r="G88" s="60">
        <v>3.50462500000015E-2</v>
      </c>
      <c r="H88" s="85">
        <v>0.76954680618351601</v>
      </c>
      <c r="I88" s="85">
        <v>0.75</v>
      </c>
      <c r="J88" s="85">
        <v>0.1</v>
      </c>
      <c r="K88" s="85">
        <v>0.54967629013108299</v>
      </c>
      <c r="L88" s="60" t="s">
        <v>86</v>
      </c>
      <c r="M88" s="60">
        <v>10.8021000415334</v>
      </c>
      <c r="N88" s="60">
        <v>4.8040575687661603E-2</v>
      </c>
      <c r="O88" s="60">
        <v>0.18953807296080499</v>
      </c>
      <c r="P88" s="60">
        <v>2.34220415333883E-2</v>
      </c>
      <c r="Q88" s="60">
        <v>10.785982930211</v>
      </c>
      <c r="R88" s="60">
        <v>1.6117111322419199E-2</v>
      </c>
      <c r="S88" s="60">
        <v>10.806503582435701</v>
      </c>
      <c r="T88" s="60">
        <v>10.784033830432801</v>
      </c>
      <c r="U88" s="69">
        <v>10.8021000415334</v>
      </c>
      <c r="V88" s="69">
        <v>3.50462500000015E-2</v>
      </c>
    </row>
    <row r="89" spans="1:22" ht="12.75" thickBot="1">
      <c r="A89" s="73">
        <v>20</v>
      </c>
      <c r="B89" s="60">
        <v>11.147026500000001</v>
      </c>
      <c r="C89" s="60">
        <v>1.6476500000000401E-2</v>
      </c>
      <c r="D89" s="60">
        <v>2.6468749999999399E-2</v>
      </c>
      <c r="E89" s="60">
        <v>20</v>
      </c>
      <c r="F89" s="60">
        <v>1.6476500000000401E-2</v>
      </c>
      <c r="G89" s="60">
        <v>4.1191250000001102E-2</v>
      </c>
      <c r="H89" s="85">
        <v>0.77448496901035402</v>
      </c>
      <c r="I89" s="85">
        <v>0.75</v>
      </c>
      <c r="J89" s="85">
        <v>0.1</v>
      </c>
      <c r="K89" s="85">
        <v>0.55320354929311</v>
      </c>
      <c r="L89" s="60" t="s">
        <v>86</v>
      </c>
      <c r="M89" s="60">
        <v>11.1572780846108</v>
      </c>
      <c r="N89" s="60">
        <v>6.7393787568361396E-2</v>
      </c>
      <c r="O89" s="60">
        <v>0.12873617651298699</v>
      </c>
      <c r="P89" s="60">
        <v>1.02515846108293E-2</v>
      </c>
      <c r="Q89" s="60">
        <v>11.156748362229999</v>
      </c>
      <c r="R89" s="60">
        <v>5.2972238080428702E-4</v>
      </c>
      <c r="S89" s="60">
        <v>11.180770312810999</v>
      </c>
      <c r="T89" s="60">
        <v>11.1475845246572</v>
      </c>
      <c r="U89" s="69">
        <v>11.1572780846108</v>
      </c>
      <c r="V89" s="69">
        <v>4.1191250000001102E-2</v>
      </c>
    </row>
    <row r="90" spans="1:22" ht="12.75" thickBot="1">
      <c r="A90" s="73">
        <v>21</v>
      </c>
      <c r="B90" s="60">
        <v>11.479191</v>
      </c>
      <c r="C90" s="60">
        <v>2.31049999999993E-2</v>
      </c>
      <c r="D90" s="60">
        <v>4.64523749999994E-2</v>
      </c>
      <c r="E90" s="60">
        <v>20</v>
      </c>
      <c r="F90" s="60">
        <v>2.31049999999993E-2</v>
      </c>
      <c r="G90" s="60">
        <v>5.7762499999998197E-2</v>
      </c>
      <c r="H90" s="85">
        <v>0.825012167187123</v>
      </c>
      <c r="I90" s="85">
        <v>0.8</v>
      </c>
      <c r="J90" s="85">
        <v>0.1</v>
      </c>
      <c r="K90" s="85">
        <v>0.58929440513366005</v>
      </c>
      <c r="L90" s="60" t="s">
        <v>86</v>
      </c>
      <c r="M90" s="60">
        <v>11.5092608502512</v>
      </c>
      <c r="N90" s="60">
        <v>6.5483471267336196E-2</v>
      </c>
      <c r="O90" s="60">
        <v>9.7878174861244505E-2</v>
      </c>
      <c r="P90" s="60">
        <v>3.00698502511541E-2</v>
      </c>
      <c r="Q90" s="60">
        <v>11.507199004135799</v>
      </c>
      <c r="R90" s="60">
        <v>2.0618461153159E-3</v>
      </c>
      <c r="S90" s="60">
        <v>11.534506732500001</v>
      </c>
      <c r="T90" s="60">
        <v>11.482960077888899</v>
      </c>
      <c r="U90" s="69">
        <v>11.5092608502512</v>
      </c>
      <c r="V90" s="69">
        <v>5.7762499999998197E-2</v>
      </c>
    </row>
    <row r="91" spans="1:22" ht="12.75" thickBot="1">
      <c r="A91" s="73">
        <v>22</v>
      </c>
      <c r="B91" s="60">
        <v>11.893546000000001</v>
      </c>
      <c r="C91" s="60">
        <v>1.7475000000001E-2</v>
      </c>
      <c r="D91" s="60">
        <v>4.9392250000002101E-2</v>
      </c>
      <c r="E91" s="60">
        <v>20</v>
      </c>
      <c r="F91" s="60">
        <v>1.7475000000001E-2</v>
      </c>
      <c r="G91" s="60">
        <v>4.3687500000002502E-2</v>
      </c>
      <c r="H91" s="85">
        <v>0.77448496901035402</v>
      </c>
      <c r="I91" s="85">
        <v>0.75</v>
      </c>
      <c r="J91" s="85">
        <v>0.2</v>
      </c>
      <c r="K91" s="85">
        <v>0.55320354929311</v>
      </c>
      <c r="L91" s="60" t="s">
        <v>86</v>
      </c>
      <c r="M91" s="60">
        <v>11.899162598924599</v>
      </c>
      <c r="N91" s="60">
        <v>5.1571971848237301E-2</v>
      </c>
      <c r="O91" s="60">
        <v>0.115349417581195</v>
      </c>
      <c r="P91" s="60">
        <v>5.6165989245506899E-3</v>
      </c>
      <c r="Q91" s="60">
        <v>11.8930292037151</v>
      </c>
      <c r="R91" s="60">
        <v>6.13339520940315E-3</v>
      </c>
      <c r="S91" s="60">
        <v>11.921254875938599</v>
      </c>
      <c r="T91" s="60">
        <v>11.8870024147792</v>
      </c>
      <c r="U91" s="69">
        <v>11.899162598924599</v>
      </c>
      <c r="V91" s="69">
        <v>4.3687500000002502E-2</v>
      </c>
    </row>
    <row r="92" spans="1:22" ht="12.75" thickBot="1">
      <c r="A92" s="73">
        <v>23</v>
      </c>
      <c r="B92" s="60">
        <v>12.2095225</v>
      </c>
      <c r="C92" s="60">
        <v>1.4079999999999E-2</v>
      </c>
      <c r="D92" s="60">
        <v>2.9013499999999599E-2</v>
      </c>
      <c r="E92" s="60">
        <v>20</v>
      </c>
      <c r="F92" s="60">
        <v>1.4079999999999E-2</v>
      </c>
      <c r="G92" s="60">
        <v>3.5199999999997497E-2</v>
      </c>
      <c r="H92" s="85">
        <v>0.78480549661243304</v>
      </c>
      <c r="I92" s="85">
        <v>0.75</v>
      </c>
      <c r="J92" s="85">
        <v>0.15</v>
      </c>
      <c r="K92" s="85">
        <v>0.560575354723166</v>
      </c>
      <c r="L92" s="60" t="s">
        <v>86</v>
      </c>
      <c r="M92" s="60">
        <v>12.237016982725301</v>
      </c>
      <c r="N92" s="60">
        <v>6.8430772337979506E-2</v>
      </c>
      <c r="O92" s="60">
        <v>0.118481300842988</v>
      </c>
      <c r="P92" s="60">
        <v>2.7494482725311201E-2</v>
      </c>
      <c r="Q92" s="60">
        <v>12.2267946433617</v>
      </c>
      <c r="R92" s="60">
        <v>1.022233936364E-2</v>
      </c>
      <c r="S92" s="60">
        <v>12.2455346529685</v>
      </c>
      <c r="T92" s="60">
        <v>12.218685185876</v>
      </c>
      <c r="U92" s="69">
        <v>12.237016982725301</v>
      </c>
      <c r="V92" s="69">
        <v>3.5199999999997497E-2</v>
      </c>
    </row>
    <row r="93" spans="1:22" ht="12.75" thickBot="1">
      <c r="A93" s="73">
        <v>24</v>
      </c>
      <c r="B93" s="60">
        <v>12.584279</v>
      </c>
      <c r="C93" s="60">
        <v>1.8948E-2</v>
      </c>
      <c r="D93" s="60">
        <v>3.7415250000002197E-2</v>
      </c>
      <c r="E93" s="60">
        <v>19</v>
      </c>
      <c r="F93" s="60">
        <v>1.8948E-2</v>
      </c>
      <c r="G93" s="60">
        <v>4.7369999999999898E-2</v>
      </c>
      <c r="H93" s="85">
        <v>0.85773178104965198</v>
      </c>
      <c r="I93" s="85">
        <v>0.84210526315789502</v>
      </c>
      <c r="J93" s="85">
        <v>0.105263157894737</v>
      </c>
      <c r="K93" s="85">
        <v>0.61266555789260901</v>
      </c>
      <c r="L93" s="60" t="s">
        <v>86</v>
      </c>
      <c r="M93" s="60">
        <v>12.610184259789101</v>
      </c>
      <c r="N93" s="60">
        <v>5.7422377860506003E-2</v>
      </c>
      <c r="O93" s="60">
        <v>0.110450542966848</v>
      </c>
      <c r="P93" s="60">
        <v>2.5905259789112699E-2</v>
      </c>
      <c r="Q93" s="60">
        <v>12.598002070727199</v>
      </c>
      <c r="R93" s="60">
        <v>1.21821890618801E-2</v>
      </c>
      <c r="S93" s="60">
        <v>12.6211443293387</v>
      </c>
      <c r="T93" s="60">
        <v>12.58905655553</v>
      </c>
      <c r="U93" s="69">
        <v>12.610184259789101</v>
      </c>
      <c r="V93" s="69">
        <v>4.7369999999999898E-2</v>
      </c>
    </row>
    <row r="94" spans="1:22" ht="12.75" thickBot="1">
      <c r="A94" s="73">
        <v>25</v>
      </c>
      <c r="B94" s="60">
        <v>12.946044499999999</v>
      </c>
      <c r="C94" s="60">
        <v>1.43700000000004E-2</v>
      </c>
      <c r="D94" s="60">
        <v>2.7739875000000001E-2</v>
      </c>
      <c r="E94" s="60">
        <v>20</v>
      </c>
      <c r="F94" s="60">
        <v>1.43700000000004E-2</v>
      </c>
      <c r="G94" s="60">
        <v>3.5925000000001102E-2</v>
      </c>
      <c r="H94" s="85">
        <v>0.80580422731870405</v>
      </c>
      <c r="I94" s="85">
        <v>0.75</v>
      </c>
      <c r="J94" s="85">
        <v>0.05</v>
      </c>
      <c r="K94" s="85">
        <v>0.57557444808478897</v>
      </c>
      <c r="L94" s="60" t="s">
        <v>86</v>
      </c>
      <c r="M94" s="60">
        <v>12.968534192152299</v>
      </c>
      <c r="N94" s="60">
        <v>4.4620484044008299E-2</v>
      </c>
      <c r="O94" s="60">
        <v>8.1637190299921794E-2</v>
      </c>
      <c r="P94" s="60">
        <v>2.2489692152298301E-2</v>
      </c>
      <c r="Q94" s="60">
        <v>12.9870897696697</v>
      </c>
      <c r="R94" s="60">
        <v>-1.855557751745E-2</v>
      </c>
      <c r="S94" s="60">
        <v>12.9959357943581</v>
      </c>
      <c r="T94" s="60">
        <v>12.939680783603499</v>
      </c>
      <c r="U94" s="69">
        <v>12.968534192152299</v>
      </c>
      <c r="V94" s="69">
        <v>3.5925000000001102E-2</v>
      </c>
    </row>
    <row r="95" spans="1:22" ht="12.75" thickBot="1">
      <c r="A95" s="73">
        <v>26</v>
      </c>
      <c r="B95" s="60">
        <v>13.317185</v>
      </c>
      <c r="C95" s="60">
        <v>2.1429750000000199E-2</v>
      </c>
      <c r="D95" s="60">
        <v>3.9716749999998399E-2</v>
      </c>
      <c r="E95" s="60">
        <v>20</v>
      </c>
      <c r="F95" s="60">
        <v>2.1429750000000199E-2</v>
      </c>
      <c r="G95" s="60">
        <v>5.3574375000000597E-2</v>
      </c>
      <c r="H95" s="85">
        <v>0.89653809607016399</v>
      </c>
      <c r="I95" s="85">
        <v>0.85</v>
      </c>
      <c r="J95" s="85">
        <v>0</v>
      </c>
      <c r="K95" s="85">
        <v>0.64038435433583196</v>
      </c>
      <c r="L95" s="60" t="s">
        <v>86</v>
      </c>
      <c r="M95" s="60">
        <v>13.340930873149199</v>
      </c>
      <c r="N95" s="60">
        <v>4.9376742721419099E-2</v>
      </c>
      <c r="O95" s="60">
        <v>7.34128398790483E-2</v>
      </c>
      <c r="P95" s="60">
        <v>2.37458731492293E-2</v>
      </c>
      <c r="Q95" s="60">
        <v>13.353392120207401</v>
      </c>
      <c r="R95" s="60">
        <v>-1.24612470581322E-2</v>
      </c>
      <c r="S95" s="60">
        <v>13.3627062779822</v>
      </c>
      <c r="T95" s="60">
        <v>13.309463421216501</v>
      </c>
      <c r="U95" s="69">
        <v>13.340930873149199</v>
      </c>
      <c r="V95" s="69">
        <v>5.3574375000000597E-2</v>
      </c>
    </row>
    <row r="96" spans="1:22" ht="12.75" thickBot="1">
      <c r="A96" s="73">
        <v>27</v>
      </c>
      <c r="B96" s="60">
        <v>13.683448</v>
      </c>
      <c r="C96" s="60">
        <v>2.0796749999999701E-2</v>
      </c>
      <c r="D96" s="60">
        <v>4.1907625000000302E-2</v>
      </c>
      <c r="E96" s="60">
        <v>20</v>
      </c>
      <c r="F96" s="60">
        <v>2.0796749999999701E-2</v>
      </c>
      <c r="G96" s="60">
        <v>5.1991874999999202E-2</v>
      </c>
      <c r="H96" s="85">
        <v>0.79548369971662602</v>
      </c>
      <c r="I96" s="85">
        <v>0.75</v>
      </c>
      <c r="J96" s="85">
        <v>0</v>
      </c>
      <c r="K96" s="85">
        <v>0.56820264265473297</v>
      </c>
      <c r="L96" s="60" t="s">
        <v>86</v>
      </c>
      <c r="M96" s="60">
        <v>13.6877257746839</v>
      </c>
      <c r="N96" s="60">
        <v>5.7248311155817598E-2</v>
      </c>
      <c r="O96" s="60">
        <v>6.5134575049503193E-2</v>
      </c>
      <c r="P96" s="60">
        <v>4.2777746839259799E-3</v>
      </c>
      <c r="Q96" s="60">
        <v>13.702350151589</v>
      </c>
      <c r="R96" s="60">
        <v>-1.4624376905072E-2</v>
      </c>
      <c r="S96" s="60">
        <v>13.723706491822499</v>
      </c>
      <c r="T96" s="60">
        <v>13.6761890520362</v>
      </c>
      <c r="U96" s="69">
        <v>13.6877257746839</v>
      </c>
      <c r="V96" s="69">
        <v>5.1991874999999202E-2</v>
      </c>
    </row>
    <row r="97" spans="1:22" ht="12.75" thickBot="1">
      <c r="A97" s="73">
        <v>28</v>
      </c>
      <c r="B97" s="60">
        <v>14.0890795</v>
      </c>
      <c r="C97" s="60">
        <v>3.0597499999998098E-2</v>
      </c>
      <c r="D97" s="60">
        <v>5.7479749999997103E-2</v>
      </c>
      <c r="E97" s="60">
        <v>20</v>
      </c>
      <c r="F97" s="60">
        <v>3.0597499999998098E-2</v>
      </c>
      <c r="G97" s="60">
        <v>7.64937499999951E-2</v>
      </c>
      <c r="H97" s="85">
        <v>0.75637065270571602</v>
      </c>
      <c r="I97" s="85">
        <v>0.75</v>
      </c>
      <c r="J97" s="85">
        <v>0.05</v>
      </c>
      <c r="K97" s="85">
        <v>0.540264751932654</v>
      </c>
      <c r="L97" s="60" t="s">
        <v>86</v>
      </c>
      <c r="M97" s="60">
        <v>14.110999313034201</v>
      </c>
      <c r="N97" s="60">
        <v>5.6786242721418703E-2</v>
      </c>
      <c r="O97" s="60">
        <v>0.11240161646227501</v>
      </c>
      <c r="P97" s="60">
        <v>2.19198130341773E-2</v>
      </c>
      <c r="Q97" s="60">
        <v>14.1084390307</v>
      </c>
      <c r="R97" s="60">
        <v>2.5602823341763798E-3</v>
      </c>
      <c r="S97" s="60">
        <v>14.153542519861499</v>
      </c>
      <c r="T97" s="60">
        <v>14.092119036095101</v>
      </c>
      <c r="U97" s="69">
        <v>14.110999313034201</v>
      </c>
      <c r="V97" s="69">
        <v>7.64937499999951E-2</v>
      </c>
    </row>
    <row r="98" spans="1:22" ht="12.75" thickBot="1">
      <c r="A98" s="73">
        <v>29</v>
      </c>
      <c r="B98" s="60">
        <v>15.247077000000001</v>
      </c>
      <c r="C98" s="60">
        <v>2.2932500000000501E-2</v>
      </c>
      <c r="D98" s="60">
        <v>3.92108750000002E-2</v>
      </c>
      <c r="E98" s="60">
        <v>20</v>
      </c>
      <c r="F98" s="60">
        <v>2.2932500000000501E-2</v>
      </c>
      <c r="G98" s="60">
        <v>5.7331250000001201E-2</v>
      </c>
      <c r="H98" s="85">
        <v>0.84391174868632002</v>
      </c>
      <c r="I98" s="85">
        <v>0.8</v>
      </c>
      <c r="J98" s="85">
        <v>0</v>
      </c>
      <c r="K98" s="85">
        <v>0.60279410620451401</v>
      </c>
      <c r="L98" s="60" t="s">
        <v>86</v>
      </c>
      <c r="M98" s="60">
        <v>15.2717935863083</v>
      </c>
      <c r="N98" s="60">
        <v>6.3010575687661496E-2</v>
      </c>
      <c r="O98" s="60">
        <v>8.1291428491639298E-2</v>
      </c>
      <c r="P98" s="60">
        <v>2.4716586308308301E-2</v>
      </c>
      <c r="Q98" s="60">
        <v>15.277497293358399</v>
      </c>
      <c r="R98" s="60">
        <v>-5.7037070500616203E-3</v>
      </c>
      <c r="S98" s="60">
        <v>15.2898382291001</v>
      </c>
      <c r="T98" s="60">
        <v>15.246396075358099</v>
      </c>
      <c r="U98" s="69">
        <v>15.2717935863083</v>
      </c>
      <c r="V98" s="69">
        <v>5.7331250000001201E-2</v>
      </c>
    </row>
    <row r="99" spans="1:22" ht="12.75" thickBot="1">
      <c r="A99" s="73">
        <v>30</v>
      </c>
      <c r="B99" s="60">
        <v>15.633432000000001</v>
      </c>
      <c r="C99" s="60">
        <v>2.4075250000000999E-2</v>
      </c>
      <c r="D99" s="60">
        <v>6.9898625000000394E-2</v>
      </c>
      <c r="E99" s="60">
        <v>18</v>
      </c>
      <c r="F99" s="60">
        <v>2.4075250000000999E-2</v>
      </c>
      <c r="G99" s="60">
        <v>6.01881250000025E-2</v>
      </c>
      <c r="H99" s="85">
        <v>0.70269167653157005</v>
      </c>
      <c r="I99" s="85">
        <v>0.66666666666666696</v>
      </c>
      <c r="J99" s="85">
        <v>0.16666666666666699</v>
      </c>
      <c r="K99" s="85">
        <v>0.50192262609397897</v>
      </c>
      <c r="L99" s="60" t="s">
        <v>86</v>
      </c>
      <c r="M99" s="60">
        <v>15.6386224934236</v>
      </c>
      <c r="N99" s="60">
        <v>7.8837525928707505E-2</v>
      </c>
      <c r="O99" s="60">
        <v>0.18502452291944699</v>
      </c>
      <c r="P99" s="60">
        <v>5.1904934236333099E-3</v>
      </c>
      <c r="Q99" s="60">
        <v>15.626256633432501</v>
      </c>
      <c r="R99" s="60">
        <v>1.23658599911813E-2</v>
      </c>
      <c r="S99" s="60">
        <v>15.669431004002201</v>
      </c>
      <c r="T99" s="60">
        <v>15.619059905852099</v>
      </c>
      <c r="U99" s="69">
        <v>15.6386224934236</v>
      </c>
      <c r="V99" s="69">
        <v>6.01881250000025E-2</v>
      </c>
    </row>
    <row r="100" spans="1:22" ht="12.75" thickBot="1">
      <c r="A100" s="73">
        <v>31</v>
      </c>
      <c r="B100" s="60">
        <v>16.4710325</v>
      </c>
      <c r="C100" s="60">
        <v>2.5673499999999901E-2</v>
      </c>
      <c r="D100" s="60">
        <v>7.8401249999998895E-2</v>
      </c>
      <c r="E100" s="60">
        <v>19</v>
      </c>
      <c r="F100" s="60">
        <v>2.5673499999999901E-2</v>
      </c>
      <c r="G100" s="60">
        <v>6.4183749999999803E-2</v>
      </c>
      <c r="H100" s="85">
        <v>0.74090174678548704</v>
      </c>
      <c r="I100" s="85">
        <v>0.68421052631578905</v>
      </c>
      <c r="J100" s="85">
        <v>0</v>
      </c>
      <c r="K100" s="85">
        <v>0.52921553341820504</v>
      </c>
      <c r="L100" s="60" t="s">
        <v>86</v>
      </c>
      <c r="M100" s="60">
        <v>16.486323119282101</v>
      </c>
      <c r="N100" s="60">
        <v>6.1338165077876303E-2</v>
      </c>
      <c r="O100" s="60">
        <v>0.118909454656312</v>
      </c>
      <c r="P100" s="60">
        <v>1.52906192820588E-2</v>
      </c>
      <c r="Q100" s="60">
        <v>16.491690225588702</v>
      </c>
      <c r="R100" s="60">
        <v>-5.3671063066609301E-3</v>
      </c>
      <c r="S100" s="60">
        <v>16.515557205619299</v>
      </c>
      <c r="T100" s="60">
        <v>16.469062617543301</v>
      </c>
      <c r="U100" s="69">
        <v>16.486323119282101</v>
      </c>
      <c r="V100" s="69">
        <v>6.4183749999999803E-2</v>
      </c>
    </row>
    <row r="101" spans="1:22">
      <c r="U101" s="49"/>
      <c r="V101" s="49"/>
    </row>
  </sheetData>
  <mergeCells count="35">
    <mergeCell ref="U31:U32"/>
    <mergeCell ref="V31:V32"/>
    <mergeCell ref="U22:U23"/>
    <mergeCell ref="V22:V23"/>
    <mergeCell ref="A47:V47"/>
    <mergeCell ref="S22:T22"/>
    <mergeCell ref="B48:L48"/>
    <mergeCell ref="M48:R48"/>
    <mergeCell ref="S48:T48"/>
    <mergeCell ref="A67:V67"/>
    <mergeCell ref="A68:A69"/>
    <mergeCell ref="B68:L68"/>
    <mergeCell ref="M68:R68"/>
    <mergeCell ref="S68:T68"/>
    <mergeCell ref="U68:U69"/>
    <mergeCell ref="V68:V69"/>
    <mergeCell ref="A48:A49"/>
    <mergeCell ref="U48:U49"/>
    <mergeCell ref="V48:V49"/>
    <mergeCell ref="A1:V1"/>
    <mergeCell ref="A22:A23"/>
    <mergeCell ref="A21:V21"/>
    <mergeCell ref="A30:V30"/>
    <mergeCell ref="A31:A32"/>
    <mergeCell ref="B31:L31"/>
    <mergeCell ref="M31:R31"/>
    <mergeCell ref="S31:T31"/>
    <mergeCell ref="U2:U3"/>
    <mergeCell ref="V2:V3"/>
    <mergeCell ref="A2:A3"/>
    <mergeCell ref="B2:L2"/>
    <mergeCell ref="M2:R2"/>
    <mergeCell ref="S2:T2"/>
    <mergeCell ref="B22:L22"/>
    <mergeCell ref="M22:R22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A53810-05DB-4D32-8098-A06CAB532EC7}">
  <dimension ref="A1:H19"/>
  <sheetViews>
    <sheetView workbookViewId="0">
      <selection activeCell="F19" sqref="A1:H19"/>
    </sheetView>
  </sheetViews>
  <sheetFormatPr defaultRowHeight="15"/>
  <cols>
    <col min="1" max="1" width="18.42578125" customWidth="1"/>
    <col min="7" max="7" width="18.28515625" customWidth="1"/>
  </cols>
  <sheetData>
    <row r="1" spans="1:8" ht="15.75" thickBot="1">
      <c r="A1" s="62" t="s">
        <v>32</v>
      </c>
      <c r="B1" s="66" t="s">
        <v>5</v>
      </c>
      <c r="C1" s="62" t="s">
        <v>4</v>
      </c>
      <c r="D1" s="66" t="s">
        <v>8</v>
      </c>
      <c r="E1" s="62" t="s">
        <v>9</v>
      </c>
      <c r="F1" s="243" t="s">
        <v>10</v>
      </c>
      <c r="G1" s="243"/>
      <c r="H1" s="243"/>
    </row>
    <row r="2" spans="1:8" ht="15.75" thickBot="1">
      <c r="A2" s="77">
        <v>1</v>
      </c>
      <c r="B2" s="78">
        <v>1.8</v>
      </c>
      <c r="C2" s="60">
        <v>1.28</v>
      </c>
      <c r="D2" s="78">
        <v>1.1599999999999999</v>
      </c>
      <c r="E2" s="60">
        <v>0.98</v>
      </c>
      <c r="F2" s="78">
        <v>0.73</v>
      </c>
      <c r="G2" s="68" t="s">
        <v>33</v>
      </c>
      <c r="H2" s="79"/>
    </row>
    <row r="3" spans="1:8" ht="15.75" thickBot="1">
      <c r="A3" s="77">
        <v>2</v>
      </c>
      <c r="B3" s="78">
        <v>3.08</v>
      </c>
      <c r="C3" s="60">
        <v>3.91</v>
      </c>
      <c r="D3" s="78">
        <v>2.4700000000000002</v>
      </c>
      <c r="E3" s="60">
        <v>2</v>
      </c>
      <c r="F3" s="78">
        <v>1.79</v>
      </c>
      <c r="G3" s="77">
        <v>17</v>
      </c>
      <c r="H3" s="78">
        <v>9.2100000000000009</v>
      </c>
    </row>
    <row r="4" spans="1:8" ht="15.75" thickBot="1">
      <c r="A4" s="77">
        <v>3</v>
      </c>
      <c r="B4" s="78">
        <v>4.42</v>
      </c>
      <c r="C4" s="60">
        <v>6.61</v>
      </c>
      <c r="D4" s="78">
        <v>3.81</v>
      </c>
      <c r="E4" s="60">
        <v>2.87</v>
      </c>
      <c r="F4" s="78">
        <v>2.16</v>
      </c>
      <c r="G4" s="77">
        <v>18</v>
      </c>
      <c r="H4" s="78">
        <v>9.57</v>
      </c>
    </row>
    <row r="5" spans="1:8" ht="15.75" thickBot="1">
      <c r="A5" s="77">
        <v>4</v>
      </c>
      <c r="B5" s="78">
        <v>5.69</v>
      </c>
      <c r="C5" s="60">
        <v>9.2100000000000009</v>
      </c>
      <c r="D5" s="78">
        <v>5.0199999999999996</v>
      </c>
      <c r="E5" s="60">
        <v>3.77</v>
      </c>
      <c r="F5" s="78">
        <v>2.4700000000000002</v>
      </c>
      <c r="G5" s="77">
        <v>19</v>
      </c>
      <c r="H5" s="78">
        <v>10.8</v>
      </c>
    </row>
    <row r="6" spans="1:8" ht="15.75" thickBot="1">
      <c r="A6" s="77">
        <v>5</v>
      </c>
      <c r="B6" s="78">
        <v>7.1</v>
      </c>
      <c r="C6" s="60">
        <v>11.62</v>
      </c>
      <c r="D6" s="78">
        <v>6.33</v>
      </c>
      <c r="E6" s="60">
        <v>6.52</v>
      </c>
      <c r="F6" s="78">
        <v>2.9</v>
      </c>
      <c r="G6" s="77">
        <v>20</v>
      </c>
      <c r="H6" s="78">
        <v>11.16</v>
      </c>
    </row>
    <row r="7" spans="1:8" ht="15.75" thickBot="1">
      <c r="A7" s="77">
        <v>6</v>
      </c>
      <c r="B7" s="78">
        <v>8.34</v>
      </c>
      <c r="C7" s="65"/>
      <c r="D7" s="78">
        <v>7.72</v>
      </c>
      <c r="E7" s="60">
        <v>7.5</v>
      </c>
      <c r="F7" s="78">
        <v>4.0199999999999996</v>
      </c>
      <c r="G7" s="77">
        <v>21</v>
      </c>
      <c r="H7" s="78">
        <v>11.51</v>
      </c>
    </row>
    <row r="8" spans="1:8" ht="15.75" thickBot="1">
      <c r="A8" s="77">
        <v>7</v>
      </c>
      <c r="B8" s="78">
        <v>9.58</v>
      </c>
      <c r="C8" s="65"/>
      <c r="D8" s="78">
        <v>8.9700000000000006</v>
      </c>
      <c r="E8" s="60">
        <v>8.33</v>
      </c>
      <c r="F8" s="78">
        <v>4.43</v>
      </c>
      <c r="G8" s="77">
        <v>22</v>
      </c>
      <c r="H8" s="78">
        <v>11.9</v>
      </c>
    </row>
    <row r="9" spans="1:8" ht="15.75" thickBot="1">
      <c r="A9" s="77">
        <v>8</v>
      </c>
      <c r="B9" s="78">
        <v>12.37</v>
      </c>
      <c r="C9" s="65"/>
      <c r="D9" s="78">
        <v>10.28</v>
      </c>
      <c r="E9" s="60">
        <v>9.5399999999999991</v>
      </c>
      <c r="F9" s="78">
        <v>4.75</v>
      </c>
      <c r="G9" s="77">
        <v>23</v>
      </c>
      <c r="H9" s="78">
        <v>12.24</v>
      </c>
    </row>
    <row r="10" spans="1:8" ht="15.75" thickBot="1">
      <c r="A10" s="77">
        <v>9</v>
      </c>
      <c r="B10" s="78">
        <v>13.68</v>
      </c>
      <c r="C10" s="65"/>
      <c r="D10" s="78">
        <v>11.66</v>
      </c>
      <c r="E10" s="60">
        <v>12.07</v>
      </c>
      <c r="F10" s="78">
        <v>5.14</v>
      </c>
      <c r="G10" s="77">
        <v>24</v>
      </c>
      <c r="H10" s="78">
        <v>12.61</v>
      </c>
    </row>
    <row r="11" spans="1:8" ht="15.75" thickBot="1">
      <c r="A11" s="77">
        <v>10</v>
      </c>
      <c r="B11" s="78">
        <v>15.15</v>
      </c>
      <c r="C11" s="65"/>
      <c r="D11" s="78">
        <v>12.98</v>
      </c>
      <c r="E11" s="60">
        <v>12.94</v>
      </c>
      <c r="F11" s="78">
        <v>5.9</v>
      </c>
      <c r="G11" s="77">
        <v>25</v>
      </c>
      <c r="H11" s="78">
        <v>12.97</v>
      </c>
    </row>
    <row r="12" spans="1:8" ht="15.75" thickBot="1">
      <c r="A12" s="77">
        <v>11</v>
      </c>
      <c r="B12" s="78">
        <v>16.399999999999999</v>
      </c>
      <c r="C12" s="65"/>
      <c r="D12" s="78">
        <v>14.43</v>
      </c>
      <c r="E12" s="60">
        <v>13.84</v>
      </c>
      <c r="F12" s="78">
        <v>6.26</v>
      </c>
      <c r="G12" s="77">
        <v>26</v>
      </c>
      <c r="H12" s="78">
        <v>13.34</v>
      </c>
    </row>
    <row r="13" spans="1:8" ht="15.75" thickBot="1">
      <c r="A13" s="77">
        <v>12</v>
      </c>
      <c r="B13" s="78">
        <v>17.670000000000002</v>
      </c>
      <c r="C13" s="65"/>
      <c r="D13" s="78">
        <v>15.61</v>
      </c>
      <c r="E13" s="60">
        <v>14.8</v>
      </c>
      <c r="F13" s="78">
        <v>6.6</v>
      </c>
      <c r="G13" s="77">
        <v>27</v>
      </c>
      <c r="H13" s="78">
        <v>13.69</v>
      </c>
    </row>
    <row r="14" spans="1:8" ht="15.75" thickBot="1">
      <c r="A14" s="77">
        <v>13</v>
      </c>
      <c r="B14" s="78">
        <v>18.97</v>
      </c>
      <c r="C14" s="65"/>
      <c r="D14" s="78">
        <v>16.93</v>
      </c>
      <c r="E14" s="60">
        <v>17.600000000000001</v>
      </c>
      <c r="F14" s="78">
        <v>6.98</v>
      </c>
      <c r="G14" s="77">
        <v>28</v>
      </c>
      <c r="H14" s="78">
        <v>14.11</v>
      </c>
    </row>
    <row r="15" spans="1:8" ht="15.75" thickBot="1">
      <c r="A15" s="77">
        <v>14</v>
      </c>
      <c r="B15" s="78">
        <v>20.260000000000002</v>
      </c>
      <c r="C15" s="65"/>
      <c r="D15" s="79"/>
      <c r="E15" s="60">
        <v>18.5</v>
      </c>
      <c r="F15" s="78">
        <v>7.38</v>
      </c>
      <c r="G15" s="77">
        <v>28</v>
      </c>
      <c r="H15" s="78">
        <v>15.27</v>
      </c>
    </row>
    <row r="16" spans="1:8" ht="15.75" thickBot="1">
      <c r="A16" s="77">
        <v>15</v>
      </c>
      <c r="B16" s="78">
        <v>21.57</v>
      </c>
      <c r="C16" s="65"/>
      <c r="D16" s="79"/>
      <c r="E16" s="60">
        <v>19.41</v>
      </c>
      <c r="F16" s="78">
        <v>8.49</v>
      </c>
      <c r="G16" s="77">
        <v>30</v>
      </c>
      <c r="H16" s="78">
        <v>15.64</v>
      </c>
    </row>
    <row r="17" spans="1:8" ht="15.75" thickBot="1">
      <c r="A17" s="77">
        <v>16</v>
      </c>
      <c r="B17" s="78">
        <v>22.88</v>
      </c>
      <c r="C17" s="65"/>
      <c r="D17" s="79"/>
      <c r="E17" s="60">
        <v>20.329999999999998</v>
      </c>
      <c r="F17" s="78">
        <v>8.8699999999999992</v>
      </c>
      <c r="G17" s="77">
        <v>31</v>
      </c>
      <c r="H17" s="78">
        <v>16.489999999999998</v>
      </c>
    </row>
    <row r="18" spans="1:8" ht="15.75" thickBot="1">
      <c r="A18" s="67"/>
      <c r="B18" s="79"/>
      <c r="C18" s="65"/>
      <c r="D18" s="79"/>
      <c r="E18" s="65"/>
      <c r="F18" s="79"/>
      <c r="G18" s="81"/>
      <c r="H18" s="79"/>
    </row>
    <row r="19" spans="1:8" ht="24.75" thickBot="1">
      <c r="A19" s="63" t="s">
        <v>34</v>
      </c>
      <c r="B19" s="80">
        <v>0.08</v>
      </c>
      <c r="C19" s="61">
        <v>0.1</v>
      </c>
      <c r="D19" s="80">
        <v>0.08</v>
      </c>
      <c r="E19" s="61">
        <v>0.06</v>
      </c>
      <c r="F19" s="244">
        <v>0.05</v>
      </c>
      <c r="G19" s="244"/>
      <c r="H19" s="244"/>
    </row>
  </sheetData>
  <mergeCells count="2">
    <mergeCell ref="F1:H1"/>
    <mergeCell ref="F19:H19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ED29D2-4648-4548-B601-CF86FE80D326}">
  <dimension ref="A1:AU257"/>
  <sheetViews>
    <sheetView topLeftCell="A28" workbookViewId="0">
      <selection activeCell="A2" sqref="A2:O58"/>
    </sheetView>
  </sheetViews>
  <sheetFormatPr defaultRowHeight="15"/>
  <cols>
    <col min="1" max="16384" width="9.140625" style="2"/>
  </cols>
  <sheetData>
    <row r="1" spans="1:32" ht="15.75" thickBot="1">
      <c r="A1" s="245" t="s">
        <v>5</v>
      </c>
      <c r="B1" s="245"/>
      <c r="C1" s="245"/>
      <c r="D1" s="245"/>
      <c r="E1" s="245"/>
      <c r="F1" s="245"/>
      <c r="G1" s="245"/>
      <c r="H1" s="16"/>
      <c r="I1" s="245" t="s">
        <v>4</v>
      </c>
      <c r="J1" s="245"/>
      <c r="K1" s="245"/>
      <c r="L1" s="245"/>
      <c r="M1" s="245"/>
      <c r="N1" s="245"/>
      <c r="O1" s="245"/>
      <c r="P1" s="16"/>
      <c r="AF1" s="16"/>
    </row>
    <row r="2" spans="1:32" ht="36.75" thickBot="1">
      <c r="A2" s="62" t="s">
        <v>0</v>
      </c>
      <c r="B2" s="62" t="s">
        <v>1</v>
      </c>
      <c r="C2" s="63" t="s">
        <v>2</v>
      </c>
      <c r="D2" s="63" t="s">
        <v>3</v>
      </c>
      <c r="E2" s="62" t="s">
        <v>11</v>
      </c>
      <c r="F2" s="63" t="s">
        <v>6</v>
      </c>
      <c r="G2" s="63" t="s">
        <v>7</v>
      </c>
      <c r="H2" s="16"/>
      <c r="I2" s="62" t="s">
        <v>0</v>
      </c>
      <c r="J2" s="62" t="s">
        <v>1</v>
      </c>
      <c r="K2" s="63" t="s">
        <v>2</v>
      </c>
      <c r="L2" s="63" t="s">
        <v>3</v>
      </c>
      <c r="M2" s="62" t="s">
        <v>11</v>
      </c>
      <c r="N2" s="63" t="s">
        <v>6</v>
      </c>
      <c r="O2" s="63" t="s">
        <v>7</v>
      </c>
      <c r="P2" s="16"/>
      <c r="AF2" s="16"/>
    </row>
    <row r="3" spans="1:32" ht="15.75" thickBot="1">
      <c r="A3" s="76">
        <v>1</v>
      </c>
      <c r="B3" s="64">
        <v>1.8</v>
      </c>
      <c r="C3" s="70">
        <v>1.717333</v>
      </c>
      <c r="D3" s="70">
        <v>3.0506669999999998</v>
      </c>
      <c r="E3" s="70">
        <v>2.9333000000000001E-2</v>
      </c>
      <c r="F3" s="70">
        <v>2.1873333330000002</v>
      </c>
      <c r="G3" s="70">
        <v>2.2773333330000001</v>
      </c>
      <c r="H3" s="16"/>
      <c r="I3" s="76">
        <v>1</v>
      </c>
      <c r="J3" s="71">
        <v>1.2756386986353201</v>
      </c>
      <c r="K3" s="70">
        <v>1.2190479999999999</v>
      </c>
      <c r="L3" s="70">
        <v>2.7980049999999999</v>
      </c>
      <c r="M3" s="70">
        <v>6.0951999999999999E-2</v>
      </c>
      <c r="N3" s="70">
        <v>1.619047619</v>
      </c>
      <c r="O3" s="70">
        <v>2.109047619</v>
      </c>
      <c r="P3" s="16"/>
      <c r="AF3" s="16"/>
    </row>
    <row r="4" spans="1:32" ht="15.75" thickBot="1">
      <c r="A4" s="76">
        <v>2</v>
      </c>
      <c r="B4" s="64">
        <v>3.08</v>
      </c>
      <c r="C4" s="70">
        <v>3.0506669999999998</v>
      </c>
      <c r="D4" s="70">
        <v>4.3626670000000001</v>
      </c>
      <c r="E4" s="70">
        <v>5.7333000000000002E-2</v>
      </c>
      <c r="F4" s="70">
        <v>4.000666667</v>
      </c>
      <c r="G4" s="70">
        <v>4.2406666670000002</v>
      </c>
      <c r="H4" s="16"/>
      <c r="I4" s="76">
        <v>2</v>
      </c>
      <c r="J4" s="71"/>
      <c r="K4" s="70">
        <v>2.7980049999999999</v>
      </c>
      <c r="L4" s="70">
        <v>3.564263</v>
      </c>
      <c r="M4" s="72"/>
      <c r="N4" s="70">
        <v>2.758004535</v>
      </c>
      <c r="O4" s="70">
        <v>2.8980045350000001</v>
      </c>
      <c r="P4" s="16"/>
      <c r="AF4" s="16"/>
    </row>
    <row r="5" spans="1:32" ht="15.75" thickBot="1">
      <c r="A5" s="76">
        <v>3</v>
      </c>
      <c r="B5" s="64">
        <v>4.42</v>
      </c>
      <c r="C5" s="70">
        <v>4.3626670000000001</v>
      </c>
      <c r="D5" s="70">
        <v>5.6426670000000003</v>
      </c>
      <c r="E5" s="70">
        <v>4.7333E-2</v>
      </c>
      <c r="F5" s="70">
        <v>5.0426666669999998</v>
      </c>
      <c r="G5" s="70">
        <v>5.0926666669999996</v>
      </c>
      <c r="H5" s="16"/>
      <c r="I5" s="76">
        <v>3</v>
      </c>
      <c r="J5" s="71">
        <v>3.9123578000713799</v>
      </c>
      <c r="K5" s="70">
        <v>3.564263</v>
      </c>
      <c r="L5" s="70">
        <v>3.8196829999999999</v>
      </c>
      <c r="M5" s="70">
        <v>9.0316999999999995E-2</v>
      </c>
      <c r="N5" s="70">
        <v>3.5342630389999998</v>
      </c>
      <c r="O5" s="70">
        <v>3.5642630390000001</v>
      </c>
      <c r="P5" s="16"/>
      <c r="AF5" s="16"/>
    </row>
    <row r="6" spans="1:32" ht="15.75" thickBot="1">
      <c r="A6" s="76">
        <v>4</v>
      </c>
      <c r="B6" s="64">
        <v>5.69</v>
      </c>
      <c r="C6" s="70">
        <v>5.6426670000000003</v>
      </c>
      <c r="D6" s="70">
        <v>7.0506669999999998</v>
      </c>
      <c r="E6" s="70">
        <v>4.9333000000000002E-2</v>
      </c>
      <c r="F6" s="70">
        <v>6.6726666669999997</v>
      </c>
      <c r="G6" s="70">
        <v>6.8026666669999996</v>
      </c>
      <c r="H6" s="16"/>
      <c r="I6" s="76">
        <v>4</v>
      </c>
      <c r="J6" s="71"/>
      <c r="K6" s="70">
        <v>3.8196829999999999</v>
      </c>
      <c r="L6" s="70">
        <v>6.5480270000000003</v>
      </c>
      <c r="M6" s="72"/>
      <c r="N6" s="70">
        <v>4.0996825399999999</v>
      </c>
      <c r="O6" s="70">
        <v>4.8096825399999998</v>
      </c>
      <c r="P6" s="16"/>
      <c r="AF6" s="16"/>
    </row>
    <row r="7" spans="1:32" ht="15.75" thickBot="1">
      <c r="A7" s="76">
        <v>5</v>
      </c>
      <c r="B7" s="64">
        <v>7.1</v>
      </c>
      <c r="C7" s="70">
        <v>7.0506669999999998</v>
      </c>
      <c r="D7" s="70">
        <v>8.2880000000000003</v>
      </c>
      <c r="E7" s="70">
        <v>5.1999999999999998E-2</v>
      </c>
      <c r="F7" s="70">
        <v>7.2806666670000002</v>
      </c>
      <c r="G7" s="70">
        <v>7.4106666670000001</v>
      </c>
      <c r="H7" s="16"/>
      <c r="I7" s="76">
        <v>5</v>
      </c>
      <c r="J7" s="71">
        <v>6.6074046386588101</v>
      </c>
      <c r="K7" s="70">
        <v>6.5480270000000003</v>
      </c>
      <c r="L7" s="70">
        <v>8.7655329999999996</v>
      </c>
      <c r="M7" s="70">
        <v>6.1973E-2</v>
      </c>
      <c r="N7" s="70">
        <v>7.0580272109999997</v>
      </c>
      <c r="O7" s="70">
        <v>7.4880272110000003</v>
      </c>
      <c r="P7" s="16"/>
      <c r="AF7" s="16"/>
    </row>
    <row r="8" spans="1:32" ht="15.75" thickBot="1">
      <c r="A8" s="76">
        <v>6</v>
      </c>
      <c r="B8" s="64">
        <v>8.34</v>
      </c>
      <c r="C8" s="70">
        <v>8.2880000000000003</v>
      </c>
      <c r="D8" s="70">
        <v>9.5786669999999994</v>
      </c>
      <c r="E8" s="70">
        <v>1.333E-3</v>
      </c>
      <c r="F8" s="70">
        <v>9.048</v>
      </c>
      <c r="G8" s="70">
        <v>9.1280000000000001</v>
      </c>
      <c r="H8" s="16"/>
      <c r="I8" s="76">
        <v>6</v>
      </c>
      <c r="J8" s="71"/>
      <c r="K8" s="70">
        <v>8.7655329999999996</v>
      </c>
      <c r="L8" s="70">
        <v>9.1138320000000004</v>
      </c>
      <c r="M8" s="70"/>
      <c r="N8" s="70">
        <v>8.7255328799999994</v>
      </c>
      <c r="O8" s="70">
        <v>8.8355328800000006</v>
      </c>
      <c r="P8" s="16"/>
      <c r="AF8" s="16"/>
    </row>
    <row r="9" spans="1:32" ht="15.75" thickBot="1">
      <c r="A9" s="76">
        <v>7</v>
      </c>
      <c r="B9" s="64">
        <v>9.58</v>
      </c>
      <c r="C9" s="70">
        <v>9.5786669999999994</v>
      </c>
      <c r="D9" s="70">
        <v>11.08267</v>
      </c>
      <c r="E9" s="70">
        <v>3.7332999999999998E-2</v>
      </c>
      <c r="F9" s="70">
        <v>9.9986666670000002</v>
      </c>
      <c r="G9" s="70">
        <v>10.208666669999999</v>
      </c>
      <c r="H9" s="16"/>
      <c r="I9" s="76">
        <v>7</v>
      </c>
      <c r="J9" s="71">
        <v>9.2071446475716598</v>
      </c>
      <c r="K9" s="70">
        <v>9.1138320000000004</v>
      </c>
      <c r="L9" s="70">
        <v>10.9366</v>
      </c>
      <c r="M9" s="70">
        <v>9.6168000000000003E-2</v>
      </c>
      <c r="N9" s="70">
        <v>9.3638321999999992</v>
      </c>
      <c r="O9" s="70">
        <v>9.6338322000000005</v>
      </c>
      <c r="P9" s="16"/>
      <c r="AF9" s="16"/>
    </row>
    <row r="10" spans="1:32" ht="15.75" thickBot="1">
      <c r="A10" s="76">
        <v>8</v>
      </c>
      <c r="B10" s="64">
        <v>12.37</v>
      </c>
      <c r="C10" s="70">
        <v>11.08267</v>
      </c>
      <c r="D10" s="70">
        <v>12.181330000000001</v>
      </c>
      <c r="E10" s="70">
        <v>4.5999999999999999E-2</v>
      </c>
      <c r="F10" s="70">
        <v>11.632666670000001</v>
      </c>
      <c r="G10" s="70">
        <v>11.75266667</v>
      </c>
      <c r="H10" s="16"/>
      <c r="I10" s="76">
        <v>8</v>
      </c>
      <c r="J10" s="71"/>
      <c r="K10" s="70">
        <v>10.9366</v>
      </c>
      <c r="L10" s="70">
        <v>11.575150000000001</v>
      </c>
      <c r="M10" s="70"/>
      <c r="N10" s="70">
        <v>10.91659864</v>
      </c>
      <c r="O10" s="70">
        <v>11.01659864</v>
      </c>
      <c r="P10" s="16"/>
      <c r="AF10" s="16"/>
    </row>
    <row r="11" spans="1:32" ht="15.75" thickBot="1">
      <c r="A11" s="76">
        <v>9</v>
      </c>
      <c r="B11" s="64">
        <v>13.68</v>
      </c>
      <c r="C11" s="70">
        <v>12.181330000000001</v>
      </c>
      <c r="D11" s="70">
        <v>13.642670000000001</v>
      </c>
      <c r="E11" s="70">
        <v>2.6667E-2</v>
      </c>
      <c r="F11" s="70">
        <v>13.33133333</v>
      </c>
      <c r="G11" s="70">
        <v>13.42133333</v>
      </c>
      <c r="H11" s="16"/>
      <c r="I11" s="76">
        <v>9</v>
      </c>
      <c r="J11" s="71">
        <v>11.615877358092501</v>
      </c>
      <c r="K11" s="70">
        <v>11.575150000000001</v>
      </c>
      <c r="L11" s="70">
        <v>13</v>
      </c>
      <c r="M11" s="70">
        <v>4.4852999999999997E-2</v>
      </c>
      <c r="N11" s="70">
        <v>11.73514739</v>
      </c>
      <c r="O11" s="70">
        <v>12.025147390000001</v>
      </c>
      <c r="P11" s="16"/>
      <c r="AF11" s="16"/>
    </row>
    <row r="12" spans="1:32" ht="15.75" thickBot="1">
      <c r="A12" s="76">
        <v>10</v>
      </c>
      <c r="B12" s="64">
        <v>15.15</v>
      </c>
      <c r="C12" s="70">
        <v>13.642670000000001</v>
      </c>
      <c r="D12" s="70">
        <v>15.103999999999999</v>
      </c>
      <c r="E12" s="70">
        <v>6.0000000000000001E-3</v>
      </c>
      <c r="F12" s="70">
        <v>14.52266667</v>
      </c>
      <c r="G12" s="70">
        <v>14.57266667</v>
      </c>
      <c r="H12" s="16"/>
      <c r="I12" s="16"/>
      <c r="J12" s="16"/>
      <c r="K12" s="16"/>
      <c r="L12" s="16"/>
      <c r="M12" s="16"/>
      <c r="N12" s="16"/>
      <c r="O12" s="16"/>
      <c r="P12" s="16"/>
      <c r="AF12" s="16"/>
    </row>
    <row r="13" spans="1:32" ht="15.75" thickBot="1">
      <c r="A13" s="76">
        <v>11</v>
      </c>
      <c r="B13" s="64">
        <v>16.399999999999999</v>
      </c>
      <c r="C13" s="70">
        <v>15.103999999999999</v>
      </c>
      <c r="D13" s="70">
        <v>16.373329999999999</v>
      </c>
      <c r="E13" s="70">
        <v>5.8000000000000003E-2</v>
      </c>
      <c r="F13" s="70">
        <v>15.724</v>
      </c>
      <c r="G13" s="70">
        <v>15.794</v>
      </c>
      <c r="H13" s="16"/>
      <c r="I13" s="16"/>
      <c r="J13" s="16"/>
      <c r="K13" s="16"/>
      <c r="L13" s="16"/>
      <c r="M13" s="16"/>
      <c r="N13" s="16"/>
      <c r="O13" s="16"/>
      <c r="P13" s="16"/>
      <c r="AF13" s="16"/>
    </row>
    <row r="14" spans="1:32" ht="15.75" thickBot="1">
      <c r="A14" s="76">
        <v>12</v>
      </c>
      <c r="B14" s="64">
        <v>17.670000000000002</v>
      </c>
      <c r="C14" s="70">
        <v>16.373329999999999</v>
      </c>
      <c r="D14" s="70">
        <v>17.664000000000001</v>
      </c>
      <c r="E14" s="70">
        <v>4.0000000000000001E-3</v>
      </c>
      <c r="F14" s="70">
        <v>17.36333333</v>
      </c>
      <c r="G14" s="70">
        <v>17.463333330000001</v>
      </c>
      <c r="H14" s="16"/>
      <c r="I14" s="16"/>
      <c r="J14" s="16"/>
      <c r="K14" s="16"/>
      <c r="L14" s="16"/>
      <c r="M14" s="16"/>
      <c r="N14" s="16"/>
      <c r="O14" s="16"/>
      <c r="P14" s="16"/>
      <c r="AF14" s="16"/>
    </row>
    <row r="15" spans="1:32" ht="15.75" thickBot="1">
      <c r="A15" s="76">
        <v>13</v>
      </c>
      <c r="B15" s="64">
        <v>18.97</v>
      </c>
      <c r="C15" s="70">
        <v>17.664000000000001</v>
      </c>
      <c r="D15" s="70">
        <v>18.911999999999999</v>
      </c>
      <c r="E15" s="70">
        <v>1.2666999999999999E-2</v>
      </c>
      <c r="F15" s="70">
        <v>18.643999999999998</v>
      </c>
      <c r="G15" s="70">
        <v>18.803999999999998</v>
      </c>
      <c r="H15" s="16"/>
      <c r="I15" s="16"/>
      <c r="J15" s="16"/>
      <c r="K15" s="16"/>
      <c r="L15" s="16"/>
      <c r="M15" s="16"/>
      <c r="N15" s="16"/>
      <c r="O15" s="16"/>
      <c r="P15" s="16"/>
      <c r="AF15" s="16"/>
    </row>
    <row r="16" spans="1:32" ht="15.75" thickBot="1">
      <c r="A16" s="76">
        <v>14</v>
      </c>
      <c r="B16" s="64">
        <v>20.260000000000002</v>
      </c>
      <c r="C16" s="70">
        <v>18.911999999999999</v>
      </c>
      <c r="D16" s="70">
        <v>20.256</v>
      </c>
      <c r="E16" s="70">
        <v>0</v>
      </c>
      <c r="F16" s="70">
        <v>19.591999999999999</v>
      </c>
      <c r="G16" s="70">
        <v>19.681999999999999</v>
      </c>
      <c r="H16" s="16"/>
      <c r="I16" s="16"/>
      <c r="J16" s="16"/>
      <c r="K16" s="16"/>
      <c r="L16" s="16"/>
      <c r="M16" s="16"/>
      <c r="N16" s="16"/>
      <c r="O16" s="16"/>
      <c r="P16" s="16"/>
      <c r="AF16" s="16"/>
    </row>
    <row r="17" spans="1:47" ht="15.75" thickBot="1">
      <c r="A17" s="76">
        <v>15</v>
      </c>
      <c r="B17" s="64">
        <v>21.57</v>
      </c>
      <c r="C17" s="70">
        <v>20.256</v>
      </c>
      <c r="D17" s="70">
        <v>24</v>
      </c>
      <c r="E17" s="70"/>
      <c r="F17" s="70">
        <v>21.335999999999999</v>
      </c>
      <c r="G17" s="70">
        <v>21.466000000000001</v>
      </c>
      <c r="H17" s="16"/>
      <c r="I17" s="16"/>
      <c r="J17" s="16"/>
      <c r="K17" s="16"/>
      <c r="L17" s="16"/>
      <c r="M17" s="16"/>
      <c r="N17" s="16"/>
      <c r="O17" s="16"/>
      <c r="P17" s="16"/>
      <c r="AF17" s="16"/>
    </row>
    <row r="18" spans="1:47" ht="15.75" thickBot="1">
      <c r="A18" s="76">
        <v>16</v>
      </c>
      <c r="B18" s="64">
        <v>22.88</v>
      </c>
      <c r="C18" s="70"/>
      <c r="D18" s="70"/>
      <c r="E18" s="70"/>
      <c r="F18" s="70">
        <v>22.357333329999999</v>
      </c>
      <c r="G18" s="70">
        <v>22.42733333</v>
      </c>
      <c r="H18" s="16"/>
      <c r="I18" s="16"/>
      <c r="J18" s="16"/>
      <c r="K18" s="16"/>
      <c r="L18" s="16"/>
      <c r="M18" s="16"/>
      <c r="N18" s="16"/>
      <c r="O18" s="16"/>
      <c r="P18" s="16"/>
      <c r="AF18" s="16"/>
      <c r="AG18" s="16"/>
      <c r="AH18" s="16"/>
      <c r="AI18" s="16"/>
      <c r="AJ18" s="16"/>
      <c r="AK18" s="16"/>
      <c r="AL18" s="16"/>
      <c r="AM18" s="16"/>
      <c r="AN18" s="16"/>
      <c r="AO18" s="16"/>
      <c r="AP18" s="16"/>
      <c r="AQ18" s="16"/>
      <c r="AR18" s="16"/>
      <c r="AS18" s="16"/>
      <c r="AT18" s="16"/>
      <c r="AU18" s="16"/>
    </row>
    <row r="19" spans="1:47" ht="15.75" thickBot="1">
      <c r="A19" s="76">
        <v>17</v>
      </c>
      <c r="B19" s="59"/>
      <c r="C19" s="70"/>
      <c r="D19" s="70"/>
      <c r="E19" s="70"/>
      <c r="F19" s="70">
        <v>23.65</v>
      </c>
      <c r="G19" s="70">
        <v>23.87</v>
      </c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  <c r="AA19" s="16"/>
      <c r="AB19" s="16"/>
      <c r="AC19" s="16"/>
      <c r="AD19" s="16"/>
      <c r="AE19" s="16"/>
      <c r="AF19" s="16"/>
      <c r="AG19" s="16"/>
      <c r="AH19" s="16"/>
      <c r="AI19" s="16"/>
      <c r="AJ19" s="16"/>
      <c r="AK19" s="16"/>
      <c r="AL19" s="16"/>
      <c r="AM19" s="16"/>
      <c r="AN19" s="16"/>
      <c r="AO19" s="16"/>
      <c r="AP19" s="16"/>
      <c r="AQ19" s="16"/>
      <c r="AR19" s="16"/>
      <c r="AS19" s="16"/>
      <c r="AT19" s="16"/>
      <c r="AU19" s="16"/>
    </row>
    <row r="20" spans="1:47" s="114" customFormat="1" ht="15.75" thickBot="1">
      <c r="A20" s="76"/>
      <c r="B20" s="59"/>
      <c r="C20" s="70"/>
      <c r="D20" s="70"/>
      <c r="E20" s="70"/>
      <c r="F20" s="70"/>
      <c r="G20" s="70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  <c r="AA20" s="16"/>
      <c r="AB20" s="16"/>
      <c r="AC20" s="16"/>
      <c r="AD20" s="16"/>
      <c r="AE20" s="16"/>
      <c r="AF20" s="16"/>
      <c r="AG20" s="16"/>
      <c r="AH20" s="16"/>
      <c r="AI20" s="16"/>
      <c r="AJ20" s="16"/>
      <c r="AK20" s="16"/>
      <c r="AL20" s="16"/>
      <c r="AM20" s="16"/>
      <c r="AN20" s="16"/>
      <c r="AO20" s="16"/>
      <c r="AP20" s="16"/>
      <c r="AQ20" s="16"/>
      <c r="AR20" s="16"/>
      <c r="AS20" s="16"/>
      <c r="AT20" s="16"/>
      <c r="AU20" s="16"/>
    </row>
    <row r="21" spans="1:47" ht="15.75" thickBot="1">
      <c r="A21" s="16"/>
      <c r="B21" s="16"/>
      <c r="C21" s="16"/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  <c r="AA21" s="16"/>
      <c r="AB21" s="16"/>
      <c r="AC21" s="16"/>
      <c r="AD21" s="16"/>
      <c r="AE21" s="16"/>
      <c r="AF21" s="16"/>
      <c r="AG21" s="16"/>
      <c r="AH21" s="16"/>
      <c r="AI21" s="16"/>
      <c r="AJ21" s="16"/>
      <c r="AK21" s="16"/>
      <c r="AL21" s="16"/>
      <c r="AM21" s="16"/>
      <c r="AN21" s="16"/>
      <c r="AO21" s="16"/>
      <c r="AP21" s="16"/>
      <c r="AQ21" s="16"/>
      <c r="AR21" s="16"/>
      <c r="AS21" s="16"/>
      <c r="AT21" s="16"/>
      <c r="AU21" s="16"/>
    </row>
    <row r="22" spans="1:47" ht="15.75" thickBot="1">
      <c r="A22" s="245" t="s">
        <v>8</v>
      </c>
      <c r="B22" s="245"/>
      <c r="C22" s="245"/>
      <c r="D22" s="245"/>
      <c r="E22" s="245"/>
      <c r="F22" s="245"/>
      <c r="G22" s="245"/>
      <c r="H22" s="16"/>
      <c r="I22" s="245" t="s">
        <v>9</v>
      </c>
      <c r="J22" s="245"/>
      <c r="K22" s="245"/>
      <c r="L22" s="245"/>
      <c r="M22" s="245"/>
      <c r="N22" s="245"/>
      <c r="O22" s="245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  <c r="AA22" s="16"/>
      <c r="AB22" s="16"/>
      <c r="AC22" s="16"/>
      <c r="AD22" s="16"/>
      <c r="AE22" s="16"/>
      <c r="AF22" s="16"/>
      <c r="AG22" s="16"/>
      <c r="AH22" s="16"/>
      <c r="AI22" s="16"/>
      <c r="AJ22" s="16"/>
      <c r="AK22" s="16"/>
      <c r="AL22" s="16"/>
      <c r="AM22" s="16"/>
      <c r="AN22" s="16"/>
      <c r="AO22" s="16"/>
      <c r="AP22" s="16"/>
      <c r="AQ22" s="16"/>
      <c r="AR22" s="16"/>
      <c r="AS22" s="16"/>
      <c r="AT22" s="16"/>
      <c r="AU22" s="16"/>
    </row>
    <row r="23" spans="1:47" ht="36.75" thickBot="1">
      <c r="A23" s="62" t="s">
        <v>0</v>
      </c>
      <c r="B23" s="62" t="s">
        <v>1</v>
      </c>
      <c r="C23" s="63" t="s">
        <v>2</v>
      </c>
      <c r="D23" s="63" t="s">
        <v>3</v>
      </c>
      <c r="E23" s="62" t="s">
        <v>11</v>
      </c>
      <c r="F23" s="63" t="s">
        <v>6</v>
      </c>
      <c r="G23" s="63" t="s">
        <v>7</v>
      </c>
      <c r="H23" s="16"/>
      <c r="I23" s="62" t="s">
        <v>0</v>
      </c>
      <c r="J23" s="62" t="s">
        <v>1</v>
      </c>
      <c r="K23" s="63" t="s">
        <v>2</v>
      </c>
      <c r="L23" s="63" t="s">
        <v>3</v>
      </c>
      <c r="M23" s="62" t="s">
        <v>11</v>
      </c>
      <c r="N23" s="63" t="s">
        <v>6</v>
      </c>
      <c r="O23" s="63" t="s">
        <v>7</v>
      </c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  <c r="AA23" s="16"/>
      <c r="AB23" s="16"/>
      <c r="AC23" s="16"/>
      <c r="AD23" s="16"/>
      <c r="AE23" s="16"/>
      <c r="AF23" s="16"/>
      <c r="AG23" s="16"/>
      <c r="AH23" s="16"/>
      <c r="AI23" s="16"/>
      <c r="AJ23" s="16"/>
      <c r="AK23" s="16"/>
      <c r="AL23" s="16"/>
      <c r="AM23" s="16"/>
      <c r="AN23" s="16"/>
      <c r="AO23" s="16"/>
      <c r="AP23" s="16"/>
      <c r="AQ23" s="16"/>
      <c r="AR23" s="16"/>
      <c r="AS23" s="16"/>
      <c r="AT23" s="16"/>
      <c r="AU23" s="16"/>
    </row>
    <row r="24" spans="1:47" ht="15.75" thickBot="1">
      <c r="A24" s="76">
        <v>1</v>
      </c>
      <c r="B24" s="72">
        <v>1.1599999999999999</v>
      </c>
      <c r="C24" s="70">
        <v>1.0216780000000001</v>
      </c>
      <c r="D24" s="70">
        <v>2.4497049999999998</v>
      </c>
      <c r="E24" s="72"/>
      <c r="F24" s="70">
        <v>2.0616780050000001</v>
      </c>
      <c r="G24" s="70">
        <v>2.1516780049999999</v>
      </c>
      <c r="H24" s="16"/>
      <c r="I24" s="76">
        <v>1</v>
      </c>
      <c r="J24" s="72">
        <v>0.98</v>
      </c>
      <c r="K24" s="70">
        <v>0.84266700000000005</v>
      </c>
      <c r="L24" s="70">
        <v>1.9626669999999999</v>
      </c>
      <c r="M24" s="72"/>
      <c r="N24" s="70">
        <v>1.2426666669999999</v>
      </c>
      <c r="O24" s="70">
        <v>1.3926666670000001</v>
      </c>
    </row>
    <row r="25" spans="1:47" ht="15.75" thickBot="1">
      <c r="A25" s="76">
        <v>2</v>
      </c>
      <c r="B25" s="72">
        <v>2.4700000000000002</v>
      </c>
      <c r="C25" s="70">
        <v>2.4497049999999998</v>
      </c>
      <c r="D25" s="70">
        <v>3.7964630000000001</v>
      </c>
      <c r="E25" s="72">
        <v>2.0294784580499051E-2</v>
      </c>
      <c r="F25" s="70">
        <v>2.6597052149999998</v>
      </c>
      <c r="G25" s="70">
        <v>2.7697052150000001</v>
      </c>
      <c r="H25" s="16"/>
      <c r="I25" s="76">
        <v>2</v>
      </c>
      <c r="J25" s="72">
        <v>2</v>
      </c>
      <c r="K25" s="70">
        <v>1.9626669999999999</v>
      </c>
      <c r="L25" s="70">
        <v>2.8373330000000001</v>
      </c>
      <c r="M25" s="72">
        <v>3.7333333333333441E-2</v>
      </c>
      <c r="N25" s="70">
        <v>2.262666667</v>
      </c>
      <c r="O25" s="70">
        <v>2.302666667</v>
      </c>
    </row>
    <row r="26" spans="1:47" ht="15.75" thickBot="1">
      <c r="A26" s="76">
        <v>3</v>
      </c>
      <c r="B26" s="72">
        <v>3.81</v>
      </c>
      <c r="C26" s="70">
        <v>3.7964630000000001</v>
      </c>
      <c r="D26" s="70">
        <v>4.9922899999999997</v>
      </c>
      <c r="E26" s="72">
        <v>1.353741496598637E-2</v>
      </c>
      <c r="F26" s="70">
        <v>4.6264625849999996</v>
      </c>
      <c r="G26" s="70">
        <v>4.7364625849999999</v>
      </c>
      <c r="H26" s="16"/>
      <c r="I26" s="76">
        <v>3</v>
      </c>
      <c r="J26" s="72">
        <v>2.87</v>
      </c>
      <c r="K26" s="70">
        <v>2.8373330000000001</v>
      </c>
      <c r="L26" s="70">
        <v>3.7440000000000002</v>
      </c>
      <c r="M26" s="72">
        <v>3.2666666666666622E-2</v>
      </c>
      <c r="N26" s="70">
        <v>3.3973333330000002</v>
      </c>
      <c r="O26" s="70">
        <v>3.5173333329999998</v>
      </c>
    </row>
    <row r="27" spans="1:47" ht="15.75" thickBot="1">
      <c r="A27" s="76">
        <v>4</v>
      </c>
      <c r="B27" s="72">
        <v>5.0199999999999996</v>
      </c>
      <c r="C27" s="70">
        <v>4.9922899999999997</v>
      </c>
      <c r="D27" s="70">
        <v>6.3042179999999997</v>
      </c>
      <c r="E27" s="72">
        <v>2.770975056689284E-2</v>
      </c>
      <c r="F27" s="70">
        <v>5.612290249</v>
      </c>
      <c r="G27" s="70">
        <v>5.6822902490000002</v>
      </c>
      <c r="H27" s="16"/>
      <c r="I27" s="76">
        <v>4</v>
      </c>
      <c r="J27" s="72">
        <v>3.77</v>
      </c>
      <c r="K27" s="70">
        <v>3.7440000000000002</v>
      </c>
      <c r="L27" s="70">
        <v>6.5173329999999998</v>
      </c>
      <c r="M27" s="72">
        <v>2.5999999999999801E-2</v>
      </c>
      <c r="N27" s="70">
        <v>3.774</v>
      </c>
      <c r="O27" s="70">
        <v>3.964</v>
      </c>
    </row>
    <row r="28" spans="1:47" ht="15.75" thickBot="1">
      <c r="A28" s="76">
        <v>5</v>
      </c>
      <c r="B28" s="72">
        <v>6.33</v>
      </c>
      <c r="C28" s="70">
        <v>6.3042179999999997</v>
      </c>
      <c r="D28" s="70">
        <v>7.6741950000000001</v>
      </c>
      <c r="E28" s="72">
        <v>2.5782312925169752E-2</v>
      </c>
      <c r="F28" s="70">
        <v>6.9642176869999997</v>
      </c>
      <c r="G28" s="70">
        <v>7.0942176870000004</v>
      </c>
      <c r="H28" s="16"/>
      <c r="I28" s="76">
        <v>5</v>
      </c>
      <c r="J28" s="72">
        <v>6.52</v>
      </c>
      <c r="K28" s="70">
        <v>6.5173329999999998</v>
      </c>
      <c r="L28" s="70">
        <v>7.4880000000000004</v>
      </c>
      <c r="M28" s="72">
        <v>2.666666666666373E-3</v>
      </c>
      <c r="N28" s="70">
        <v>7.0573333329999999</v>
      </c>
      <c r="O28" s="70">
        <v>7.1973333329999996</v>
      </c>
    </row>
    <row r="29" spans="1:47" ht="15.75" thickBot="1">
      <c r="A29" s="76">
        <v>6</v>
      </c>
      <c r="B29" s="72">
        <v>7.72</v>
      </c>
      <c r="C29" s="70">
        <v>7.6741950000000001</v>
      </c>
      <c r="D29" s="70">
        <v>8.9629019999999997</v>
      </c>
      <c r="E29" s="72">
        <v>4.580498866213123E-2</v>
      </c>
      <c r="F29" s="70">
        <v>8.2341950110000006</v>
      </c>
      <c r="G29" s="70">
        <v>8.3041950109999991</v>
      </c>
      <c r="H29" s="16"/>
      <c r="I29" s="76">
        <v>6</v>
      </c>
      <c r="J29" s="72">
        <v>7.5</v>
      </c>
      <c r="K29" s="70">
        <v>7.4880000000000004</v>
      </c>
      <c r="L29" s="70">
        <v>8.2240000000000002</v>
      </c>
      <c r="M29" s="72">
        <v>1.199999999999957E-2</v>
      </c>
      <c r="N29" s="70">
        <v>7.8579999999999997</v>
      </c>
      <c r="O29" s="70">
        <v>8.0079999999999991</v>
      </c>
    </row>
    <row r="30" spans="1:47" ht="15.75" thickBot="1">
      <c r="A30" s="76">
        <v>7</v>
      </c>
      <c r="B30" s="72">
        <v>8.9700000000000006</v>
      </c>
      <c r="C30" s="70">
        <v>8.9629019999999997</v>
      </c>
      <c r="D30" s="70">
        <v>10.15873</v>
      </c>
      <c r="E30" s="72">
        <v>7.0975056689341898E-3</v>
      </c>
      <c r="F30" s="70">
        <v>9.2929024939999998</v>
      </c>
      <c r="G30" s="70">
        <v>9.3829024939999996</v>
      </c>
      <c r="H30" s="16"/>
      <c r="I30" s="76">
        <v>7</v>
      </c>
      <c r="J30" s="72">
        <v>8.33</v>
      </c>
      <c r="K30" s="70">
        <v>8.2240000000000002</v>
      </c>
      <c r="L30" s="70">
        <v>9.2906669999999991</v>
      </c>
      <c r="M30" s="72"/>
      <c r="N30" s="70">
        <v>8.4440000000000008</v>
      </c>
      <c r="O30" s="70">
        <v>8.5039999999999996</v>
      </c>
    </row>
    <row r="31" spans="1:47" ht="15.75" thickBot="1">
      <c r="A31" s="76">
        <v>8</v>
      </c>
      <c r="B31" s="72">
        <v>10.28</v>
      </c>
      <c r="C31" s="70">
        <v>10.15873</v>
      </c>
      <c r="D31" s="70">
        <v>11.598369999999999</v>
      </c>
      <c r="E31" s="72"/>
      <c r="F31" s="70">
        <v>10.838730160000001</v>
      </c>
      <c r="G31" s="70">
        <v>11.01873016</v>
      </c>
      <c r="H31" s="16"/>
      <c r="I31" s="76">
        <v>8</v>
      </c>
      <c r="J31" s="72">
        <v>9.5399999999999991</v>
      </c>
      <c r="K31" s="70">
        <v>9.2906669999999991</v>
      </c>
      <c r="L31" s="70">
        <v>11.925330000000001</v>
      </c>
      <c r="M31" s="72"/>
      <c r="N31" s="70">
        <v>10.12066667</v>
      </c>
      <c r="O31" s="70">
        <v>10.270666670000001</v>
      </c>
    </row>
    <row r="32" spans="1:47" ht="15.75" thickBot="1">
      <c r="A32" s="76">
        <v>9</v>
      </c>
      <c r="B32" s="72">
        <v>11.66</v>
      </c>
      <c r="C32" s="70">
        <v>11.598369999999999</v>
      </c>
      <c r="D32" s="70">
        <v>12.95673</v>
      </c>
      <c r="E32" s="72">
        <v>6.1632653061224119E-2</v>
      </c>
      <c r="F32" s="70">
        <v>12.048367349999999</v>
      </c>
      <c r="G32" s="70">
        <v>12.08836735</v>
      </c>
      <c r="H32" s="16"/>
      <c r="I32" s="76">
        <v>9</v>
      </c>
      <c r="J32" s="72">
        <v>12.07</v>
      </c>
      <c r="K32" s="70">
        <v>11.925330000000001</v>
      </c>
      <c r="L32" s="70">
        <v>12.94933</v>
      </c>
      <c r="M32" s="72"/>
      <c r="N32" s="70">
        <v>12.185333330000001</v>
      </c>
      <c r="O32" s="70">
        <v>12.335333329999999</v>
      </c>
    </row>
    <row r="33" spans="1:15" ht="15.75" thickBot="1">
      <c r="A33" s="76">
        <v>10</v>
      </c>
      <c r="B33" s="72">
        <v>12.98</v>
      </c>
      <c r="C33" s="70">
        <v>12.95673</v>
      </c>
      <c r="D33" s="70">
        <v>14.373150000000001</v>
      </c>
      <c r="E33" s="72">
        <v>2.3265306122448589E-2</v>
      </c>
      <c r="F33" s="70">
        <v>13.146734690000001</v>
      </c>
      <c r="G33" s="70">
        <v>13.366734689999999</v>
      </c>
      <c r="H33" s="16"/>
      <c r="I33" s="76">
        <v>10</v>
      </c>
      <c r="J33" s="72">
        <v>12.94</v>
      </c>
      <c r="K33" s="70">
        <v>12.94933</v>
      </c>
      <c r="L33" s="70">
        <v>13.824</v>
      </c>
      <c r="M33" s="72">
        <v>9.3333333333340818E-3</v>
      </c>
      <c r="N33" s="70">
        <v>13.37933333</v>
      </c>
      <c r="O33" s="70">
        <v>13.45933333</v>
      </c>
    </row>
    <row r="34" spans="1:15" ht="15.75" thickBot="1">
      <c r="A34" s="76">
        <v>11</v>
      </c>
      <c r="B34" s="72">
        <v>14.43</v>
      </c>
      <c r="C34" s="70">
        <v>14.373150000000001</v>
      </c>
      <c r="D34" s="70">
        <v>15.603809999999999</v>
      </c>
      <c r="E34" s="72">
        <v>5.6848072562358347E-2</v>
      </c>
      <c r="F34" s="70">
        <v>15.31315193</v>
      </c>
      <c r="G34" s="70">
        <v>15.373151930000001</v>
      </c>
      <c r="H34" s="16"/>
      <c r="I34" s="76">
        <v>11</v>
      </c>
      <c r="J34" s="72">
        <v>13.84</v>
      </c>
      <c r="K34" s="70">
        <v>13.824</v>
      </c>
      <c r="L34" s="70">
        <v>14.79467</v>
      </c>
      <c r="M34" s="72">
        <v>1.6000000000000011E-2</v>
      </c>
      <c r="N34" s="70">
        <v>14.614000000000001</v>
      </c>
      <c r="O34" s="70">
        <v>14.694000000000001</v>
      </c>
    </row>
    <row r="35" spans="1:15" ht="15.75" thickBot="1">
      <c r="A35" s="76">
        <v>12</v>
      </c>
      <c r="B35" s="72">
        <v>15.61</v>
      </c>
      <c r="C35" s="70">
        <v>15.603809999999999</v>
      </c>
      <c r="D35" s="70">
        <v>16.88091</v>
      </c>
      <c r="E35" s="72">
        <v>6.1904761904756356E-3</v>
      </c>
      <c r="F35" s="70">
        <v>16.263809519999999</v>
      </c>
      <c r="G35" s="70">
        <v>16.403809519999999</v>
      </c>
      <c r="H35" s="16"/>
      <c r="I35" s="76">
        <v>12</v>
      </c>
      <c r="J35" s="72">
        <v>14.8</v>
      </c>
      <c r="K35" s="70">
        <v>14.79467</v>
      </c>
      <c r="L35" s="70">
        <v>17.55733</v>
      </c>
      <c r="M35" s="72">
        <v>5.3333333333345223E-3</v>
      </c>
      <c r="N35" s="70">
        <v>15.11466667</v>
      </c>
      <c r="O35" s="70">
        <v>15.27466667</v>
      </c>
    </row>
    <row r="36" spans="1:15" ht="15.75" thickBot="1">
      <c r="A36" s="76">
        <v>13</v>
      </c>
      <c r="B36" s="72">
        <v>16.93</v>
      </c>
      <c r="C36" s="70">
        <v>16.88091</v>
      </c>
      <c r="D36" s="70">
        <v>19</v>
      </c>
      <c r="E36" s="72">
        <v>4.9092970521542163E-2</v>
      </c>
      <c r="F36" s="70">
        <v>17.510907029999998</v>
      </c>
      <c r="G36" s="70">
        <v>17.630907029999999</v>
      </c>
      <c r="H36" s="16"/>
      <c r="I36" s="76">
        <v>13</v>
      </c>
      <c r="J36" s="72">
        <v>17.600000000000001</v>
      </c>
      <c r="K36" s="70">
        <v>17.55733</v>
      </c>
      <c r="L36" s="72">
        <v>18.495999999999999</v>
      </c>
      <c r="M36" s="72">
        <v>4.2666666666669073E-2</v>
      </c>
      <c r="N36" s="70">
        <v>18.107333329999999</v>
      </c>
      <c r="O36" s="70">
        <v>18.237333329999998</v>
      </c>
    </row>
    <row r="37" spans="1:15" ht="15.75" thickBot="1">
      <c r="A37" s="16"/>
      <c r="B37" s="16"/>
      <c r="C37" s="16"/>
      <c r="D37" s="16"/>
      <c r="E37" s="16"/>
      <c r="F37" s="16"/>
      <c r="G37" s="16"/>
      <c r="H37" s="16"/>
      <c r="I37" s="76">
        <v>14</v>
      </c>
      <c r="J37" s="72">
        <v>18.5</v>
      </c>
      <c r="K37" s="72">
        <v>18.495999999999999</v>
      </c>
      <c r="L37" s="72">
        <v>19.381329999999998</v>
      </c>
      <c r="M37" s="72">
        <v>4.0000000000013358E-3</v>
      </c>
      <c r="N37" s="70">
        <v>18.526</v>
      </c>
      <c r="O37" s="70">
        <v>18.576000000000001</v>
      </c>
    </row>
    <row r="38" spans="1:15" ht="15.75" thickBot="1">
      <c r="A38" s="16"/>
      <c r="B38" s="16"/>
      <c r="C38" s="16"/>
      <c r="D38" s="16"/>
      <c r="E38" s="16"/>
      <c r="F38" s="16"/>
      <c r="G38" s="16"/>
      <c r="H38" s="16"/>
      <c r="I38" s="76">
        <v>15</v>
      </c>
      <c r="J38" s="72">
        <v>19.41</v>
      </c>
      <c r="K38" s="72">
        <v>19.381329999999998</v>
      </c>
      <c r="L38" s="72">
        <v>20.341329999999999</v>
      </c>
      <c r="M38" s="72">
        <v>2.8666666666666171E-2</v>
      </c>
      <c r="N38" s="70">
        <v>20.021333330000001</v>
      </c>
      <c r="O38" s="70">
        <v>20.071333330000002</v>
      </c>
    </row>
    <row r="39" spans="1:15" ht="15.75" thickBot="1">
      <c r="A39" s="16"/>
      <c r="B39" s="16"/>
      <c r="C39" s="16"/>
      <c r="D39" s="16"/>
      <c r="E39" s="16"/>
      <c r="F39" s="16"/>
      <c r="G39" s="16"/>
      <c r="H39" s="16"/>
      <c r="I39" s="76">
        <v>16</v>
      </c>
      <c r="J39" s="72">
        <v>20.329999999999998</v>
      </c>
      <c r="K39" s="72">
        <v>20.341329999999999</v>
      </c>
      <c r="L39" s="70">
        <v>23</v>
      </c>
      <c r="M39" s="72">
        <v>1.133333333333653E-2</v>
      </c>
      <c r="N39" s="70">
        <v>21.021333330000001</v>
      </c>
      <c r="O39" s="70">
        <v>21.121333329999999</v>
      </c>
    </row>
    <row r="40" spans="1:15">
      <c r="F40" s="75"/>
      <c r="G40" s="75"/>
      <c r="H40" s="75"/>
    </row>
    <row r="41" spans="1:15" ht="15.75" thickBot="1">
      <c r="F41" s="75"/>
      <c r="G41" s="75"/>
      <c r="H41" s="75"/>
    </row>
    <row r="42" spans="1:15" ht="15.75" thickBot="1">
      <c r="A42" s="245" t="s">
        <v>10</v>
      </c>
      <c r="B42" s="245"/>
      <c r="C42" s="245"/>
      <c r="D42" s="245"/>
      <c r="E42" s="245"/>
      <c r="F42" s="245"/>
      <c r="G42" s="245"/>
      <c r="H42" s="58"/>
      <c r="I42" s="58"/>
      <c r="J42" s="58"/>
      <c r="K42" s="58"/>
      <c r="L42" s="58"/>
      <c r="M42" s="58"/>
      <c r="N42" s="58"/>
      <c r="O42" s="58"/>
    </row>
    <row r="43" spans="1:15" ht="36.75" thickBot="1">
      <c r="A43" s="62" t="s">
        <v>0</v>
      </c>
      <c r="B43" s="62" t="s">
        <v>1</v>
      </c>
      <c r="C43" s="63" t="s">
        <v>2</v>
      </c>
      <c r="D43" s="63" t="s">
        <v>3</v>
      </c>
      <c r="E43" s="62" t="s">
        <v>11</v>
      </c>
      <c r="F43" s="63" t="s">
        <v>6</v>
      </c>
      <c r="G43" s="63" t="s">
        <v>7</v>
      </c>
      <c r="H43" s="56"/>
      <c r="I43" s="56"/>
      <c r="J43" s="56"/>
      <c r="K43" s="56"/>
      <c r="L43" s="56"/>
      <c r="M43" s="56"/>
      <c r="N43" s="56"/>
      <c r="O43" s="56"/>
    </row>
    <row r="44" spans="1:15" ht="15.75" thickBot="1">
      <c r="A44" s="76">
        <v>1</v>
      </c>
      <c r="B44" s="72">
        <v>0.73</v>
      </c>
      <c r="C44" s="70">
        <v>0.68498899999999996</v>
      </c>
      <c r="D44" s="70">
        <v>1.776327</v>
      </c>
      <c r="E44" s="72">
        <v>4.5011337868480703E-2</v>
      </c>
      <c r="F44" s="70">
        <v>1.384988662</v>
      </c>
      <c r="G44" s="70">
        <v>1.5149886619999999</v>
      </c>
      <c r="H44" s="16"/>
      <c r="I44" s="76">
        <v>16</v>
      </c>
      <c r="J44" s="60">
        <v>8.8699999999999992</v>
      </c>
      <c r="K44" s="60">
        <v>8.8468029999999995</v>
      </c>
      <c r="L44" s="60">
        <v>9.2067119999999996</v>
      </c>
      <c r="M44" s="60">
        <v>2.319727891156376E-2</v>
      </c>
      <c r="N44" s="59">
        <v>8.8868027210000005</v>
      </c>
      <c r="O44" s="59">
        <v>8.9468027209999992</v>
      </c>
    </row>
    <row r="45" spans="1:15" ht="15.75" thickBot="1">
      <c r="A45" s="76">
        <v>2</v>
      </c>
      <c r="B45" s="72">
        <v>1.79</v>
      </c>
      <c r="C45" s="70">
        <v>1.776327</v>
      </c>
      <c r="D45" s="70">
        <v>2.1478459999999999</v>
      </c>
      <c r="E45" s="72">
        <v>1.367346938775515E-2</v>
      </c>
      <c r="F45" s="70">
        <v>1.776326531</v>
      </c>
      <c r="G45" s="70">
        <v>1.8563265309999999</v>
      </c>
      <c r="H45" s="16"/>
      <c r="I45" s="76">
        <v>17</v>
      </c>
      <c r="J45" s="60">
        <v>9.57</v>
      </c>
      <c r="K45" s="60">
        <v>9.2067119999999996</v>
      </c>
      <c r="L45" s="60">
        <v>9.4969610000000007</v>
      </c>
      <c r="M45" s="60">
        <v>3.2879818594118149E-3</v>
      </c>
      <c r="N45" s="59">
        <v>9.256712018</v>
      </c>
      <c r="O45" s="59">
        <v>9.3167120180000005</v>
      </c>
    </row>
    <row r="46" spans="1:15" ht="15.75" thickBot="1">
      <c r="A46" s="76">
        <v>3</v>
      </c>
      <c r="B46" s="72">
        <v>2.16</v>
      </c>
      <c r="C46" s="70">
        <v>2.1478459999999999</v>
      </c>
      <c r="D46" s="70">
        <v>2.472925</v>
      </c>
      <c r="E46" s="72">
        <v>1.215419501133796E-2</v>
      </c>
      <c r="F46" s="70">
        <v>2.2978458050000001</v>
      </c>
      <c r="G46" s="70">
        <v>2.3178458050000001</v>
      </c>
      <c r="H46" s="16"/>
      <c r="I46" s="76">
        <v>18</v>
      </c>
      <c r="J46" s="72">
        <v>10.8</v>
      </c>
      <c r="K46" s="72">
        <v>9.4969610000000007</v>
      </c>
      <c r="L46" s="72">
        <v>10.797280000000001</v>
      </c>
      <c r="M46" s="72">
        <v>2.721088435375663E-3</v>
      </c>
      <c r="N46" s="70">
        <v>10.35696145</v>
      </c>
      <c r="O46" s="70">
        <v>10.43696145</v>
      </c>
    </row>
    <row r="47" spans="1:15" ht="15.75" thickBot="1">
      <c r="A47" s="76">
        <v>4</v>
      </c>
      <c r="B47" s="72">
        <v>2.4700000000000002</v>
      </c>
      <c r="C47" s="70">
        <v>2.472925</v>
      </c>
      <c r="D47" s="70">
        <v>2.914104</v>
      </c>
      <c r="E47" s="72">
        <v>2.9251700680270609E-3</v>
      </c>
      <c r="F47" s="70">
        <v>2.61292517</v>
      </c>
      <c r="G47" s="70">
        <v>2.7229251699999999</v>
      </c>
      <c r="H47" s="16"/>
      <c r="I47" s="76">
        <v>19</v>
      </c>
      <c r="J47" s="72">
        <v>11.16</v>
      </c>
      <c r="K47" s="72">
        <v>10.797280000000001</v>
      </c>
      <c r="L47" s="72">
        <v>11.145580000000001</v>
      </c>
      <c r="M47" s="72">
        <v>1.442176870748391E-2</v>
      </c>
      <c r="N47" s="70">
        <v>10.83727891</v>
      </c>
      <c r="O47" s="70">
        <v>10.85727891</v>
      </c>
    </row>
    <row r="48" spans="1:15" ht="15.75" thickBot="1">
      <c r="A48" s="76">
        <v>5</v>
      </c>
      <c r="B48" s="72">
        <v>2.9</v>
      </c>
      <c r="C48" s="70">
        <v>2.914104</v>
      </c>
      <c r="D48" s="70">
        <v>4.0054420000000004</v>
      </c>
      <c r="E48" s="72">
        <v>1.410430839002297E-2</v>
      </c>
      <c r="F48" s="70">
        <v>3.2841043079999999</v>
      </c>
      <c r="G48" s="70">
        <v>3.3741043080000002</v>
      </c>
      <c r="H48" s="16"/>
      <c r="I48" s="76">
        <v>20</v>
      </c>
      <c r="J48" s="72">
        <v>11.51</v>
      </c>
      <c r="K48" s="72">
        <v>11.145580000000001</v>
      </c>
      <c r="L48" s="72">
        <v>11.470660000000001</v>
      </c>
      <c r="M48" s="72">
        <v>3.934240362811714E-2</v>
      </c>
      <c r="N48" s="70">
        <v>11.175578229999999</v>
      </c>
      <c r="O48" s="70">
        <v>11.195578230000001</v>
      </c>
    </row>
    <row r="49" spans="1:15" ht="15.75" thickBot="1">
      <c r="A49" s="76">
        <v>6</v>
      </c>
      <c r="B49" s="72">
        <v>4.0199999999999996</v>
      </c>
      <c r="C49" s="70">
        <v>4.0054420000000004</v>
      </c>
      <c r="D49" s="70">
        <v>4.3769609999999997</v>
      </c>
      <c r="E49" s="72">
        <v>1.455782312925091E-2</v>
      </c>
      <c r="F49" s="70">
        <v>4.125442177</v>
      </c>
      <c r="G49" s="70">
        <v>4.1554421770000003</v>
      </c>
      <c r="H49" s="16"/>
      <c r="I49" s="76">
        <v>21</v>
      </c>
      <c r="J49" s="72">
        <v>11.9</v>
      </c>
      <c r="K49" s="72">
        <v>11.470660000000001</v>
      </c>
      <c r="L49" s="72">
        <v>11.91184</v>
      </c>
      <c r="M49" s="72">
        <v>1.183673469387791E-2</v>
      </c>
      <c r="N49" s="70">
        <v>11.6006576</v>
      </c>
      <c r="O49" s="70">
        <v>11.650657600000001</v>
      </c>
    </row>
    <row r="50" spans="1:15" ht="15.75" thickBot="1">
      <c r="A50" s="76">
        <v>7</v>
      </c>
      <c r="B50" s="72">
        <v>4.43</v>
      </c>
      <c r="C50" s="70">
        <v>4.3769609999999997</v>
      </c>
      <c r="D50" s="70">
        <v>4.7136509999999996</v>
      </c>
      <c r="E50" s="72"/>
      <c r="F50" s="70">
        <v>4.5469614509999996</v>
      </c>
      <c r="G50" s="70">
        <v>4.6269614509999997</v>
      </c>
      <c r="H50" s="16"/>
      <c r="I50" s="76">
        <v>22</v>
      </c>
      <c r="J50" s="72">
        <v>12.24</v>
      </c>
      <c r="K50" s="72">
        <v>11.91184</v>
      </c>
      <c r="L50" s="72">
        <v>12.213699999999999</v>
      </c>
      <c r="M50" s="72">
        <v>2.6303854875283861E-2</v>
      </c>
      <c r="N50" s="70">
        <v>12.091836730000001</v>
      </c>
      <c r="O50" s="70">
        <v>12.12183673</v>
      </c>
    </row>
    <row r="51" spans="1:15" ht="15.75" thickBot="1">
      <c r="A51" s="76">
        <v>8</v>
      </c>
      <c r="B51" s="72">
        <v>4.75</v>
      </c>
      <c r="C51" s="70">
        <v>4.7136509999999996</v>
      </c>
      <c r="D51" s="70">
        <v>5.12</v>
      </c>
      <c r="E51" s="72">
        <v>3.6349206349206582E-2</v>
      </c>
      <c r="F51" s="70">
        <v>4.9536507939999996</v>
      </c>
      <c r="G51" s="70">
        <v>5.0236507939999999</v>
      </c>
      <c r="H51" s="16"/>
      <c r="I51" s="76">
        <v>23</v>
      </c>
      <c r="J51" s="72">
        <v>12.61</v>
      </c>
      <c r="K51" s="72">
        <v>12.213699999999999</v>
      </c>
      <c r="L51" s="72">
        <v>12.60844</v>
      </c>
      <c r="M51" s="72">
        <v>1.564625850338786E-3</v>
      </c>
      <c r="N51" s="70">
        <v>12.433696149999999</v>
      </c>
      <c r="O51" s="70">
        <v>12.50369615</v>
      </c>
    </row>
    <row r="52" spans="1:15" ht="15.75" thickBot="1">
      <c r="A52" s="76">
        <v>9</v>
      </c>
      <c r="B52" s="72">
        <v>5.14</v>
      </c>
      <c r="C52" s="70">
        <v>5.12</v>
      </c>
      <c r="D52" s="70">
        <v>5.8862589999999999</v>
      </c>
      <c r="E52" s="72">
        <v>1.999999999999957E-2</v>
      </c>
      <c r="F52" s="70">
        <v>5.14</v>
      </c>
      <c r="G52" s="70">
        <v>5.21</v>
      </c>
      <c r="H52" s="16"/>
      <c r="I52" s="76">
        <v>24</v>
      </c>
      <c r="J52" s="72">
        <v>12.97</v>
      </c>
      <c r="K52" s="72">
        <v>12.60844</v>
      </c>
      <c r="L52" s="72">
        <v>12.95673</v>
      </c>
      <c r="M52" s="72">
        <v>1.3265306122448811E-2</v>
      </c>
      <c r="N52" s="70">
        <v>12.688435370000001</v>
      </c>
      <c r="O52" s="70">
        <v>12.738435369999999</v>
      </c>
    </row>
    <row r="53" spans="1:15" ht="15.75" thickBot="1">
      <c r="A53" s="76">
        <v>10</v>
      </c>
      <c r="B53" s="72">
        <v>5.9</v>
      </c>
      <c r="C53" s="70">
        <v>5.8862589999999999</v>
      </c>
      <c r="D53" s="70">
        <v>6.2229479999999997</v>
      </c>
      <c r="E53" s="72">
        <v>1.3741496598639991E-2</v>
      </c>
      <c r="F53" s="70">
        <v>6.0862585029999998</v>
      </c>
      <c r="G53" s="70">
        <v>6.1362585029999996</v>
      </c>
      <c r="H53" s="16"/>
      <c r="I53" s="76">
        <v>25</v>
      </c>
      <c r="J53" s="72">
        <v>13.34</v>
      </c>
      <c r="K53" s="72">
        <v>12.95673</v>
      </c>
      <c r="L53" s="72">
        <v>13.328250000000001</v>
      </c>
      <c r="M53" s="72">
        <v>1.174603174603206E-2</v>
      </c>
      <c r="N53" s="70">
        <v>13.07673469</v>
      </c>
      <c r="O53" s="70">
        <v>13.10673469</v>
      </c>
    </row>
    <row r="54" spans="1:15" ht="15.75" thickBot="1">
      <c r="A54" s="76">
        <v>11</v>
      </c>
      <c r="B54" s="72">
        <v>6.26</v>
      </c>
      <c r="C54" s="70">
        <v>6.2229479999999997</v>
      </c>
      <c r="D54" s="70">
        <v>6.5944669999999999</v>
      </c>
      <c r="E54" s="72">
        <v>3.7052154195011511E-2</v>
      </c>
      <c r="F54" s="70">
        <v>6.4129478459999998</v>
      </c>
      <c r="G54" s="70">
        <v>6.5129478460000003</v>
      </c>
      <c r="H54" s="16"/>
      <c r="I54" s="76">
        <v>26</v>
      </c>
      <c r="J54" s="72">
        <v>13.69</v>
      </c>
      <c r="K54" s="72">
        <v>13.328250000000001</v>
      </c>
      <c r="L54" s="72">
        <v>13.699769999999999</v>
      </c>
      <c r="M54" s="72">
        <v>9.7732426303860365E-3</v>
      </c>
      <c r="N54" s="70">
        <v>13.53825397</v>
      </c>
      <c r="O54" s="70">
        <v>13.57825397</v>
      </c>
    </row>
    <row r="55" spans="1:15" ht="15.75" thickBot="1">
      <c r="A55" s="76">
        <v>12</v>
      </c>
      <c r="B55" s="72">
        <v>6.6</v>
      </c>
      <c r="C55" s="70">
        <v>6.5944669999999999</v>
      </c>
      <c r="D55" s="70">
        <v>6.8731070000000001</v>
      </c>
      <c r="E55" s="72">
        <v>5.5328798185936279E-3</v>
      </c>
      <c r="F55" s="70">
        <v>6.7144671200000001</v>
      </c>
      <c r="G55" s="70">
        <v>6.80446712</v>
      </c>
      <c r="H55" s="16"/>
      <c r="I55" s="76">
        <v>27</v>
      </c>
      <c r="J55" s="72">
        <v>14.11</v>
      </c>
      <c r="K55" s="72">
        <v>13.699769999999999</v>
      </c>
      <c r="L55" s="72">
        <v>14.01324</v>
      </c>
      <c r="M55" s="72"/>
      <c r="N55" s="70">
        <v>13.82977324</v>
      </c>
      <c r="O55" s="70">
        <v>13.869773240000001</v>
      </c>
    </row>
    <row r="56" spans="1:15" ht="15.75" thickBot="1">
      <c r="A56" s="76">
        <v>13</v>
      </c>
      <c r="B56" s="72">
        <v>6.98</v>
      </c>
      <c r="C56" s="70">
        <v>6.8731070000000001</v>
      </c>
      <c r="D56" s="72">
        <v>7.3839459999999999</v>
      </c>
      <c r="E56" s="72"/>
      <c r="F56" s="70">
        <v>7.1431065760000001</v>
      </c>
      <c r="G56" s="70">
        <v>7.2131065760000004</v>
      </c>
      <c r="H56" s="16"/>
      <c r="I56" s="76">
        <v>28</v>
      </c>
      <c r="J56" s="72">
        <v>15.27</v>
      </c>
      <c r="K56" s="72">
        <v>14.01324</v>
      </c>
      <c r="L56" s="72">
        <v>15.255509999999999</v>
      </c>
      <c r="M56" s="72">
        <v>1.4489795918366971E-2</v>
      </c>
      <c r="N56" s="70">
        <v>15.003242630000001</v>
      </c>
      <c r="O56" s="70">
        <v>15.083242630000001</v>
      </c>
    </row>
    <row r="57" spans="1:15" ht="15.75" thickBot="1">
      <c r="A57" s="76">
        <v>14</v>
      </c>
      <c r="B57" s="72">
        <v>7.38</v>
      </c>
      <c r="C57" s="72">
        <v>7.3839459999999999</v>
      </c>
      <c r="D57" s="72">
        <v>8.4752829999999992</v>
      </c>
      <c r="E57" s="72">
        <v>3.9455782312929344E-3</v>
      </c>
      <c r="F57" s="70">
        <v>7.6039455780000003</v>
      </c>
      <c r="G57" s="70">
        <v>7.6539455780000001</v>
      </c>
      <c r="H57" s="16"/>
      <c r="I57" s="76">
        <v>29</v>
      </c>
      <c r="J57" s="72">
        <v>15.64</v>
      </c>
      <c r="K57" s="72">
        <v>15.255509999999999</v>
      </c>
      <c r="L57" s="72">
        <v>16.451339999999998</v>
      </c>
      <c r="M57" s="72"/>
      <c r="N57" s="70">
        <v>15.365510199999999</v>
      </c>
      <c r="O57" s="70">
        <v>15.4855102</v>
      </c>
    </row>
    <row r="58" spans="1:15" ht="15.75" thickBot="1">
      <c r="A58" s="76">
        <v>15</v>
      </c>
      <c r="B58" s="72">
        <v>8.49</v>
      </c>
      <c r="C58" s="72">
        <v>8.4752829999999992</v>
      </c>
      <c r="D58" s="72">
        <v>8.8468029999999995</v>
      </c>
      <c r="E58" s="72">
        <v>1.4716553287982491E-2</v>
      </c>
      <c r="F58" s="70">
        <v>8.5452834469999992</v>
      </c>
      <c r="G58" s="70">
        <v>8.6452834470000006</v>
      </c>
      <c r="H58" s="16"/>
      <c r="I58" s="76">
        <v>30</v>
      </c>
      <c r="J58" s="72">
        <v>16.489999999999998</v>
      </c>
      <c r="K58" s="72">
        <v>16.451339999999998</v>
      </c>
      <c r="L58" s="70">
        <v>18</v>
      </c>
      <c r="M58" s="72">
        <v>3.8662131519274112E-2</v>
      </c>
      <c r="N58" s="70">
        <v>17.00133787</v>
      </c>
      <c r="O58" s="70">
        <v>17.18133787</v>
      </c>
    </row>
    <row r="59" spans="1:15">
      <c r="F59" s="75"/>
      <c r="G59" s="75"/>
      <c r="H59" s="75"/>
    </row>
    <row r="60" spans="1:15">
      <c r="F60" s="75"/>
      <c r="G60" s="75"/>
      <c r="H60" s="75"/>
    </row>
    <row r="61" spans="1:15">
      <c r="F61" s="75"/>
      <c r="G61" s="75"/>
      <c r="H61" s="75"/>
    </row>
    <row r="62" spans="1:15">
      <c r="F62" s="75"/>
      <c r="G62" s="75"/>
      <c r="H62" s="75"/>
    </row>
    <row r="63" spans="1:15">
      <c r="F63" s="75"/>
      <c r="G63" s="75"/>
      <c r="H63" s="75"/>
    </row>
    <row r="64" spans="1:15">
      <c r="F64" s="75"/>
      <c r="G64" s="75"/>
      <c r="H64" s="75"/>
    </row>
    <row r="65" spans="6:8">
      <c r="F65" s="75"/>
      <c r="G65" s="75"/>
      <c r="H65" s="75"/>
    </row>
    <row r="66" spans="6:8">
      <c r="F66" s="75"/>
      <c r="G66" s="75"/>
      <c r="H66" s="75"/>
    </row>
    <row r="67" spans="6:8">
      <c r="F67" s="75"/>
      <c r="G67" s="75"/>
      <c r="H67" s="75"/>
    </row>
    <row r="68" spans="6:8">
      <c r="F68" s="75"/>
      <c r="G68" s="75"/>
      <c r="H68" s="75"/>
    </row>
    <row r="69" spans="6:8">
      <c r="F69" s="75"/>
      <c r="G69" s="75"/>
      <c r="H69" s="75"/>
    </row>
    <row r="70" spans="6:8">
      <c r="F70" s="75"/>
      <c r="G70" s="75"/>
      <c r="H70" s="75"/>
    </row>
    <row r="71" spans="6:8">
      <c r="F71" s="75"/>
      <c r="G71" s="75"/>
      <c r="H71" s="75"/>
    </row>
    <row r="72" spans="6:8">
      <c r="F72" s="75"/>
      <c r="G72" s="75"/>
      <c r="H72" s="75"/>
    </row>
    <row r="73" spans="6:8">
      <c r="F73" s="75"/>
      <c r="G73" s="75"/>
      <c r="H73" s="75"/>
    </row>
    <row r="74" spans="6:8">
      <c r="F74" s="75"/>
      <c r="G74" s="75"/>
      <c r="H74" s="75"/>
    </row>
    <row r="75" spans="6:8">
      <c r="F75" s="75"/>
      <c r="G75" s="75"/>
      <c r="H75" s="75"/>
    </row>
    <row r="76" spans="6:8">
      <c r="F76" s="75"/>
      <c r="G76" s="75"/>
      <c r="H76" s="75"/>
    </row>
    <row r="77" spans="6:8">
      <c r="F77" s="75"/>
      <c r="G77" s="75"/>
      <c r="H77" s="75"/>
    </row>
    <row r="78" spans="6:8">
      <c r="F78" s="75"/>
      <c r="G78" s="75"/>
      <c r="H78" s="75"/>
    </row>
    <row r="79" spans="6:8">
      <c r="F79" s="75"/>
      <c r="G79" s="75"/>
      <c r="H79" s="75"/>
    </row>
    <row r="80" spans="6:8">
      <c r="F80" s="75"/>
      <c r="G80" s="75"/>
      <c r="H80" s="75"/>
    </row>
    <row r="81" spans="6:8">
      <c r="F81" s="75"/>
      <c r="G81" s="75"/>
      <c r="H81" s="75"/>
    </row>
    <row r="82" spans="6:8">
      <c r="F82" s="75"/>
      <c r="G82" s="75"/>
      <c r="H82" s="75"/>
    </row>
    <row r="83" spans="6:8">
      <c r="F83" s="75"/>
      <c r="G83" s="75"/>
      <c r="H83" s="75"/>
    </row>
    <row r="84" spans="6:8">
      <c r="F84" s="75"/>
      <c r="G84" s="75"/>
      <c r="H84" s="75"/>
    </row>
    <row r="85" spans="6:8">
      <c r="F85" s="75"/>
      <c r="G85" s="75"/>
      <c r="H85" s="75"/>
    </row>
    <row r="86" spans="6:8">
      <c r="F86" s="75"/>
      <c r="G86" s="75"/>
      <c r="H86" s="75"/>
    </row>
    <row r="87" spans="6:8">
      <c r="F87" s="75"/>
      <c r="G87" s="75"/>
      <c r="H87" s="75"/>
    </row>
    <row r="88" spans="6:8">
      <c r="F88" s="75"/>
      <c r="G88" s="75"/>
      <c r="H88" s="75"/>
    </row>
    <row r="89" spans="6:8">
      <c r="F89" s="75"/>
      <c r="G89" s="75"/>
      <c r="H89" s="75"/>
    </row>
    <row r="90" spans="6:8">
      <c r="F90" s="75"/>
      <c r="G90" s="75"/>
      <c r="H90" s="75"/>
    </row>
    <row r="91" spans="6:8">
      <c r="F91" s="75"/>
      <c r="G91" s="75"/>
      <c r="H91" s="75"/>
    </row>
    <row r="92" spans="6:8">
      <c r="F92" s="75"/>
      <c r="G92" s="75"/>
      <c r="H92" s="75"/>
    </row>
    <row r="93" spans="6:8">
      <c r="F93" s="75"/>
      <c r="G93" s="75"/>
      <c r="H93" s="75"/>
    </row>
    <row r="94" spans="6:8">
      <c r="F94" s="75"/>
      <c r="G94" s="75"/>
      <c r="H94" s="75"/>
    </row>
    <row r="95" spans="6:8">
      <c r="F95" s="75"/>
      <c r="G95" s="75"/>
      <c r="H95" s="75"/>
    </row>
    <row r="96" spans="6:8">
      <c r="F96" s="75"/>
      <c r="G96" s="75"/>
      <c r="H96" s="75"/>
    </row>
    <row r="97" spans="6:8">
      <c r="F97" s="75"/>
      <c r="G97" s="75"/>
      <c r="H97" s="75"/>
    </row>
    <row r="98" spans="6:8">
      <c r="F98" s="75"/>
      <c r="G98" s="75"/>
      <c r="H98" s="75"/>
    </row>
    <row r="99" spans="6:8">
      <c r="F99" s="75"/>
      <c r="G99" s="75"/>
      <c r="H99" s="75"/>
    </row>
    <row r="100" spans="6:8">
      <c r="F100" s="75"/>
      <c r="G100" s="75"/>
      <c r="H100" s="75"/>
    </row>
    <row r="101" spans="6:8">
      <c r="F101" s="75"/>
      <c r="G101" s="75"/>
      <c r="H101" s="75"/>
    </row>
    <row r="102" spans="6:8">
      <c r="F102" s="75"/>
      <c r="G102" s="75"/>
      <c r="H102" s="75"/>
    </row>
    <row r="103" spans="6:8">
      <c r="F103" s="75"/>
      <c r="G103" s="75"/>
      <c r="H103" s="75"/>
    </row>
    <row r="104" spans="6:8">
      <c r="F104" s="75"/>
      <c r="G104" s="75"/>
      <c r="H104" s="75"/>
    </row>
    <row r="105" spans="6:8">
      <c r="F105" s="75"/>
      <c r="G105" s="75"/>
      <c r="H105" s="75"/>
    </row>
    <row r="106" spans="6:8">
      <c r="F106" s="75"/>
      <c r="G106" s="75"/>
      <c r="H106" s="75"/>
    </row>
    <row r="107" spans="6:8">
      <c r="F107" s="75"/>
      <c r="G107" s="75"/>
      <c r="H107" s="75"/>
    </row>
    <row r="108" spans="6:8">
      <c r="F108" s="75"/>
      <c r="G108" s="75"/>
      <c r="H108" s="75"/>
    </row>
    <row r="109" spans="6:8">
      <c r="F109" s="75"/>
      <c r="G109" s="75"/>
      <c r="H109" s="75"/>
    </row>
    <row r="110" spans="6:8">
      <c r="F110" s="75"/>
      <c r="G110" s="75"/>
      <c r="H110" s="75"/>
    </row>
    <row r="111" spans="6:8">
      <c r="F111" s="75"/>
      <c r="G111" s="75"/>
      <c r="H111" s="75"/>
    </row>
    <row r="112" spans="6:8">
      <c r="F112" s="75"/>
      <c r="G112" s="75"/>
      <c r="H112" s="75"/>
    </row>
    <row r="113" spans="6:8">
      <c r="F113" s="75"/>
      <c r="G113" s="75"/>
      <c r="H113" s="75"/>
    </row>
    <row r="114" spans="6:8">
      <c r="F114" s="75"/>
      <c r="G114" s="75"/>
      <c r="H114" s="75"/>
    </row>
    <row r="115" spans="6:8">
      <c r="F115" s="75"/>
      <c r="G115" s="75"/>
      <c r="H115" s="75"/>
    </row>
    <row r="116" spans="6:8">
      <c r="F116" s="75"/>
      <c r="G116" s="75"/>
      <c r="H116" s="75"/>
    </row>
    <row r="117" spans="6:8">
      <c r="F117" s="75"/>
      <c r="G117" s="75"/>
      <c r="H117" s="75"/>
    </row>
    <row r="118" spans="6:8">
      <c r="F118" s="75"/>
      <c r="G118" s="75"/>
      <c r="H118" s="75"/>
    </row>
    <row r="119" spans="6:8">
      <c r="F119" s="75"/>
      <c r="G119" s="75"/>
      <c r="H119" s="75"/>
    </row>
    <row r="120" spans="6:8">
      <c r="F120" s="75"/>
      <c r="G120" s="75"/>
      <c r="H120" s="75"/>
    </row>
    <row r="121" spans="6:8">
      <c r="F121" s="75"/>
      <c r="G121" s="75"/>
      <c r="H121" s="75"/>
    </row>
    <row r="122" spans="6:8">
      <c r="F122" s="75"/>
      <c r="G122" s="75"/>
      <c r="H122" s="75"/>
    </row>
    <row r="123" spans="6:8">
      <c r="F123" s="75"/>
      <c r="G123" s="75"/>
      <c r="H123" s="75"/>
    </row>
    <row r="124" spans="6:8">
      <c r="F124" s="75"/>
      <c r="G124" s="75"/>
      <c r="H124" s="75"/>
    </row>
    <row r="125" spans="6:8">
      <c r="F125" s="75"/>
      <c r="G125" s="75"/>
      <c r="H125" s="75"/>
    </row>
    <row r="126" spans="6:8">
      <c r="F126" s="75"/>
      <c r="G126" s="75"/>
      <c r="H126" s="75"/>
    </row>
    <row r="127" spans="6:8">
      <c r="F127" s="75"/>
      <c r="G127" s="75"/>
      <c r="H127" s="75"/>
    </row>
    <row r="128" spans="6:8">
      <c r="F128" s="75"/>
      <c r="G128" s="75"/>
      <c r="H128" s="75"/>
    </row>
    <row r="129" spans="6:8">
      <c r="F129" s="75"/>
      <c r="G129" s="75"/>
      <c r="H129" s="75"/>
    </row>
    <row r="130" spans="6:8">
      <c r="F130" s="75"/>
      <c r="G130" s="75"/>
      <c r="H130" s="75"/>
    </row>
    <row r="131" spans="6:8">
      <c r="F131" s="75"/>
      <c r="G131" s="75"/>
      <c r="H131" s="75"/>
    </row>
    <row r="132" spans="6:8">
      <c r="F132" s="75"/>
      <c r="G132" s="75"/>
      <c r="H132" s="75"/>
    </row>
    <row r="133" spans="6:8">
      <c r="F133" s="75"/>
      <c r="G133" s="75"/>
      <c r="H133" s="75"/>
    </row>
    <row r="134" spans="6:8">
      <c r="F134" s="75"/>
      <c r="G134" s="75"/>
      <c r="H134" s="75"/>
    </row>
    <row r="135" spans="6:8">
      <c r="F135" s="75"/>
      <c r="G135" s="75"/>
      <c r="H135" s="75"/>
    </row>
    <row r="136" spans="6:8">
      <c r="F136" s="75"/>
      <c r="G136" s="75"/>
      <c r="H136" s="75"/>
    </row>
    <row r="137" spans="6:8">
      <c r="F137" s="75"/>
      <c r="G137" s="75"/>
      <c r="H137" s="75"/>
    </row>
    <row r="138" spans="6:8">
      <c r="F138" s="75"/>
      <c r="G138" s="75"/>
      <c r="H138" s="75"/>
    </row>
    <row r="139" spans="6:8">
      <c r="F139" s="75"/>
      <c r="G139" s="75"/>
      <c r="H139" s="75"/>
    </row>
    <row r="140" spans="6:8">
      <c r="F140" s="75"/>
      <c r="G140" s="75"/>
      <c r="H140" s="75"/>
    </row>
    <row r="141" spans="6:8">
      <c r="F141" s="75"/>
      <c r="G141" s="75"/>
      <c r="H141" s="75"/>
    </row>
    <row r="142" spans="6:8">
      <c r="F142" s="75"/>
      <c r="G142" s="75"/>
      <c r="H142" s="75"/>
    </row>
    <row r="143" spans="6:8">
      <c r="F143" s="75"/>
      <c r="G143" s="75"/>
      <c r="H143" s="75"/>
    </row>
    <row r="144" spans="6:8">
      <c r="F144" s="75"/>
      <c r="G144" s="75"/>
      <c r="H144" s="75"/>
    </row>
    <row r="145" spans="6:8">
      <c r="F145" s="75"/>
      <c r="G145" s="75"/>
      <c r="H145" s="75"/>
    </row>
    <row r="146" spans="6:8">
      <c r="F146" s="75"/>
      <c r="G146" s="75"/>
      <c r="H146" s="75"/>
    </row>
    <row r="147" spans="6:8">
      <c r="F147" s="75"/>
      <c r="G147" s="75"/>
      <c r="H147" s="75"/>
    </row>
    <row r="148" spans="6:8">
      <c r="F148" s="75"/>
      <c r="G148" s="75"/>
      <c r="H148" s="75"/>
    </row>
    <row r="149" spans="6:8">
      <c r="F149" s="75"/>
      <c r="G149" s="75"/>
      <c r="H149" s="75"/>
    </row>
    <row r="150" spans="6:8">
      <c r="F150" s="75"/>
      <c r="G150" s="75"/>
      <c r="H150" s="75"/>
    </row>
    <row r="151" spans="6:8">
      <c r="F151" s="75"/>
      <c r="G151" s="75"/>
      <c r="H151" s="75"/>
    </row>
    <row r="152" spans="6:8">
      <c r="F152" s="75"/>
      <c r="G152" s="75"/>
      <c r="H152" s="75"/>
    </row>
    <row r="153" spans="6:8">
      <c r="F153" s="75"/>
      <c r="G153" s="75"/>
      <c r="H153" s="75"/>
    </row>
    <row r="154" spans="6:8">
      <c r="F154" s="75"/>
      <c r="G154" s="75"/>
      <c r="H154" s="75"/>
    </row>
    <row r="155" spans="6:8">
      <c r="F155" s="75"/>
      <c r="G155" s="75"/>
      <c r="H155" s="75"/>
    </row>
    <row r="156" spans="6:8">
      <c r="F156" s="75"/>
      <c r="G156" s="75"/>
      <c r="H156" s="75"/>
    </row>
    <row r="157" spans="6:8">
      <c r="F157" s="75"/>
      <c r="G157" s="75"/>
      <c r="H157" s="75"/>
    </row>
    <row r="158" spans="6:8">
      <c r="F158" s="75"/>
      <c r="G158" s="75"/>
      <c r="H158" s="75"/>
    </row>
    <row r="159" spans="6:8">
      <c r="F159" s="75"/>
      <c r="G159" s="75"/>
      <c r="H159" s="75"/>
    </row>
    <row r="160" spans="6:8">
      <c r="F160" s="75"/>
      <c r="G160" s="75"/>
      <c r="H160" s="75"/>
    </row>
    <row r="161" spans="6:8">
      <c r="F161" s="75"/>
      <c r="G161" s="75"/>
      <c r="H161" s="75"/>
    </row>
    <row r="162" spans="6:8">
      <c r="F162" s="75"/>
      <c r="G162" s="75"/>
      <c r="H162" s="75"/>
    </row>
    <row r="163" spans="6:8">
      <c r="F163" s="75"/>
      <c r="G163" s="75"/>
      <c r="H163" s="75"/>
    </row>
    <row r="164" spans="6:8">
      <c r="F164" s="75"/>
      <c r="G164" s="75"/>
      <c r="H164" s="75"/>
    </row>
    <row r="165" spans="6:8">
      <c r="F165" s="75"/>
      <c r="G165" s="75"/>
      <c r="H165" s="75"/>
    </row>
    <row r="166" spans="6:8">
      <c r="F166" s="75"/>
      <c r="G166" s="75"/>
      <c r="H166" s="75"/>
    </row>
    <row r="167" spans="6:8">
      <c r="F167" s="75"/>
      <c r="G167" s="75"/>
      <c r="H167" s="75"/>
    </row>
    <row r="168" spans="6:8">
      <c r="F168" s="75"/>
      <c r="G168" s="75"/>
      <c r="H168" s="75"/>
    </row>
    <row r="169" spans="6:8">
      <c r="F169" s="75"/>
      <c r="G169" s="75"/>
      <c r="H169" s="75"/>
    </row>
    <row r="170" spans="6:8">
      <c r="F170" s="75"/>
      <c r="G170" s="75"/>
      <c r="H170" s="75"/>
    </row>
    <row r="171" spans="6:8">
      <c r="F171" s="75"/>
      <c r="G171" s="75"/>
      <c r="H171" s="75"/>
    </row>
    <row r="172" spans="6:8">
      <c r="F172" s="75"/>
      <c r="G172" s="75"/>
      <c r="H172" s="75"/>
    </row>
    <row r="173" spans="6:8">
      <c r="F173" s="75"/>
      <c r="G173" s="75"/>
      <c r="H173" s="75"/>
    </row>
    <row r="174" spans="6:8">
      <c r="F174" s="75"/>
      <c r="G174" s="75"/>
      <c r="H174" s="75"/>
    </row>
    <row r="175" spans="6:8">
      <c r="F175" s="75"/>
      <c r="G175" s="75"/>
      <c r="H175" s="75"/>
    </row>
    <row r="176" spans="6:8">
      <c r="F176" s="75"/>
      <c r="G176" s="75"/>
      <c r="H176" s="75"/>
    </row>
    <row r="177" spans="6:8">
      <c r="F177" s="75"/>
      <c r="G177" s="75"/>
      <c r="H177" s="75"/>
    </row>
    <row r="178" spans="6:8">
      <c r="F178" s="75"/>
      <c r="G178" s="75"/>
      <c r="H178" s="75"/>
    </row>
    <row r="179" spans="6:8">
      <c r="F179" s="75"/>
      <c r="G179" s="75"/>
      <c r="H179" s="75"/>
    </row>
    <row r="180" spans="6:8">
      <c r="F180" s="75"/>
      <c r="G180" s="75"/>
      <c r="H180" s="75"/>
    </row>
    <row r="181" spans="6:8">
      <c r="F181" s="75"/>
      <c r="G181" s="75"/>
      <c r="H181" s="75"/>
    </row>
    <row r="182" spans="6:8">
      <c r="F182" s="75"/>
      <c r="G182" s="75"/>
      <c r="H182" s="75"/>
    </row>
    <row r="183" spans="6:8">
      <c r="F183" s="75"/>
      <c r="G183" s="75"/>
      <c r="H183" s="75"/>
    </row>
    <row r="184" spans="6:8">
      <c r="F184" s="75"/>
      <c r="G184" s="75"/>
      <c r="H184" s="75"/>
    </row>
    <row r="185" spans="6:8">
      <c r="F185" s="75"/>
      <c r="G185" s="75"/>
      <c r="H185" s="75"/>
    </row>
    <row r="186" spans="6:8">
      <c r="F186" s="75"/>
      <c r="G186" s="75"/>
      <c r="H186" s="75"/>
    </row>
    <row r="187" spans="6:8">
      <c r="F187" s="75"/>
      <c r="G187" s="75"/>
      <c r="H187" s="75"/>
    </row>
    <row r="188" spans="6:8">
      <c r="F188" s="75"/>
      <c r="G188" s="75"/>
      <c r="H188" s="75"/>
    </row>
    <row r="189" spans="6:8">
      <c r="F189" s="75"/>
      <c r="G189" s="75"/>
      <c r="H189" s="75"/>
    </row>
    <row r="190" spans="6:8">
      <c r="F190" s="75"/>
      <c r="G190" s="75"/>
      <c r="H190" s="75"/>
    </row>
    <row r="191" spans="6:8">
      <c r="F191" s="75"/>
      <c r="G191" s="75"/>
      <c r="H191" s="75"/>
    </row>
    <row r="192" spans="6:8">
      <c r="F192" s="75"/>
      <c r="G192" s="75"/>
      <c r="H192" s="75"/>
    </row>
    <row r="193" spans="6:8">
      <c r="F193" s="75"/>
      <c r="G193" s="75"/>
      <c r="H193" s="75"/>
    </row>
    <row r="194" spans="6:8">
      <c r="F194" s="75"/>
      <c r="G194" s="75"/>
      <c r="H194" s="75"/>
    </row>
    <row r="195" spans="6:8">
      <c r="F195" s="75"/>
      <c r="G195" s="75"/>
      <c r="H195" s="75"/>
    </row>
    <row r="196" spans="6:8">
      <c r="F196" s="75"/>
      <c r="G196" s="75"/>
      <c r="H196" s="75"/>
    </row>
    <row r="197" spans="6:8">
      <c r="F197" s="75"/>
      <c r="G197" s="75"/>
      <c r="H197" s="75"/>
    </row>
    <row r="198" spans="6:8">
      <c r="F198" s="75"/>
      <c r="G198" s="75"/>
      <c r="H198" s="75"/>
    </row>
    <row r="199" spans="6:8">
      <c r="F199" s="75"/>
      <c r="G199" s="75"/>
      <c r="H199" s="75"/>
    </row>
    <row r="200" spans="6:8">
      <c r="F200" s="75"/>
      <c r="G200" s="75"/>
      <c r="H200" s="75"/>
    </row>
    <row r="201" spans="6:8">
      <c r="F201" s="75"/>
      <c r="G201" s="75"/>
      <c r="H201" s="75"/>
    </row>
    <row r="202" spans="6:8">
      <c r="F202" s="75"/>
      <c r="G202" s="75"/>
      <c r="H202" s="75"/>
    </row>
    <row r="203" spans="6:8">
      <c r="F203" s="75"/>
      <c r="G203" s="75"/>
      <c r="H203" s="75"/>
    </row>
    <row r="204" spans="6:8">
      <c r="F204" s="75"/>
      <c r="G204" s="75"/>
      <c r="H204" s="75"/>
    </row>
    <row r="205" spans="6:8">
      <c r="F205" s="75"/>
      <c r="G205" s="75"/>
      <c r="H205" s="75"/>
    </row>
    <row r="206" spans="6:8">
      <c r="F206" s="75"/>
      <c r="G206" s="75"/>
      <c r="H206" s="75"/>
    </row>
    <row r="207" spans="6:8">
      <c r="F207" s="75"/>
      <c r="G207" s="75"/>
      <c r="H207" s="75"/>
    </row>
    <row r="208" spans="6:8">
      <c r="F208" s="75"/>
      <c r="G208" s="75"/>
      <c r="H208" s="75"/>
    </row>
    <row r="209" spans="6:8">
      <c r="F209" s="75"/>
      <c r="G209" s="75"/>
      <c r="H209" s="75"/>
    </row>
    <row r="210" spans="6:8">
      <c r="F210" s="75"/>
      <c r="G210" s="75"/>
      <c r="H210" s="75"/>
    </row>
    <row r="211" spans="6:8">
      <c r="F211" s="75"/>
      <c r="G211" s="75"/>
      <c r="H211" s="75"/>
    </row>
    <row r="212" spans="6:8">
      <c r="F212" s="75"/>
      <c r="G212" s="75"/>
      <c r="H212" s="75"/>
    </row>
    <row r="213" spans="6:8">
      <c r="F213" s="75"/>
      <c r="G213" s="75"/>
      <c r="H213" s="75"/>
    </row>
    <row r="214" spans="6:8">
      <c r="F214" s="75"/>
      <c r="G214" s="75"/>
      <c r="H214" s="75"/>
    </row>
    <row r="215" spans="6:8">
      <c r="F215" s="75"/>
      <c r="G215" s="75"/>
      <c r="H215" s="75"/>
    </row>
    <row r="216" spans="6:8">
      <c r="F216" s="75"/>
      <c r="G216" s="75"/>
      <c r="H216" s="75"/>
    </row>
    <row r="217" spans="6:8">
      <c r="F217" s="75"/>
      <c r="G217" s="75"/>
      <c r="H217" s="75"/>
    </row>
    <row r="218" spans="6:8">
      <c r="F218" s="75"/>
      <c r="G218" s="75"/>
      <c r="H218" s="75"/>
    </row>
    <row r="219" spans="6:8">
      <c r="F219" s="75"/>
      <c r="G219" s="75"/>
      <c r="H219" s="75"/>
    </row>
    <row r="220" spans="6:8">
      <c r="F220" s="75"/>
      <c r="G220" s="75"/>
      <c r="H220" s="75"/>
    </row>
    <row r="221" spans="6:8">
      <c r="F221" s="75"/>
      <c r="G221" s="75"/>
      <c r="H221" s="75"/>
    </row>
    <row r="222" spans="6:8">
      <c r="F222" s="75"/>
      <c r="G222" s="75"/>
      <c r="H222" s="75"/>
    </row>
    <row r="223" spans="6:8">
      <c r="F223" s="75"/>
      <c r="G223" s="75"/>
      <c r="H223" s="75"/>
    </row>
    <row r="224" spans="6:8">
      <c r="F224" s="75"/>
      <c r="G224" s="75"/>
      <c r="H224" s="75"/>
    </row>
    <row r="225" spans="6:8">
      <c r="F225" s="75"/>
      <c r="G225" s="75"/>
      <c r="H225" s="75"/>
    </row>
    <row r="226" spans="6:8">
      <c r="F226" s="75"/>
      <c r="G226" s="75"/>
      <c r="H226" s="75"/>
    </row>
    <row r="227" spans="6:8">
      <c r="F227" s="75"/>
      <c r="G227" s="75"/>
      <c r="H227" s="75"/>
    </row>
    <row r="228" spans="6:8">
      <c r="F228" s="75"/>
      <c r="G228" s="75"/>
      <c r="H228" s="75"/>
    </row>
    <row r="229" spans="6:8">
      <c r="F229" s="75"/>
      <c r="G229" s="75"/>
      <c r="H229" s="75"/>
    </row>
    <row r="230" spans="6:8">
      <c r="F230" s="75"/>
      <c r="G230" s="75"/>
      <c r="H230" s="75"/>
    </row>
    <row r="231" spans="6:8">
      <c r="F231" s="75"/>
      <c r="G231" s="75"/>
      <c r="H231" s="75"/>
    </row>
    <row r="232" spans="6:8">
      <c r="F232" s="75"/>
      <c r="G232" s="75"/>
      <c r="H232" s="75"/>
    </row>
    <row r="233" spans="6:8">
      <c r="F233" s="75"/>
      <c r="G233" s="75"/>
      <c r="H233" s="75"/>
    </row>
    <row r="234" spans="6:8">
      <c r="F234" s="75"/>
      <c r="G234" s="75"/>
      <c r="H234" s="75"/>
    </row>
    <row r="235" spans="6:8">
      <c r="F235" s="75"/>
      <c r="G235" s="75"/>
      <c r="H235" s="75"/>
    </row>
    <row r="236" spans="6:8">
      <c r="F236" s="75"/>
      <c r="G236" s="75"/>
      <c r="H236" s="75"/>
    </row>
    <row r="237" spans="6:8">
      <c r="F237" s="75"/>
      <c r="G237" s="75"/>
      <c r="H237" s="75"/>
    </row>
    <row r="238" spans="6:8">
      <c r="F238" s="75"/>
      <c r="G238" s="75"/>
      <c r="H238" s="75"/>
    </row>
    <row r="239" spans="6:8">
      <c r="F239" s="75"/>
      <c r="G239" s="75"/>
      <c r="H239" s="75"/>
    </row>
    <row r="240" spans="6:8">
      <c r="F240" s="75"/>
      <c r="G240" s="75"/>
      <c r="H240" s="75"/>
    </row>
    <row r="241" spans="6:8">
      <c r="F241" s="75"/>
      <c r="G241" s="75"/>
      <c r="H241" s="75"/>
    </row>
    <row r="242" spans="6:8">
      <c r="F242" s="75"/>
      <c r="G242" s="75"/>
      <c r="H242" s="75"/>
    </row>
    <row r="243" spans="6:8">
      <c r="F243" s="75"/>
      <c r="G243" s="75"/>
      <c r="H243" s="75"/>
    </row>
    <row r="244" spans="6:8">
      <c r="F244" s="75"/>
      <c r="G244" s="75"/>
      <c r="H244" s="75"/>
    </row>
    <row r="245" spans="6:8">
      <c r="F245" s="75"/>
      <c r="G245" s="75"/>
      <c r="H245" s="75"/>
    </row>
    <row r="246" spans="6:8">
      <c r="F246" s="75"/>
      <c r="G246" s="75"/>
      <c r="H246" s="75"/>
    </row>
    <row r="247" spans="6:8">
      <c r="F247" s="75"/>
      <c r="G247" s="75"/>
      <c r="H247" s="75"/>
    </row>
    <row r="248" spans="6:8">
      <c r="F248" s="75"/>
      <c r="G248" s="75"/>
      <c r="H248" s="75"/>
    </row>
    <row r="249" spans="6:8">
      <c r="F249" s="75"/>
      <c r="G249" s="75"/>
      <c r="H249" s="75"/>
    </row>
    <row r="250" spans="6:8">
      <c r="F250" s="75"/>
      <c r="G250" s="75"/>
      <c r="H250" s="75"/>
    </row>
    <row r="251" spans="6:8">
      <c r="F251" s="75"/>
      <c r="G251" s="75"/>
      <c r="H251" s="75"/>
    </row>
    <row r="252" spans="6:8">
      <c r="F252" s="75"/>
      <c r="G252" s="75"/>
      <c r="H252" s="75"/>
    </row>
    <row r="253" spans="6:8">
      <c r="F253" s="75"/>
      <c r="G253" s="75"/>
      <c r="H253" s="75"/>
    </row>
    <row r="254" spans="6:8">
      <c r="F254" s="75"/>
      <c r="G254" s="75"/>
      <c r="H254" s="75"/>
    </row>
    <row r="255" spans="6:8">
      <c r="F255" s="75"/>
      <c r="G255" s="75"/>
      <c r="H255" s="75"/>
    </row>
    <row r="256" spans="6:8">
      <c r="F256" s="75"/>
      <c r="G256" s="75"/>
      <c r="H256" s="75"/>
    </row>
    <row r="257" spans="6:8">
      <c r="F257" s="75"/>
      <c r="G257" s="75"/>
      <c r="H257" s="75"/>
    </row>
  </sheetData>
  <mergeCells count="5">
    <mergeCell ref="I1:O1"/>
    <mergeCell ref="A1:G1"/>
    <mergeCell ref="A22:G22"/>
    <mergeCell ref="I22:O22"/>
    <mergeCell ref="A42:G42"/>
  </mergeCells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7EC3DA-F528-4E17-A7E8-9AA6BEBB2609}">
  <dimension ref="A1:K257"/>
  <sheetViews>
    <sheetView topLeftCell="A246" zoomScale="82" zoomScaleNormal="82" workbookViewId="0">
      <selection sqref="A1:J257"/>
    </sheetView>
  </sheetViews>
  <sheetFormatPr defaultRowHeight="15"/>
  <cols>
    <col min="1" max="1" width="9.140625" style="2"/>
    <col min="2" max="4" width="9.140625" style="110"/>
    <col min="5" max="5" width="9.28515625" style="54" bestFit="1" customWidth="1"/>
    <col min="6" max="6" width="10.5703125" style="54" bestFit="1" customWidth="1"/>
    <col min="7" max="7" width="9.7109375" style="54" bestFit="1" customWidth="1"/>
    <col min="8" max="16384" width="9.140625" style="2"/>
  </cols>
  <sheetData>
    <row r="1" spans="1:10" ht="15.75" thickBot="1">
      <c r="A1" s="249" t="s">
        <v>132</v>
      </c>
      <c r="B1" s="249"/>
      <c r="C1" s="249"/>
      <c r="D1" s="249"/>
      <c r="E1" s="249"/>
      <c r="F1" s="249"/>
      <c r="G1" s="249"/>
      <c r="H1" s="249"/>
      <c r="I1" s="249"/>
      <c r="J1" s="249"/>
    </row>
    <row r="2" spans="1:10" ht="24.75" thickBot="1">
      <c r="A2" s="95" t="s">
        <v>133</v>
      </c>
      <c r="B2" s="96" t="s">
        <v>13</v>
      </c>
      <c r="C2" s="96" t="s">
        <v>135</v>
      </c>
      <c r="D2" s="96" t="s">
        <v>134</v>
      </c>
      <c r="E2" s="97" t="s">
        <v>136</v>
      </c>
      <c r="F2" s="97" t="s">
        <v>18</v>
      </c>
      <c r="G2" s="97" t="s">
        <v>137</v>
      </c>
      <c r="H2" s="95" t="s">
        <v>138</v>
      </c>
      <c r="I2" s="95" t="s">
        <v>145</v>
      </c>
      <c r="J2" s="95" t="s">
        <v>139</v>
      </c>
    </row>
    <row r="3" spans="1:10" ht="15.75" thickBot="1">
      <c r="A3" s="249" t="s">
        <v>26</v>
      </c>
      <c r="B3" s="98">
        <v>0</v>
      </c>
      <c r="C3" s="98">
        <v>200.54227929999999</v>
      </c>
      <c r="D3" s="98">
        <v>200.54227929999999</v>
      </c>
      <c r="E3" s="99">
        <v>0</v>
      </c>
      <c r="F3" s="99">
        <v>0</v>
      </c>
      <c r="G3" s="99">
        <v>0</v>
      </c>
      <c r="H3" s="100" t="s">
        <v>109</v>
      </c>
      <c r="I3" s="100" t="s">
        <v>109</v>
      </c>
      <c r="J3" s="100" t="s">
        <v>109</v>
      </c>
    </row>
    <row r="4" spans="1:10" ht="15.75" thickBot="1">
      <c r="A4" s="249"/>
      <c r="B4" s="98">
        <v>1</v>
      </c>
      <c r="C4" s="98">
        <v>212.46714370000001</v>
      </c>
      <c r="D4" s="98">
        <v>210.40454869999999</v>
      </c>
      <c r="E4" s="99">
        <v>0.97078307500000005</v>
      </c>
      <c r="F4" s="99">
        <v>-16.888636429999998</v>
      </c>
      <c r="G4" s="99">
        <v>-16.888636429999998</v>
      </c>
      <c r="H4" s="100" t="s">
        <v>109</v>
      </c>
      <c r="I4" s="100" t="s">
        <v>109</v>
      </c>
      <c r="J4" s="100" t="s">
        <v>109</v>
      </c>
    </row>
    <row r="5" spans="1:10" ht="15.75" thickBot="1">
      <c r="A5" s="249"/>
      <c r="B5" s="98">
        <v>2</v>
      </c>
      <c r="C5" s="98">
        <v>225.10109750000001</v>
      </c>
      <c r="D5" s="98">
        <v>227.24374180000001</v>
      </c>
      <c r="E5" s="99">
        <v>0.951858643</v>
      </c>
      <c r="F5" s="99">
        <v>16.40096716</v>
      </c>
      <c r="G5" s="99">
        <v>16.40096716</v>
      </c>
      <c r="H5" s="100" t="s">
        <v>109</v>
      </c>
      <c r="I5" s="100" t="s">
        <v>109</v>
      </c>
      <c r="J5" s="100" t="s">
        <v>109</v>
      </c>
    </row>
    <row r="6" spans="1:10" ht="15.75" thickBot="1">
      <c r="A6" s="249"/>
      <c r="B6" s="98">
        <v>3</v>
      </c>
      <c r="C6" s="98">
        <v>238.4863053</v>
      </c>
      <c r="D6" s="98">
        <v>237.3213379</v>
      </c>
      <c r="E6" s="99">
        <v>0.48848401499999999</v>
      </c>
      <c r="F6" s="99">
        <v>-8.4775241739999991</v>
      </c>
      <c r="G6" s="99">
        <v>-8.4775241739999991</v>
      </c>
      <c r="H6" s="100" t="s">
        <v>109</v>
      </c>
      <c r="I6" s="100" t="s">
        <v>109</v>
      </c>
      <c r="J6" s="100" t="s">
        <v>109</v>
      </c>
    </row>
    <row r="7" spans="1:10" ht="15.75" thickBot="1">
      <c r="A7" s="249"/>
      <c r="B7" s="98">
        <v>4</v>
      </c>
      <c r="C7" s="98">
        <v>252.667439</v>
      </c>
      <c r="D7" s="98">
        <v>247.59839070000001</v>
      </c>
      <c r="E7" s="99">
        <v>2.0062135240000001</v>
      </c>
      <c r="F7" s="99">
        <v>-35.085384230000003</v>
      </c>
      <c r="G7" s="99">
        <v>-35.085384230000003</v>
      </c>
      <c r="H7" s="100" t="s">
        <v>109</v>
      </c>
      <c r="I7" s="100" t="s">
        <v>109</v>
      </c>
      <c r="J7" s="100" t="s">
        <v>109</v>
      </c>
    </row>
    <row r="8" spans="1:10" ht="15.75" thickBot="1">
      <c r="A8" s="249"/>
      <c r="B8" s="98">
        <v>5</v>
      </c>
      <c r="C8" s="98">
        <v>267.6918268</v>
      </c>
      <c r="D8" s="98">
        <v>262.69299590000003</v>
      </c>
      <c r="E8" s="99">
        <v>1.867382702</v>
      </c>
      <c r="F8" s="99">
        <v>-32.634427279999997</v>
      </c>
      <c r="G8" s="99">
        <v>-32.634427279999997</v>
      </c>
      <c r="H8" s="100" t="s">
        <v>109</v>
      </c>
      <c r="I8" s="100" t="s">
        <v>109</v>
      </c>
      <c r="J8" s="100" t="s">
        <v>109</v>
      </c>
    </row>
    <row r="9" spans="1:10" ht="15.75" thickBot="1">
      <c r="A9" s="249"/>
      <c r="B9" s="98">
        <v>6</v>
      </c>
      <c r="C9" s="98">
        <v>283.6096111</v>
      </c>
      <c r="D9" s="98">
        <v>274.84146659999999</v>
      </c>
      <c r="E9" s="99">
        <v>3.091624613</v>
      </c>
      <c r="F9" s="99">
        <v>-54.368085290000003</v>
      </c>
      <c r="G9" s="99">
        <v>-54.368085290000003</v>
      </c>
      <c r="H9" s="100" t="s">
        <v>109</v>
      </c>
      <c r="I9" s="100" t="s">
        <v>109</v>
      </c>
      <c r="J9" s="100" t="s">
        <v>112</v>
      </c>
    </row>
    <row r="10" spans="1:10" ht="15.75" thickBot="1">
      <c r="A10" s="249"/>
      <c r="B10" s="98">
        <v>7</v>
      </c>
      <c r="C10" s="98">
        <v>300.47391620000002</v>
      </c>
      <c r="D10" s="98">
        <v>165.04445749999999</v>
      </c>
      <c r="E10" s="99">
        <v>45.071951820000002</v>
      </c>
      <c r="F10" s="99">
        <v>-1037.2620810000001</v>
      </c>
      <c r="G10" s="99">
        <v>162.73791940000001</v>
      </c>
      <c r="H10" s="100" t="s">
        <v>112</v>
      </c>
      <c r="I10" s="100" t="s">
        <v>112</v>
      </c>
      <c r="J10" s="100" t="s">
        <v>112</v>
      </c>
    </row>
    <row r="11" spans="1:10" ht="15.75" thickBot="1">
      <c r="A11" s="249"/>
      <c r="B11" s="98">
        <v>8</v>
      </c>
      <c r="C11" s="98">
        <v>318.341025</v>
      </c>
      <c r="D11" s="98">
        <v>310.21503899999999</v>
      </c>
      <c r="E11" s="99">
        <v>2.5526041020000001</v>
      </c>
      <c r="F11" s="99">
        <v>-44.765354709999997</v>
      </c>
      <c r="G11" s="99">
        <v>-44.765354709999997</v>
      </c>
      <c r="H11" s="100" t="s">
        <v>109</v>
      </c>
      <c r="I11" s="100" t="s">
        <v>109</v>
      </c>
      <c r="J11" s="100" t="s">
        <v>109</v>
      </c>
    </row>
    <row r="12" spans="1:10" ht="15.75" thickBot="1">
      <c r="A12" s="249"/>
      <c r="B12" s="98">
        <v>9</v>
      </c>
      <c r="C12" s="98">
        <v>337.27056750000003</v>
      </c>
      <c r="D12" s="98">
        <v>323.20766839999999</v>
      </c>
      <c r="E12" s="99">
        <v>4.169619408</v>
      </c>
      <c r="F12" s="99">
        <v>-73.733995829999998</v>
      </c>
      <c r="G12" s="99">
        <v>-73.733995829999998</v>
      </c>
      <c r="H12" s="100" t="s">
        <v>109</v>
      </c>
      <c r="I12" s="100" t="s">
        <v>109</v>
      </c>
      <c r="J12" s="100" t="s">
        <v>112</v>
      </c>
    </row>
    <row r="13" spans="1:10" ht="15.75" thickBot="1">
      <c r="A13" s="249"/>
      <c r="B13" s="98">
        <v>10</v>
      </c>
      <c r="C13" s="98">
        <v>357.32571899999999</v>
      </c>
      <c r="D13" s="98">
        <v>349.35428610000002</v>
      </c>
      <c r="E13" s="99">
        <v>2.230858982</v>
      </c>
      <c r="F13" s="99">
        <v>-39.05870075</v>
      </c>
      <c r="G13" s="99">
        <v>-39.05870075</v>
      </c>
      <c r="H13" s="100" t="s">
        <v>109</v>
      </c>
      <c r="I13" s="100" t="s">
        <v>109</v>
      </c>
      <c r="J13" s="100" t="s">
        <v>109</v>
      </c>
    </row>
    <row r="14" spans="1:10" ht="15.75" thickBot="1">
      <c r="A14" s="249"/>
      <c r="B14" s="98">
        <v>11</v>
      </c>
      <c r="C14" s="98">
        <v>378.57341200000002</v>
      </c>
      <c r="D14" s="98">
        <v>367.53616620000003</v>
      </c>
      <c r="E14" s="99">
        <v>2.9154836</v>
      </c>
      <c r="F14" s="99">
        <v>-51.224244280000001</v>
      </c>
      <c r="G14" s="99">
        <v>-51.224244280000001</v>
      </c>
      <c r="H14" s="100" t="s">
        <v>109</v>
      </c>
      <c r="I14" s="100" t="s">
        <v>109</v>
      </c>
      <c r="J14" s="100" t="s">
        <v>112</v>
      </c>
    </row>
    <row r="15" spans="1:10" ht="15.75" thickBot="1">
      <c r="A15" s="249"/>
      <c r="B15" s="98">
        <v>12</v>
      </c>
      <c r="C15" s="98">
        <v>401.08455850000001</v>
      </c>
      <c r="D15" s="98">
        <v>390.49790330000002</v>
      </c>
      <c r="E15" s="99">
        <v>2.6395070519999999</v>
      </c>
      <c r="F15" s="99">
        <v>-46.309946740000001</v>
      </c>
      <c r="G15" s="99">
        <v>-46.309946740000001</v>
      </c>
      <c r="H15" s="100" t="s">
        <v>109</v>
      </c>
      <c r="I15" s="100" t="s">
        <v>109</v>
      </c>
      <c r="J15" s="100" t="s">
        <v>109</v>
      </c>
    </row>
    <row r="16" spans="1:10" ht="15.75" thickBot="1">
      <c r="A16" s="249"/>
      <c r="B16" s="98">
        <v>13</v>
      </c>
      <c r="C16" s="98">
        <v>424.93428749999998</v>
      </c>
      <c r="D16" s="98">
        <v>412.44507979999997</v>
      </c>
      <c r="E16" s="99">
        <v>2.9390915280000001</v>
      </c>
      <c r="F16" s="99">
        <v>-51.645277649999997</v>
      </c>
      <c r="G16" s="99">
        <v>-51.645277649999997</v>
      </c>
      <c r="H16" s="100" t="s">
        <v>109</v>
      </c>
      <c r="I16" s="100" t="s">
        <v>109</v>
      </c>
      <c r="J16" s="100" t="s">
        <v>112</v>
      </c>
    </row>
    <row r="17" spans="1:10" ht="15.75" thickBot="1">
      <c r="A17" s="249"/>
      <c r="B17" s="98">
        <v>14</v>
      </c>
      <c r="C17" s="98">
        <v>450.20219509999998</v>
      </c>
      <c r="D17" s="98">
        <v>458.73013939999998</v>
      </c>
      <c r="E17" s="99">
        <v>1.8942476049999999</v>
      </c>
      <c r="F17" s="99">
        <v>32.487128499999997</v>
      </c>
      <c r="G17" s="99">
        <v>32.487128499999997</v>
      </c>
      <c r="H17" s="100" t="s">
        <v>109</v>
      </c>
      <c r="I17" s="100" t="s">
        <v>109</v>
      </c>
      <c r="J17" s="100" t="s">
        <v>109</v>
      </c>
    </row>
    <row r="18" spans="1:10" ht="15.75" thickBot="1">
      <c r="A18" s="249"/>
      <c r="B18" s="98">
        <v>15</v>
      </c>
      <c r="C18" s="98">
        <v>476.97261070000002</v>
      </c>
      <c r="D18" s="98"/>
      <c r="E18" s="99"/>
      <c r="F18" s="99"/>
      <c r="G18" s="99"/>
      <c r="H18" s="100" t="s">
        <v>112</v>
      </c>
      <c r="I18" s="100" t="s">
        <v>112</v>
      </c>
      <c r="J18" s="100" t="s">
        <v>112</v>
      </c>
    </row>
    <row r="19" spans="1:10" ht="15.75" thickBot="1">
      <c r="A19" s="249" t="s">
        <v>27</v>
      </c>
      <c r="B19" s="98">
        <v>0</v>
      </c>
      <c r="C19" s="98">
        <v>200.8055798</v>
      </c>
      <c r="D19" s="98">
        <v>200.8055798</v>
      </c>
      <c r="E19" s="99">
        <v>0</v>
      </c>
      <c r="F19" s="99">
        <v>0</v>
      </c>
      <c r="G19" s="99">
        <v>0</v>
      </c>
      <c r="H19" s="100" t="s">
        <v>109</v>
      </c>
      <c r="I19" s="100" t="s">
        <v>109</v>
      </c>
      <c r="J19" s="100" t="s">
        <v>109</v>
      </c>
    </row>
    <row r="20" spans="1:10" ht="15.75" thickBot="1">
      <c r="A20" s="249"/>
      <c r="B20" s="98">
        <v>1</v>
      </c>
      <c r="C20" s="98">
        <v>212.74610089999999</v>
      </c>
      <c r="D20" s="98">
        <v>212.1334372</v>
      </c>
      <c r="E20" s="99">
        <v>0.287978809</v>
      </c>
      <c r="F20" s="99">
        <v>-4.9927797270000003</v>
      </c>
      <c r="G20" s="99">
        <v>-4.9927797270000003</v>
      </c>
      <c r="H20" s="100" t="s">
        <v>109</v>
      </c>
      <c r="I20" s="100" t="s">
        <v>109</v>
      </c>
      <c r="J20" s="100" t="s">
        <v>109</v>
      </c>
    </row>
    <row r="21" spans="1:10" ht="15.75" thickBot="1">
      <c r="A21" s="249"/>
      <c r="B21" s="98">
        <v>2</v>
      </c>
      <c r="C21" s="98">
        <v>225.39664239999999</v>
      </c>
      <c r="D21" s="98">
        <v>226.7023518</v>
      </c>
      <c r="E21" s="99">
        <v>0.57929410699999995</v>
      </c>
      <c r="F21" s="99">
        <v>10</v>
      </c>
      <c r="G21" s="99">
        <v>10</v>
      </c>
      <c r="H21" s="100" t="s">
        <v>109</v>
      </c>
      <c r="I21" s="100" t="s">
        <v>109</v>
      </c>
      <c r="J21" s="100" t="s">
        <v>109</v>
      </c>
    </row>
    <row r="22" spans="1:10" ht="15.75" thickBot="1">
      <c r="A22" s="249"/>
      <c r="B22" s="98">
        <v>3</v>
      </c>
      <c r="C22" s="98">
        <v>238.7994242</v>
      </c>
      <c r="D22" s="98">
        <v>238.7994242</v>
      </c>
      <c r="E22" s="99">
        <v>0</v>
      </c>
      <c r="F22" s="99">
        <v>0</v>
      </c>
      <c r="G22" s="99">
        <v>0</v>
      </c>
      <c r="H22" s="100" t="s">
        <v>109</v>
      </c>
      <c r="I22" s="100" t="s">
        <v>109</v>
      </c>
      <c r="J22" s="100" t="s">
        <v>109</v>
      </c>
    </row>
    <row r="23" spans="1:10" ht="15.75" thickBot="1">
      <c r="A23" s="249"/>
      <c r="B23" s="98">
        <v>4</v>
      </c>
      <c r="C23" s="98">
        <v>252.99917690000001</v>
      </c>
      <c r="D23" s="98">
        <v>247.22066770000001</v>
      </c>
      <c r="E23" s="99">
        <v>2.2840031569999999</v>
      </c>
      <c r="F23" s="99">
        <v>-40</v>
      </c>
      <c r="G23" s="99">
        <v>-40</v>
      </c>
      <c r="H23" s="100" t="s">
        <v>109</v>
      </c>
      <c r="I23" s="100" t="s">
        <v>109</v>
      </c>
      <c r="J23" s="100" t="s">
        <v>109</v>
      </c>
    </row>
    <row r="24" spans="1:10" ht="15.75" thickBot="1">
      <c r="A24" s="249"/>
      <c r="B24" s="98">
        <v>5</v>
      </c>
      <c r="C24" s="98">
        <v>268.04329080000002</v>
      </c>
      <c r="D24" s="98">
        <v>261.92117359999997</v>
      </c>
      <c r="E24" s="99">
        <v>2.2840031569999999</v>
      </c>
      <c r="F24" s="99">
        <v>-40</v>
      </c>
      <c r="G24" s="99">
        <v>-40</v>
      </c>
      <c r="H24" s="100" t="s">
        <v>109</v>
      </c>
      <c r="I24" s="100" t="s">
        <v>109</v>
      </c>
      <c r="J24" s="100" t="s">
        <v>109</v>
      </c>
    </row>
    <row r="25" spans="1:10" ht="15.75" thickBot="1">
      <c r="A25" s="249"/>
      <c r="B25" s="98">
        <v>6</v>
      </c>
      <c r="C25" s="98">
        <v>283.98197429999999</v>
      </c>
      <c r="D25" s="98">
        <v>281.43162360000002</v>
      </c>
      <c r="E25" s="99">
        <v>0.89806781300000005</v>
      </c>
      <c r="F25" s="99">
        <v>-15.61789083</v>
      </c>
      <c r="G25" s="99">
        <v>-15.61789083</v>
      </c>
      <c r="H25" s="100" t="s">
        <v>109</v>
      </c>
      <c r="I25" s="100" t="s">
        <v>109</v>
      </c>
      <c r="J25" s="100" t="s">
        <v>109</v>
      </c>
    </row>
    <row r="26" spans="1:10" ht="15.75" thickBot="1">
      <c r="A26" s="249"/>
      <c r="B26" s="98">
        <v>7</v>
      </c>
      <c r="C26" s="98">
        <v>300.8684212</v>
      </c>
      <c r="D26" s="98">
        <v>312.28046840000002</v>
      </c>
      <c r="E26" s="99">
        <v>3.7930358819999999</v>
      </c>
      <c r="F26" s="99">
        <v>64.451577099999994</v>
      </c>
      <c r="G26" s="99">
        <v>64.451577099999994</v>
      </c>
      <c r="H26" s="100" t="s">
        <v>109</v>
      </c>
      <c r="I26" s="100" t="s">
        <v>109</v>
      </c>
      <c r="J26" s="100" t="s">
        <v>112</v>
      </c>
    </row>
    <row r="27" spans="1:10" ht="15.75" thickBot="1">
      <c r="A27" s="249"/>
      <c r="B27" s="98">
        <v>8</v>
      </c>
      <c r="C27" s="98">
        <v>318.75898849999999</v>
      </c>
      <c r="D27" s="98">
        <v>324.33079750000002</v>
      </c>
      <c r="E27" s="99">
        <v>1.7479692099999999</v>
      </c>
      <c r="F27" s="99">
        <v>30</v>
      </c>
      <c r="G27" s="99">
        <v>30</v>
      </c>
      <c r="H27" s="100" t="s">
        <v>109</v>
      </c>
      <c r="I27" s="100" t="s">
        <v>109</v>
      </c>
      <c r="J27" s="100" t="s">
        <v>109</v>
      </c>
    </row>
    <row r="28" spans="1:10" ht="15.75" thickBot="1">
      <c r="A28" s="249"/>
      <c r="B28" s="98">
        <v>9</v>
      </c>
      <c r="C28" s="98">
        <v>337.7133844</v>
      </c>
      <c r="D28" s="98">
        <v>349.62282110000001</v>
      </c>
      <c r="E28" s="99">
        <v>3.526492384</v>
      </c>
      <c r="F28" s="99">
        <v>60</v>
      </c>
      <c r="G28" s="99">
        <v>60</v>
      </c>
      <c r="H28" s="100" t="s">
        <v>109</v>
      </c>
      <c r="I28" s="100" t="s">
        <v>109</v>
      </c>
      <c r="J28" s="100" t="s">
        <v>112</v>
      </c>
    </row>
    <row r="29" spans="1:10" ht="15.75" thickBot="1">
      <c r="A29" s="249"/>
      <c r="B29" s="98">
        <v>10</v>
      </c>
      <c r="C29" s="98">
        <v>357.7948672</v>
      </c>
      <c r="D29" s="98">
        <v>368.27905709999999</v>
      </c>
      <c r="E29" s="99">
        <v>2.9302236640000001</v>
      </c>
      <c r="F29" s="99">
        <v>50</v>
      </c>
      <c r="G29" s="99">
        <v>50</v>
      </c>
      <c r="H29" s="100" t="s">
        <v>109</v>
      </c>
      <c r="I29" s="100" t="s">
        <v>109</v>
      </c>
      <c r="J29" s="100" t="s">
        <v>109</v>
      </c>
    </row>
    <row r="30" spans="1:10" ht="15.75" thickBot="1">
      <c r="A30" s="249"/>
      <c r="B30" s="98">
        <v>11</v>
      </c>
      <c r="C30" s="98">
        <v>379.0704571</v>
      </c>
      <c r="D30" s="98">
        <v>390.17806940000003</v>
      </c>
      <c r="E30" s="99">
        <v>2.9302236640000001</v>
      </c>
      <c r="F30" s="99">
        <v>50</v>
      </c>
      <c r="G30" s="99">
        <v>50</v>
      </c>
      <c r="H30" s="100" t="s">
        <v>109</v>
      </c>
      <c r="I30" s="100" t="s">
        <v>109</v>
      </c>
      <c r="J30" s="100" t="s">
        <v>112</v>
      </c>
    </row>
    <row r="31" spans="1:10" ht="15.75" thickBot="1">
      <c r="A31" s="249"/>
      <c r="B31" s="98">
        <v>12</v>
      </c>
      <c r="C31" s="98">
        <v>401.61115949999999</v>
      </c>
      <c r="D31" s="98">
        <v>415.77394650000002</v>
      </c>
      <c r="E31" s="99">
        <v>3.526492384</v>
      </c>
      <c r="F31" s="99">
        <v>60</v>
      </c>
      <c r="G31" s="99">
        <v>60</v>
      </c>
      <c r="H31" s="100" t="s">
        <v>109</v>
      </c>
      <c r="I31" s="100" t="s">
        <v>109</v>
      </c>
      <c r="J31" s="100" t="s">
        <v>112</v>
      </c>
    </row>
    <row r="32" spans="1:10" ht="15.75" thickBot="1">
      <c r="A32" s="249"/>
      <c r="B32" s="98">
        <v>13</v>
      </c>
      <c r="C32" s="98">
        <v>425.49220179999998</v>
      </c>
      <c r="D32" s="98">
        <v>430.14874459999999</v>
      </c>
      <c r="E32" s="99">
        <v>1.094389703</v>
      </c>
      <c r="F32" s="99">
        <v>18.843523430000001</v>
      </c>
      <c r="G32" s="99">
        <v>18.843523430000001</v>
      </c>
      <c r="H32" s="100" t="s">
        <v>109</v>
      </c>
      <c r="I32" s="100" t="s">
        <v>109</v>
      </c>
      <c r="J32" s="100" t="s">
        <v>109</v>
      </c>
    </row>
    <row r="33" spans="1:10" ht="15.75" thickBot="1">
      <c r="A33" s="249"/>
      <c r="B33" s="98">
        <v>14</v>
      </c>
      <c r="C33" s="98">
        <v>450.79328470000002</v>
      </c>
      <c r="D33" s="98">
        <v>456.03125039999998</v>
      </c>
      <c r="E33" s="99">
        <v>1.1619440299999999</v>
      </c>
      <c r="F33" s="99">
        <v>20</v>
      </c>
      <c r="G33" s="99">
        <v>20</v>
      </c>
      <c r="H33" s="100" t="s">
        <v>109</v>
      </c>
      <c r="I33" s="100" t="s">
        <v>109</v>
      </c>
      <c r="J33" s="100" t="s">
        <v>109</v>
      </c>
    </row>
    <row r="34" spans="1:10" ht="15.75" thickBot="1">
      <c r="A34" s="249"/>
      <c r="B34" s="98">
        <v>15</v>
      </c>
      <c r="C34" s="98">
        <v>477.59884840000001</v>
      </c>
      <c r="D34" s="98">
        <v>486.11272109999999</v>
      </c>
      <c r="E34" s="99">
        <v>1.782640974</v>
      </c>
      <c r="F34" s="99">
        <v>30.58983697</v>
      </c>
      <c r="G34" s="99">
        <v>30.58983697</v>
      </c>
      <c r="H34" s="100" t="s">
        <v>109</v>
      </c>
      <c r="I34" s="100" t="s">
        <v>109</v>
      </c>
      <c r="J34" s="100" t="s">
        <v>109</v>
      </c>
    </row>
    <row r="35" spans="1:10" ht="15.75" thickBot="1">
      <c r="A35" s="249" t="s">
        <v>144</v>
      </c>
      <c r="B35" s="98">
        <v>0</v>
      </c>
      <c r="C35" s="98">
        <v>220.58036440000001</v>
      </c>
      <c r="D35" s="98">
        <v>220.58036440000001</v>
      </c>
      <c r="E35" s="99">
        <v>0</v>
      </c>
      <c r="F35" s="99">
        <v>0</v>
      </c>
      <c r="G35" s="99">
        <v>0</v>
      </c>
      <c r="H35" s="100" t="s">
        <v>109</v>
      </c>
      <c r="I35" s="100" t="s">
        <v>109</v>
      </c>
      <c r="J35" s="100" t="s">
        <v>109</v>
      </c>
    </row>
    <row r="36" spans="1:10" ht="15.75" thickBot="1">
      <c r="A36" s="249"/>
      <c r="B36" s="98">
        <v>1</v>
      </c>
      <c r="C36" s="98">
        <v>233.6967554</v>
      </c>
      <c r="D36" s="98">
        <v>209.64452560000001</v>
      </c>
      <c r="E36" s="99">
        <v>10.292068329999999</v>
      </c>
      <c r="F36" s="99">
        <v>-188.03105500000001</v>
      </c>
      <c r="G36" s="99">
        <v>-188.03105500000001</v>
      </c>
      <c r="H36" s="100" t="s">
        <v>109</v>
      </c>
      <c r="I36" s="100" t="s">
        <v>109</v>
      </c>
      <c r="J36" s="100" t="s">
        <v>112</v>
      </c>
    </row>
    <row r="37" spans="1:10" ht="15.75" thickBot="1">
      <c r="A37" s="249"/>
      <c r="B37" s="98">
        <v>2</v>
      </c>
      <c r="C37" s="98">
        <v>247.59308759999999</v>
      </c>
      <c r="D37" s="98">
        <v>226.84911149999999</v>
      </c>
      <c r="E37" s="99">
        <v>8.3782533109999999</v>
      </c>
      <c r="F37" s="99">
        <v>-151.48563369999999</v>
      </c>
      <c r="G37" s="99">
        <v>-151.48563369999999</v>
      </c>
      <c r="H37" s="100" t="s">
        <v>109</v>
      </c>
      <c r="I37" s="100" t="s">
        <v>109</v>
      </c>
      <c r="J37" s="100" t="s">
        <v>112</v>
      </c>
    </row>
    <row r="38" spans="1:10" ht="15.75" thickBot="1">
      <c r="A38" s="249"/>
      <c r="B38" s="98">
        <v>3</v>
      </c>
      <c r="C38" s="98">
        <v>262.3157387</v>
      </c>
      <c r="D38" s="98">
        <v>237.77461400000001</v>
      </c>
      <c r="E38" s="99">
        <v>9.3555669970000004</v>
      </c>
      <c r="F38" s="99">
        <v>-170.0516117</v>
      </c>
      <c r="G38" s="99">
        <v>-170.0516117</v>
      </c>
      <c r="H38" s="100" t="s">
        <v>109</v>
      </c>
      <c r="I38" s="100" t="s">
        <v>109</v>
      </c>
      <c r="J38" s="100" t="s">
        <v>112</v>
      </c>
    </row>
    <row r="39" spans="1:10" ht="15.75" thickBot="1">
      <c r="A39" s="249"/>
      <c r="B39" s="98">
        <v>4</v>
      </c>
      <c r="C39" s="98">
        <v>277.91384420000003</v>
      </c>
      <c r="D39" s="98">
        <v>247.70081669999999</v>
      </c>
      <c r="E39" s="99">
        <v>10.87136469</v>
      </c>
      <c r="F39" s="99">
        <v>-199.2468944</v>
      </c>
      <c r="G39" s="99">
        <v>-199.2468944</v>
      </c>
      <c r="H39" s="100" t="s">
        <v>109</v>
      </c>
      <c r="I39" s="100" t="s">
        <v>109</v>
      </c>
      <c r="J39" s="100" t="s">
        <v>112</v>
      </c>
    </row>
    <row r="40" spans="1:10" ht="15.75" thickBot="1">
      <c r="A40" s="249"/>
      <c r="B40" s="98">
        <v>5</v>
      </c>
      <c r="C40" s="98">
        <v>294.43946140000003</v>
      </c>
      <c r="D40" s="98">
        <v>263.17544270000002</v>
      </c>
      <c r="E40" s="99">
        <v>10.61814831</v>
      </c>
      <c r="F40" s="99">
        <v>-194.3353946</v>
      </c>
      <c r="G40" s="99">
        <v>-194.3353946</v>
      </c>
      <c r="H40" s="100" t="s">
        <v>109</v>
      </c>
      <c r="I40" s="100" t="s">
        <v>109</v>
      </c>
      <c r="J40" s="100" t="s">
        <v>112</v>
      </c>
    </row>
    <row r="41" spans="1:10" ht="15.75" thickBot="1">
      <c r="A41" s="249"/>
      <c r="B41" s="98">
        <v>6</v>
      </c>
      <c r="C41" s="98">
        <v>311.94774289999998</v>
      </c>
      <c r="D41" s="98">
        <v>281.15698159999999</v>
      </c>
      <c r="E41" s="99">
        <v>9.8704869380000009</v>
      </c>
      <c r="F41" s="99">
        <v>-179.91419830000001</v>
      </c>
      <c r="G41" s="99">
        <v>-179.91419830000001</v>
      </c>
      <c r="H41" s="100" t="s">
        <v>109</v>
      </c>
      <c r="I41" s="100" t="s">
        <v>109</v>
      </c>
      <c r="J41" s="100" t="s">
        <v>112</v>
      </c>
    </row>
    <row r="42" spans="1:10" ht="15.75" thickBot="1">
      <c r="A42" s="249"/>
      <c r="B42" s="98">
        <v>7</v>
      </c>
      <c r="C42" s="98">
        <v>330.49712090000003</v>
      </c>
      <c r="D42" s="98">
        <v>311.91656920000003</v>
      </c>
      <c r="E42" s="99">
        <v>5.6220010890000003</v>
      </c>
      <c r="F42" s="99">
        <v>-100.1730149</v>
      </c>
      <c r="G42" s="99">
        <v>-100.1730149</v>
      </c>
      <c r="H42" s="100" t="s">
        <v>109</v>
      </c>
      <c r="I42" s="100" t="s">
        <v>109</v>
      </c>
      <c r="J42" s="100" t="s">
        <v>112</v>
      </c>
    </row>
    <row r="43" spans="1:10" ht="15.75" thickBot="1">
      <c r="A43" s="249"/>
      <c r="B43" s="98">
        <v>8</v>
      </c>
      <c r="C43" s="98">
        <v>350.14950240000002</v>
      </c>
      <c r="D43" s="98">
        <v>322.92979159999999</v>
      </c>
      <c r="E43" s="99">
        <v>7.7737396910000003</v>
      </c>
      <c r="F43" s="99">
        <v>-140.100595</v>
      </c>
      <c r="G43" s="99">
        <v>-140.100595</v>
      </c>
      <c r="H43" s="100" t="s">
        <v>109</v>
      </c>
      <c r="I43" s="100" t="s">
        <v>109</v>
      </c>
      <c r="J43" s="100" t="s">
        <v>112</v>
      </c>
    </row>
    <row r="44" spans="1:10" ht="15.75" thickBot="1">
      <c r="A44" s="249"/>
      <c r="B44" s="98">
        <v>9</v>
      </c>
      <c r="C44" s="98">
        <v>370.97047529999998</v>
      </c>
      <c r="D44" s="98">
        <v>349.93446669999997</v>
      </c>
      <c r="E44" s="99">
        <v>5.6705344609999999</v>
      </c>
      <c r="F44" s="99">
        <v>-101.0635216</v>
      </c>
      <c r="G44" s="99">
        <v>-101.0635216</v>
      </c>
      <c r="H44" s="100" t="s">
        <v>109</v>
      </c>
      <c r="I44" s="100" t="s">
        <v>109</v>
      </c>
      <c r="J44" s="100" t="s">
        <v>112</v>
      </c>
    </row>
    <row r="45" spans="1:10" ht="15.75" thickBot="1">
      <c r="A45" s="249"/>
      <c r="B45" s="98">
        <v>10</v>
      </c>
      <c r="C45" s="98">
        <v>393.02952770000002</v>
      </c>
      <c r="D45" s="98">
        <v>367.52414829999998</v>
      </c>
      <c r="E45" s="99">
        <v>6.4894308379999996</v>
      </c>
      <c r="F45" s="99">
        <v>-116.1583897</v>
      </c>
      <c r="G45" s="99">
        <v>-116.1583897</v>
      </c>
      <c r="H45" s="100" t="s">
        <v>109</v>
      </c>
      <c r="I45" s="100" t="s">
        <v>109</v>
      </c>
      <c r="J45" s="100" t="s">
        <v>112</v>
      </c>
    </row>
    <row r="46" spans="1:10" ht="15.75" thickBot="1">
      <c r="A46" s="249"/>
      <c r="B46" s="98">
        <v>11</v>
      </c>
      <c r="C46" s="98">
        <v>416.40027959999998</v>
      </c>
      <c r="D46" s="98">
        <v>390.19146899999998</v>
      </c>
      <c r="E46" s="99">
        <v>6.294138577</v>
      </c>
      <c r="F46" s="99">
        <v>-112.5465621</v>
      </c>
      <c r="G46" s="99">
        <v>-112.5465621</v>
      </c>
      <c r="H46" s="100" t="s">
        <v>109</v>
      </c>
      <c r="I46" s="100" t="s">
        <v>109</v>
      </c>
      <c r="J46" s="100" t="s">
        <v>112</v>
      </c>
    </row>
    <row r="47" spans="1:10" ht="15.75" thickBot="1">
      <c r="A47" s="249"/>
      <c r="B47" s="98">
        <v>12</v>
      </c>
      <c r="C47" s="98">
        <v>441.16072869999999</v>
      </c>
      <c r="D47" s="98">
        <v>396.95279740000001</v>
      </c>
      <c r="E47" s="99">
        <v>10.020821979999999</v>
      </c>
      <c r="F47" s="99">
        <v>-182.8042887</v>
      </c>
      <c r="G47" s="99">
        <v>-182.8042887</v>
      </c>
      <c r="H47" s="100" t="s">
        <v>109</v>
      </c>
      <c r="I47" s="100" t="s">
        <v>109</v>
      </c>
      <c r="J47" s="100" t="s">
        <v>112</v>
      </c>
    </row>
    <row r="48" spans="1:10" ht="15.75" thickBot="1">
      <c r="A48" s="249"/>
      <c r="B48" s="98">
        <v>13</v>
      </c>
      <c r="C48" s="98">
        <v>467.39351069999998</v>
      </c>
      <c r="D48" s="98">
        <v>429.11993969999997</v>
      </c>
      <c r="E48" s="99">
        <v>8.1887253750000006</v>
      </c>
      <c r="F48" s="99">
        <v>-147.9081171</v>
      </c>
      <c r="G48" s="99">
        <v>-147.9081171</v>
      </c>
      <c r="H48" s="100" t="s">
        <v>109</v>
      </c>
      <c r="I48" s="100" t="s">
        <v>109</v>
      </c>
      <c r="J48" s="100" t="s">
        <v>112</v>
      </c>
    </row>
    <row r="49" spans="1:11" ht="15.75" thickBot="1">
      <c r="A49" s="249"/>
      <c r="B49" s="98">
        <v>14</v>
      </c>
      <c r="C49" s="98">
        <v>495.18617519999998</v>
      </c>
      <c r="D49" s="98">
        <v>457.36134909999998</v>
      </c>
      <c r="E49" s="99">
        <v>7.63850607</v>
      </c>
      <c r="F49" s="99">
        <v>-137.56390350000001</v>
      </c>
      <c r="G49" s="99">
        <v>-137.56390350000001</v>
      </c>
      <c r="H49" s="100" t="s">
        <v>109</v>
      </c>
      <c r="I49" s="100" t="s">
        <v>109</v>
      </c>
      <c r="J49" s="100" t="s">
        <v>112</v>
      </c>
    </row>
    <row r="50" spans="1:11" ht="15.75" thickBot="1">
      <c r="A50" s="249"/>
      <c r="B50" s="98">
        <v>15</v>
      </c>
      <c r="C50" s="98">
        <v>524.63147739999999</v>
      </c>
      <c r="D50" s="98">
        <v>489.59816979999999</v>
      </c>
      <c r="E50" s="99">
        <v>6.6776983679999997</v>
      </c>
      <c r="F50" s="99">
        <v>-119.6474467</v>
      </c>
      <c r="G50" s="99">
        <v>-119.6474467</v>
      </c>
      <c r="H50" s="100" t="s">
        <v>109</v>
      </c>
      <c r="I50" s="100" t="s">
        <v>109</v>
      </c>
      <c r="J50" s="100" t="s">
        <v>112</v>
      </c>
    </row>
    <row r="51" spans="1:11" ht="15.75" thickBot="1">
      <c r="A51" s="101"/>
      <c r="B51" s="102"/>
      <c r="C51" s="102"/>
      <c r="D51" s="102"/>
      <c r="E51" s="103"/>
      <c r="F51" s="103"/>
      <c r="G51" s="103"/>
      <c r="H51" s="104"/>
      <c r="I51" s="104"/>
      <c r="J51" s="104"/>
      <c r="K51" s="75"/>
    </row>
    <row r="52" spans="1:11" ht="15.75" thickBot="1">
      <c r="A52" s="250" t="s">
        <v>140</v>
      </c>
      <c r="B52" s="251"/>
      <c r="C52" s="251"/>
      <c r="D52" s="251"/>
      <c r="E52" s="251"/>
      <c r="F52" s="251"/>
      <c r="G52" s="251"/>
      <c r="H52" s="251"/>
      <c r="I52" s="251"/>
      <c r="J52" s="252"/>
    </row>
    <row r="53" spans="1:11" ht="24.75" thickBot="1">
      <c r="A53" s="95" t="s">
        <v>133</v>
      </c>
      <c r="B53" s="96" t="s">
        <v>13</v>
      </c>
      <c r="C53" s="96" t="s">
        <v>135</v>
      </c>
      <c r="D53" s="96" t="s">
        <v>134</v>
      </c>
      <c r="E53" s="97" t="s">
        <v>136</v>
      </c>
      <c r="F53" s="97" t="s">
        <v>18</v>
      </c>
      <c r="G53" s="97" t="s">
        <v>137</v>
      </c>
      <c r="H53" s="95" t="s">
        <v>138</v>
      </c>
      <c r="I53" s="95" t="s">
        <v>145</v>
      </c>
      <c r="J53" s="95" t="s">
        <v>139</v>
      </c>
    </row>
    <row r="54" spans="1:11" ht="15.75" thickBot="1">
      <c r="A54" s="246" t="s">
        <v>26</v>
      </c>
      <c r="B54" s="105">
        <v>0</v>
      </c>
      <c r="C54" s="105">
        <v>281.63588440000001</v>
      </c>
      <c r="D54" s="105">
        <v>281.63588440000001</v>
      </c>
      <c r="E54" s="55">
        <v>0</v>
      </c>
      <c r="F54" s="55">
        <v>0</v>
      </c>
      <c r="G54" s="55">
        <v>0</v>
      </c>
      <c r="H54" s="12" t="s">
        <v>109</v>
      </c>
      <c r="I54" s="12" t="s">
        <v>109</v>
      </c>
      <c r="J54" s="12" t="s">
        <v>109</v>
      </c>
    </row>
    <row r="55" spans="1:11" ht="15.75" thickBot="1">
      <c r="A55" s="247"/>
      <c r="B55" s="105">
        <v>2</v>
      </c>
      <c r="C55" s="105">
        <v>316.12559169999997</v>
      </c>
      <c r="D55" s="105">
        <v>274.21749149999999</v>
      </c>
      <c r="E55" s="55">
        <v>13.256788200000001</v>
      </c>
      <c r="F55" s="55">
        <v>-246.2126792</v>
      </c>
      <c r="G55" s="55">
        <v>-246.2126792</v>
      </c>
      <c r="H55" s="12" t="s">
        <v>109</v>
      </c>
      <c r="I55" s="12" t="s">
        <v>109</v>
      </c>
      <c r="J55" s="12" t="s">
        <v>112</v>
      </c>
    </row>
    <row r="56" spans="1:11" ht="15.75" thickBot="1">
      <c r="A56" s="247"/>
      <c r="B56" s="105">
        <v>5</v>
      </c>
      <c r="C56" s="105">
        <v>375.93880280000002</v>
      </c>
      <c r="D56" s="105">
        <v>350.22170269999998</v>
      </c>
      <c r="E56" s="55">
        <v>6.8407676820000001</v>
      </c>
      <c r="F56" s="55">
        <v>-122.67521259999999</v>
      </c>
      <c r="G56" s="55">
        <v>-122.67521259999999</v>
      </c>
      <c r="H56" s="12" t="s">
        <v>109</v>
      </c>
      <c r="I56" s="12" t="s">
        <v>109</v>
      </c>
      <c r="J56" s="12" t="s">
        <v>112</v>
      </c>
    </row>
    <row r="57" spans="1:11" ht="15.75" thickBot="1">
      <c r="A57" s="247"/>
      <c r="B57" s="105">
        <v>7</v>
      </c>
      <c r="C57" s="105">
        <v>421.97703869999998</v>
      </c>
      <c r="D57" s="105">
        <v>469.13167520000002</v>
      </c>
      <c r="E57" s="55">
        <v>11.174692500000001</v>
      </c>
      <c r="F57" s="55">
        <v>183.3940972</v>
      </c>
      <c r="G57" s="55">
        <v>183.3940972</v>
      </c>
      <c r="H57" s="12" t="s">
        <v>109</v>
      </c>
      <c r="I57" s="12" t="s">
        <v>109</v>
      </c>
      <c r="J57" s="12" t="s">
        <v>112</v>
      </c>
    </row>
    <row r="58" spans="1:11" ht="15.75" thickBot="1">
      <c r="A58" s="248"/>
      <c r="B58" s="105">
        <v>9</v>
      </c>
      <c r="C58" s="105">
        <v>473.65321119999999</v>
      </c>
      <c r="D58" s="105">
        <v>517.4561506</v>
      </c>
      <c r="E58" s="55">
        <v>9.2478924159999991</v>
      </c>
      <c r="F58" s="55">
        <v>153.12653739999999</v>
      </c>
      <c r="G58" s="55">
        <v>153.12653739999999</v>
      </c>
      <c r="H58" s="12" t="s">
        <v>109</v>
      </c>
      <c r="I58" s="12" t="s">
        <v>109</v>
      </c>
      <c r="J58" s="12" t="s">
        <v>112</v>
      </c>
    </row>
    <row r="59" spans="1:11" ht="15.75" thickBot="1">
      <c r="A59" s="246" t="s">
        <v>27</v>
      </c>
      <c r="B59" s="105">
        <v>0</v>
      </c>
      <c r="C59" s="105">
        <v>310.8028668</v>
      </c>
      <c r="D59" s="105">
        <v>310.8028668</v>
      </c>
      <c r="E59" s="55">
        <v>0</v>
      </c>
      <c r="F59" s="55">
        <v>0</v>
      </c>
      <c r="G59" s="55">
        <v>0</v>
      </c>
      <c r="H59" s="12" t="s">
        <v>109</v>
      </c>
      <c r="I59" s="12" t="s">
        <v>109</v>
      </c>
      <c r="J59" s="12" t="s">
        <v>109</v>
      </c>
    </row>
    <row r="60" spans="1:11" ht="15.75" thickBot="1">
      <c r="A60" s="247"/>
      <c r="B60" s="105">
        <v>2</v>
      </c>
      <c r="C60" s="105">
        <v>348.86442249999999</v>
      </c>
      <c r="D60" s="105">
        <v>350.32728880000002</v>
      </c>
      <c r="E60" s="55">
        <v>0.41932229500000001</v>
      </c>
      <c r="F60" s="55">
        <v>7.2442725230000002</v>
      </c>
      <c r="G60" s="55">
        <v>7.2442725230000002</v>
      </c>
      <c r="H60" s="12" t="s">
        <v>109</v>
      </c>
      <c r="I60" s="12" t="s">
        <v>109</v>
      </c>
      <c r="J60" s="12" t="s">
        <v>109</v>
      </c>
    </row>
    <row r="61" spans="1:11" ht="15.75" thickBot="1">
      <c r="A61" s="247"/>
      <c r="B61" s="105">
        <v>5</v>
      </c>
      <c r="C61" s="105">
        <v>414.87205340000003</v>
      </c>
      <c r="D61" s="105">
        <v>411.60350499999998</v>
      </c>
      <c r="E61" s="55">
        <v>0.78784491199999995</v>
      </c>
      <c r="F61" s="55">
        <v>-13.69345206</v>
      </c>
      <c r="G61" s="55">
        <v>-13.69345206</v>
      </c>
      <c r="H61" s="12" t="s">
        <v>109</v>
      </c>
      <c r="I61" s="12" t="s">
        <v>109</v>
      </c>
      <c r="J61" s="12" t="s">
        <v>109</v>
      </c>
    </row>
    <row r="62" spans="1:11" ht="15.75" thickBot="1">
      <c r="A62" s="247"/>
      <c r="B62" s="105">
        <v>7</v>
      </c>
      <c r="C62" s="105">
        <v>465.67813480000001</v>
      </c>
      <c r="D62" s="105">
        <v>474.0787239</v>
      </c>
      <c r="E62" s="55">
        <v>1.803947499</v>
      </c>
      <c r="F62" s="55">
        <v>30.952204460000001</v>
      </c>
      <c r="G62" s="55">
        <v>30.952204460000001</v>
      </c>
      <c r="H62" s="12" t="s">
        <v>109</v>
      </c>
      <c r="I62" s="12" t="s">
        <v>109</v>
      </c>
      <c r="J62" s="12" t="s">
        <v>109</v>
      </c>
    </row>
    <row r="63" spans="1:11" ht="15.75" thickBot="1">
      <c r="A63" s="248"/>
      <c r="B63" s="105">
        <v>9</v>
      </c>
      <c r="C63" s="105">
        <v>522.70603300000005</v>
      </c>
      <c r="D63" s="105">
        <v>525.43189319999999</v>
      </c>
      <c r="E63" s="55">
        <v>0.52149008500000005</v>
      </c>
      <c r="F63" s="55">
        <v>9.0047548129999999</v>
      </c>
      <c r="G63" s="55">
        <v>9.0047548129999999</v>
      </c>
      <c r="H63" s="12" t="s">
        <v>109</v>
      </c>
      <c r="I63" s="12" t="s">
        <v>109</v>
      </c>
      <c r="J63" s="12" t="s">
        <v>109</v>
      </c>
    </row>
    <row r="64" spans="1:11" ht="15.75" thickBot="1">
      <c r="A64" s="246" t="s">
        <v>144</v>
      </c>
      <c r="B64" s="105">
        <v>0</v>
      </c>
      <c r="C64" s="105">
        <v>288.13134300000002</v>
      </c>
      <c r="D64" s="105">
        <v>288.13134300000002</v>
      </c>
      <c r="E64" s="55">
        <v>0</v>
      </c>
      <c r="F64" s="55">
        <v>0</v>
      </c>
      <c r="G64" s="55">
        <v>0</v>
      </c>
      <c r="H64" s="12" t="s">
        <v>109</v>
      </c>
      <c r="I64" s="12" t="s">
        <v>109</v>
      </c>
      <c r="J64" s="12" t="s">
        <v>109</v>
      </c>
    </row>
    <row r="65" spans="1:11" ht="15.75" thickBot="1">
      <c r="A65" s="247"/>
      <c r="B65" s="105">
        <v>2</v>
      </c>
      <c r="C65" s="105">
        <v>323.41649749999999</v>
      </c>
      <c r="D65" s="105">
        <v>289.04189530000002</v>
      </c>
      <c r="E65" s="55">
        <v>10.628586500000001</v>
      </c>
      <c r="F65" s="55">
        <v>-194.53758329999999</v>
      </c>
      <c r="G65" s="55">
        <v>-194.53758329999999</v>
      </c>
      <c r="H65" s="12" t="s">
        <v>109</v>
      </c>
      <c r="I65" s="12" t="s">
        <v>109</v>
      </c>
      <c r="J65" s="12" t="s">
        <v>112</v>
      </c>
    </row>
    <row r="66" spans="1:11" ht="15.75" thickBot="1">
      <c r="A66" s="247"/>
      <c r="B66" s="105">
        <v>5</v>
      </c>
      <c r="C66" s="105">
        <v>384.60919990000002</v>
      </c>
      <c r="D66" s="105">
        <v>413.50256660000002</v>
      </c>
      <c r="E66" s="55">
        <v>7.512396131</v>
      </c>
      <c r="F66" s="55">
        <v>125.4036138</v>
      </c>
      <c r="G66" s="55">
        <v>125.4036138</v>
      </c>
      <c r="H66" s="12" t="s">
        <v>109</v>
      </c>
      <c r="I66" s="12" t="s">
        <v>109</v>
      </c>
      <c r="J66" s="12" t="s">
        <v>112</v>
      </c>
    </row>
    <row r="67" spans="1:11" ht="15.75" thickBot="1">
      <c r="A67" s="247"/>
      <c r="B67" s="105">
        <v>7</v>
      </c>
      <c r="C67" s="105">
        <v>431.70923040000002</v>
      </c>
      <c r="D67" s="105">
        <v>467.14269439999998</v>
      </c>
      <c r="E67" s="55">
        <v>8.2077151720000003</v>
      </c>
      <c r="F67" s="55">
        <v>136.56403979999999</v>
      </c>
      <c r="G67" s="55">
        <v>136.56403979999999</v>
      </c>
      <c r="H67" s="12" t="s">
        <v>109</v>
      </c>
      <c r="I67" s="12" t="s">
        <v>109</v>
      </c>
      <c r="J67" s="12" t="s">
        <v>112</v>
      </c>
    </row>
    <row r="68" spans="1:11" ht="15.75" thickBot="1">
      <c r="A68" s="248"/>
      <c r="B68" s="105">
        <v>9</v>
      </c>
      <c r="C68" s="105">
        <v>484.57722699999999</v>
      </c>
      <c r="D68" s="105">
        <v>536.27658540000004</v>
      </c>
      <c r="E68" s="55">
        <v>10.66896163</v>
      </c>
      <c r="F68" s="55">
        <v>175.50079030000001</v>
      </c>
      <c r="G68" s="55">
        <v>175.50079030000001</v>
      </c>
      <c r="H68" s="12" t="s">
        <v>109</v>
      </c>
      <c r="I68" s="12" t="s">
        <v>109</v>
      </c>
      <c r="J68" s="12" t="s">
        <v>112</v>
      </c>
    </row>
    <row r="69" spans="1:11" ht="15.75" thickBot="1">
      <c r="A69" s="94"/>
      <c r="B69" s="106"/>
      <c r="C69" s="106"/>
      <c r="D69" s="106"/>
      <c r="E69" s="107"/>
      <c r="F69" s="107"/>
      <c r="G69" s="107"/>
      <c r="H69" s="108"/>
      <c r="I69" s="108"/>
      <c r="J69" s="108"/>
      <c r="K69" s="75"/>
    </row>
    <row r="70" spans="1:11" ht="15.75" thickBot="1">
      <c r="A70" s="250" t="s">
        <v>141</v>
      </c>
      <c r="B70" s="251"/>
      <c r="C70" s="251"/>
      <c r="D70" s="251"/>
      <c r="E70" s="251"/>
      <c r="F70" s="251"/>
      <c r="G70" s="251"/>
      <c r="H70" s="251"/>
      <c r="I70" s="251"/>
      <c r="J70" s="252"/>
    </row>
    <row r="71" spans="1:11" ht="24.75" thickBot="1">
      <c r="A71" s="95" t="s">
        <v>133</v>
      </c>
      <c r="B71" s="96" t="s">
        <v>13</v>
      </c>
      <c r="C71" s="96" t="s">
        <v>135</v>
      </c>
      <c r="D71" s="96" t="s">
        <v>134</v>
      </c>
      <c r="E71" s="97" t="s">
        <v>136</v>
      </c>
      <c r="F71" s="97" t="s">
        <v>18</v>
      </c>
      <c r="G71" s="97" t="s">
        <v>137</v>
      </c>
      <c r="H71" s="95" t="s">
        <v>138</v>
      </c>
      <c r="I71" s="95" t="s">
        <v>145</v>
      </c>
      <c r="J71" s="95" t="s">
        <v>139</v>
      </c>
    </row>
    <row r="72" spans="1:11" ht="15.75" thickBot="1">
      <c r="A72" s="246" t="s">
        <v>26</v>
      </c>
      <c r="B72" s="105">
        <v>0</v>
      </c>
      <c r="C72" s="105">
        <v>318.56727619999998</v>
      </c>
      <c r="D72" s="105">
        <v>318.56727619999998</v>
      </c>
      <c r="E72" s="55">
        <v>0</v>
      </c>
      <c r="F72" s="55">
        <v>0</v>
      </c>
      <c r="G72" s="55">
        <v>0</v>
      </c>
      <c r="H72" s="12" t="s">
        <v>109</v>
      </c>
      <c r="I72" s="12" t="s">
        <v>109</v>
      </c>
      <c r="J72" s="12" t="s">
        <v>109</v>
      </c>
    </row>
    <row r="73" spans="1:11" ht="15.75" thickBot="1">
      <c r="A73" s="247"/>
      <c r="B73" s="105">
        <v>2</v>
      </c>
      <c r="C73" s="105">
        <v>357.57967730000001</v>
      </c>
      <c r="D73" s="105">
        <v>354.79167489999998</v>
      </c>
      <c r="E73" s="55">
        <v>0.77968705400000005</v>
      </c>
      <c r="F73" s="55">
        <v>-13.55110477</v>
      </c>
      <c r="G73" s="55">
        <v>-13.55110477</v>
      </c>
      <c r="H73" s="12" t="s">
        <v>109</v>
      </c>
      <c r="I73" s="12" t="s">
        <v>109</v>
      </c>
      <c r="J73" s="12" t="s">
        <v>109</v>
      </c>
    </row>
    <row r="74" spans="1:11" ht="15.75" thickBot="1">
      <c r="A74" s="247"/>
      <c r="B74" s="105">
        <v>5</v>
      </c>
      <c r="C74" s="105">
        <v>425.23629640000001</v>
      </c>
      <c r="D74" s="105">
        <v>417.11616980000002</v>
      </c>
      <c r="E74" s="55">
        <v>1.9095563419999999</v>
      </c>
      <c r="F74" s="55">
        <v>-33.378605280000002</v>
      </c>
      <c r="G74" s="55">
        <v>-33.378605280000002</v>
      </c>
      <c r="H74" s="12" t="s">
        <v>109</v>
      </c>
      <c r="I74" s="12" t="s">
        <v>109</v>
      </c>
      <c r="J74" s="12" t="s">
        <v>109</v>
      </c>
    </row>
    <row r="75" spans="1:11" ht="15.75" thickBot="1">
      <c r="A75" s="247"/>
      <c r="B75" s="105">
        <v>7</v>
      </c>
      <c r="C75" s="105">
        <v>477.3116043</v>
      </c>
      <c r="D75" s="105">
        <v>474.79110689999999</v>
      </c>
      <c r="E75" s="55">
        <v>0.52806120499999998</v>
      </c>
      <c r="F75" s="55">
        <v>-9.1661983080000002</v>
      </c>
      <c r="G75" s="55">
        <v>-9.1661983080000002</v>
      </c>
      <c r="H75" s="12" t="s">
        <v>109</v>
      </c>
      <c r="I75" s="12" t="s">
        <v>109</v>
      </c>
      <c r="J75" s="12" t="s">
        <v>109</v>
      </c>
    </row>
    <row r="76" spans="1:11" ht="15.75" thickBot="1">
      <c r="A76" s="247"/>
      <c r="B76" s="105">
        <v>9</v>
      </c>
      <c r="C76" s="105">
        <v>535.76416110000002</v>
      </c>
      <c r="D76" s="105">
        <v>528.73526690000006</v>
      </c>
      <c r="E76" s="55">
        <v>1.31193811</v>
      </c>
      <c r="F76" s="55">
        <v>-22.863023729999998</v>
      </c>
      <c r="G76" s="55">
        <v>-22.863023729999998</v>
      </c>
      <c r="H76" s="12" t="s">
        <v>109</v>
      </c>
      <c r="I76" s="12" t="s">
        <v>109</v>
      </c>
      <c r="J76" s="12" t="s">
        <v>109</v>
      </c>
    </row>
    <row r="77" spans="1:11" ht="15.75" thickBot="1">
      <c r="A77" s="247"/>
      <c r="B77" s="105">
        <v>9</v>
      </c>
      <c r="C77" s="105">
        <v>535.76416110000002</v>
      </c>
      <c r="D77" s="105">
        <v>518.93539820000001</v>
      </c>
      <c r="E77" s="55">
        <v>3.1410766350000001</v>
      </c>
      <c r="F77" s="55">
        <v>-55.251753749999999</v>
      </c>
      <c r="G77" s="55">
        <v>-55.251753749999999</v>
      </c>
      <c r="H77" s="12" t="s">
        <v>109</v>
      </c>
      <c r="I77" s="12" t="s">
        <v>109</v>
      </c>
      <c r="J77" s="12" t="s">
        <v>112</v>
      </c>
    </row>
    <row r="78" spans="1:11" ht="15.75" thickBot="1">
      <c r="A78" s="247"/>
      <c r="B78" s="105">
        <v>7</v>
      </c>
      <c r="C78" s="105">
        <v>477.3116043</v>
      </c>
      <c r="D78" s="105">
        <v>472.60967310000001</v>
      </c>
      <c r="E78" s="55">
        <v>0.98508629000000003</v>
      </c>
      <c r="F78" s="55">
        <v>-17.138704059999998</v>
      </c>
      <c r="G78" s="55">
        <v>-17.138704059999998</v>
      </c>
      <c r="H78" s="12" t="s">
        <v>109</v>
      </c>
      <c r="I78" s="12" t="s">
        <v>109</v>
      </c>
      <c r="J78" s="12" t="s">
        <v>109</v>
      </c>
    </row>
    <row r="79" spans="1:11" ht="15.75" thickBot="1">
      <c r="A79" s="247"/>
      <c r="B79" s="105">
        <v>5</v>
      </c>
      <c r="C79" s="105">
        <v>425.23629640000001</v>
      </c>
      <c r="D79" s="105">
        <v>418.73300110000002</v>
      </c>
      <c r="E79" s="55">
        <v>1.5293368389999999</v>
      </c>
      <c r="F79" s="55">
        <v>-26.680944889999999</v>
      </c>
      <c r="G79" s="55">
        <v>-26.680944889999999</v>
      </c>
      <c r="H79" s="12" t="s">
        <v>109</v>
      </c>
      <c r="I79" s="12" t="s">
        <v>109</v>
      </c>
      <c r="J79" s="12" t="s">
        <v>109</v>
      </c>
    </row>
    <row r="80" spans="1:11" ht="15.75" thickBot="1">
      <c r="A80" s="247"/>
      <c r="B80" s="105">
        <v>2</v>
      </c>
      <c r="C80" s="105">
        <v>357.57967730000001</v>
      </c>
      <c r="D80" s="105">
        <v>479.81008109999999</v>
      </c>
      <c r="E80" s="55">
        <v>34.182704319999999</v>
      </c>
      <c r="F80" s="55">
        <v>509.03847020000001</v>
      </c>
      <c r="G80" s="55">
        <v>509.03847020000001</v>
      </c>
      <c r="H80" s="12" t="s">
        <v>112</v>
      </c>
      <c r="I80" s="12" t="s">
        <v>112</v>
      </c>
      <c r="J80" s="12" t="s">
        <v>112</v>
      </c>
    </row>
    <row r="81" spans="1:10" ht="15.75" thickBot="1">
      <c r="A81" s="247"/>
      <c r="B81" s="105">
        <v>0</v>
      </c>
      <c r="C81" s="105">
        <v>318.56727619999998</v>
      </c>
      <c r="D81" s="105">
        <v>645.94980039999996</v>
      </c>
      <c r="E81" s="55">
        <v>102.7671543</v>
      </c>
      <c r="F81" s="55">
        <v>1223.7887679999999</v>
      </c>
      <c r="G81" s="55">
        <v>23.788767669999999</v>
      </c>
      <c r="H81" s="12" t="s">
        <v>112</v>
      </c>
      <c r="I81" s="12" t="s">
        <v>112</v>
      </c>
      <c r="J81" s="12" t="s">
        <v>112</v>
      </c>
    </row>
    <row r="82" spans="1:10" ht="15.75" thickBot="1">
      <c r="A82" s="247"/>
      <c r="B82" s="105">
        <v>-3</v>
      </c>
      <c r="C82" s="105">
        <v>267.88208049999997</v>
      </c>
      <c r="D82" s="105">
        <v>256.74704930000001</v>
      </c>
      <c r="E82" s="55">
        <v>4.1566913530000003</v>
      </c>
      <c r="F82" s="55">
        <v>-73.500458420000001</v>
      </c>
      <c r="G82" s="55">
        <v>-73.500458420000001</v>
      </c>
      <c r="H82" s="12" t="s">
        <v>109</v>
      </c>
      <c r="I82" s="12" t="s">
        <v>109</v>
      </c>
      <c r="J82" s="12" t="s">
        <v>112</v>
      </c>
    </row>
    <row r="83" spans="1:10" ht="15.75" thickBot="1">
      <c r="A83" s="247"/>
      <c r="B83" s="105">
        <v>-5</v>
      </c>
      <c r="C83" s="105">
        <v>238.65580220000001</v>
      </c>
      <c r="D83" s="105">
        <v>238.88896249999999</v>
      </c>
      <c r="E83" s="55">
        <v>9.7697330999999998E-2</v>
      </c>
      <c r="F83" s="55">
        <v>1.6905437860000001</v>
      </c>
      <c r="G83" s="55">
        <v>1.6905437860000001</v>
      </c>
      <c r="H83" s="12" t="s">
        <v>109</v>
      </c>
      <c r="I83" s="12" t="s">
        <v>109</v>
      </c>
      <c r="J83" s="12" t="s">
        <v>109</v>
      </c>
    </row>
    <row r="84" spans="1:10" ht="15.75" thickBot="1">
      <c r="A84" s="248"/>
      <c r="B84" s="105">
        <v>-7</v>
      </c>
      <c r="C84" s="105">
        <v>212.61814820000001</v>
      </c>
      <c r="D84" s="105">
        <v>213.18181609999999</v>
      </c>
      <c r="E84" s="55">
        <v>0.26510805199999998</v>
      </c>
      <c r="F84" s="55">
        <v>4.5835678489999996</v>
      </c>
      <c r="G84" s="55">
        <v>4.5835678489999996</v>
      </c>
      <c r="H84" s="12" t="s">
        <v>109</v>
      </c>
      <c r="I84" s="12" t="s">
        <v>109</v>
      </c>
      <c r="J84" s="12" t="s">
        <v>109</v>
      </c>
    </row>
    <row r="85" spans="1:10" ht="15.75" thickBot="1">
      <c r="A85" s="246" t="s">
        <v>27</v>
      </c>
      <c r="B85" s="105">
        <v>0</v>
      </c>
      <c r="C85" s="105">
        <v>318.75898849999999</v>
      </c>
      <c r="D85" s="105">
        <v>318.75898849999999</v>
      </c>
      <c r="E85" s="55">
        <v>0</v>
      </c>
      <c r="F85" s="55">
        <v>0</v>
      </c>
      <c r="G85" s="55">
        <v>0</v>
      </c>
      <c r="H85" s="12" t="s">
        <v>109</v>
      </c>
      <c r="I85" s="12" t="s">
        <v>109</v>
      </c>
      <c r="J85" s="12" t="s">
        <v>109</v>
      </c>
    </row>
    <row r="86" spans="1:10" ht="15.75" thickBot="1">
      <c r="A86" s="247"/>
      <c r="B86" s="105">
        <v>2</v>
      </c>
      <c r="C86" s="105">
        <v>357.7948672</v>
      </c>
      <c r="D86" s="105">
        <v>353.68524259999998</v>
      </c>
      <c r="E86" s="55">
        <v>1.148597965</v>
      </c>
      <c r="F86" s="55">
        <v>-20</v>
      </c>
      <c r="G86" s="55">
        <v>-20</v>
      </c>
      <c r="H86" s="12" t="s">
        <v>109</v>
      </c>
      <c r="I86" s="12" t="s">
        <v>109</v>
      </c>
      <c r="J86" s="12" t="s">
        <v>109</v>
      </c>
    </row>
    <row r="87" spans="1:10" ht="15.75" thickBot="1">
      <c r="A87" s="247"/>
      <c r="B87" s="105">
        <v>5</v>
      </c>
      <c r="C87" s="105">
        <v>425.49220179999998</v>
      </c>
      <c r="D87" s="105">
        <v>418.18250039999998</v>
      </c>
      <c r="E87" s="55">
        <v>1.717940145</v>
      </c>
      <c r="F87" s="55">
        <v>-30</v>
      </c>
      <c r="G87" s="55">
        <v>-30</v>
      </c>
      <c r="H87" s="12" t="s">
        <v>109</v>
      </c>
      <c r="I87" s="12" t="s">
        <v>109</v>
      </c>
      <c r="J87" s="12" t="s">
        <v>109</v>
      </c>
    </row>
    <row r="88" spans="1:10" ht="15.75" thickBot="1">
      <c r="A88" s="247"/>
      <c r="B88" s="105">
        <v>7</v>
      </c>
      <c r="C88" s="105">
        <v>477.59884840000001</v>
      </c>
      <c r="D88" s="105">
        <v>472.11315769999999</v>
      </c>
      <c r="E88" s="55">
        <v>1.148597965</v>
      </c>
      <c r="F88" s="55">
        <v>-20</v>
      </c>
      <c r="G88" s="55">
        <v>-20</v>
      </c>
      <c r="H88" s="12" t="s">
        <v>109</v>
      </c>
      <c r="I88" s="12" t="s">
        <v>109</v>
      </c>
      <c r="J88" s="12" t="s">
        <v>109</v>
      </c>
    </row>
    <row r="89" spans="1:10" ht="15.75" thickBot="1">
      <c r="A89" s="247"/>
      <c r="B89" s="105">
        <v>9</v>
      </c>
      <c r="C89" s="105">
        <v>536.08658160000005</v>
      </c>
      <c r="D89" s="105">
        <v>527.28389059999995</v>
      </c>
      <c r="E89" s="55">
        <v>1.642027855</v>
      </c>
      <c r="F89" s="55">
        <v>-28.663324580000001</v>
      </c>
      <c r="G89" s="55">
        <v>-28.663324580000001</v>
      </c>
      <c r="H89" s="12" t="s">
        <v>109</v>
      </c>
      <c r="I89" s="12" t="s">
        <v>109</v>
      </c>
      <c r="J89" s="12" t="s">
        <v>109</v>
      </c>
    </row>
    <row r="90" spans="1:10" ht="15.75" thickBot="1">
      <c r="A90" s="247"/>
      <c r="B90" s="105">
        <v>9</v>
      </c>
      <c r="C90" s="105">
        <v>536.08658160000005</v>
      </c>
      <c r="D90" s="105">
        <v>523.84234709999998</v>
      </c>
      <c r="E90" s="55">
        <v>2.2840031569999999</v>
      </c>
      <c r="F90" s="55">
        <v>-40</v>
      </c>
      <c r="G90" s="55">
        <v>-40</v>
      </c>
      <c r="H90" s="12" t="s">
        <v>109</v>
      </c>
      <c r="I90" s="12" t="s">
        <v>109</v>
      </c>
      <c r="J90" s="12" t="s">
        <v>109</v>
      </c>
    </row>
    <row r="91" spans="1:10" ht="15.75" thickBot="1">
      <c r="A91" s="247"/>
      <c r="B91" s="105">
        <v>7</v>
      </c>
      <c r="C91" s="105">
        <v>477.59884840000001</v>
      </c>
      <c r="D91" s="105">
        <v>474.84808140000001</v>
      </c>
      <c r="E91" s="55">
        <v>0.575957618</v>
      </c>
      <c r="F91" s="55">
        <v>-10</v>
      </c>
      <c r="G91" s="55">
        <v>-10</v>
      </c>
      <c r="H91" s="12" t="s">
        <v>109</v>
      </c>
      <c r="I91" s="12" t="s">
        <v>109</v>
      </c>
      <c r="J91" s="12" t="s">
        <v>109</v>
      </c>
    </row>
    <row r="92" spans="1:10" ht="15.75" thickBot="1">
      <c r="A92" s="247"/>
      <c r="B92" s="105">
        <v>5</v>
      </c>
      <c r="C92" s="105">
        <v>425.49220179999998</v>
      </c>
      <c r="D92" s="105">
        <v>420.605007</v>
      </c>
      <c r="E92" s="55">
        <v>1.148597965</v>
      </c>
      <c r="F92" s="55">
        <v>-20</v>
      </c>
      <c r="G92" s="55">
        <v>-20</v>
      </c>
      <c r="H92" s="12" t="s">
        <v>109</v>
      </c>
      <c r="I92" s="12" t="s">
        <v>109</v>
      </c>
      <c r="J92" s="12" t="s">
        <v>109</v>
      </c>
    </row>
    <row r="93" spans="1:10" ht="15.75" thickBot="1">
      <c r="A93" s="247"/>
      <c r="B93" s="105">
        <v>2</v>
      </c>
      <c r="C93" s="105">
        <v>357.7948672</v>
      </c>
      <c r="D93" s="105">
        <v>480.3655503</v>
      </c>
      <c r="E93" s="55">
        <v>34.257250280000001</v>
      </c>
      <c r="F93" s="55">
        <v>510</v>
      </c>
      <c r="G93" s="55">
        <v>510</v>
      </c>
      <c r="H93" s="12" t="s">
        <v>112</v>
      </c>
      <c r="I93" s="12" t="s">
        <v>112</v>
      </c>
      <c r="J93" s="12" t="s">
        <v>112</v>
      </c>
    </row>
    <row r="94" spans="1:10" ht="15.75" thickBot="1">
      <c r="A94" s="247"/>
      <c r="B94" s="105">
        <v>0</v>
      </c>
      <c r="C94" s="105">
        <v>318.75898849999999</v>
      </c>
      <c r="D94" s="105">
        <v>650.66567950000001</v>
      </c>
      <c r="E94" s="55">
        <v>104.1246531</v>
      </c>
      <c r="F94" s="55">
        <v>1235.3405210000001</v>
      </c>
      <c r="G94" s="55">
        <v>35.340520589999997</v>
      </c>
      <c r="H94" s="12" t="s">
        <v>112</v>
      </c>
      <c r="I94" s="12" t="s">
        <v>112</v>
      </c>
      <c r="J94" s="12" t="s">
        <v>112</v>
      </c>
    </row>
    <row r="95" spans="1:10" ht="15.75" thickBot="1">
      <c r="A95" s="247"/>
      <c r="B95" s="105">
        <v>-3</v>
      </c>
      <c r="C95" s="105">
        <v>268.04329080000002</v>
      </c>
      <c r="D95" s="105">
        <v>258.91275230000002</v>
      </c>
      <c r="E95" s="55">
        <v>3.406367108</v>
      </c>
      <c r="F95" s="55">
        <v>-60</v>
      </c>
      <c r="G95" s="55">
        <v>-60</v>
      </c>
      <c r="H95" s="12" t="s">
        <v>109</v>
      </c>
      <c r="I95" s="12" t="s">
        <v>109</v>
      </c>
      <c r="J95" s="12" t="s">
        <v>112</v>
      </c>
    </row>
    <row r="96" spans="1:10" ht="15.75" thickBot="1">
      <c r="A96" s="247"/>
      <c r="B96" s="105">
        <v>-5</v>
      </c>
      <c r="C96" s="105">
        <v>238.7994242</v>
      </c>
      <c r="D96" s="105">
        <v>238.7994242</v>
      </c>
      <c r="E96" s="55">
        <v>0</v>
      </c>
      <c r="F96" s="55">
        <v>0</v>
      </c>
      <c r="G96" s="55">
        <v>0</v>
      </c>
      <c r="H96" s="12" t="s">
        <v>109</v>
      </c>
      <c r="I96" s="12" t="s">
        <v>109</v>
      </c>
      <c r="J96" s="12" t="s">
        <v>109</v>
      </c>
    </row>
    <row r="97" spans="1:11" ht="15.75" thickBot="1">
      <c r="A97" s="248"/>
      <c r="B97" s="105">
        <v>-7</v>
      </c>
      <c r="C97" s="105">
        <v>212.74610089999999</v>
      </c>
      <c r="D97" s="105">
        <v>213.97852649999999</v>
      </c>
      <c r="E97" s="55">
        <v>0.57929410699999995</v>
      </c>
      <c r="F97" s="55">
        <v>10</v>
      </c>
      <c r="G97" s="55">
        <v>10</v>
      </c>
      <c r="H97" s="12" t="s">
        <v>109</v>
      </c>
      <c r="I97" s="12" t="s">
        <v>109</v>
      </c>
      <c r="J97" s="12" t="s">
        <v>109</v>
      </c>
    </row>
    <row r="98" spans="1:11" ht="15.75" thickBot="1">
      <c r="A98" s="246" t="s">
        <v>144</v>
      </c>
      <c r="B98" s="105">
        <v>0</v>
      </c>
      <c r="C98" s="105">
        <v>318.62785159999999</v>
      </c>
      <c r="D98" s="105">
        <v>318.62785159999999</v>
      </c>
      <c r="E98" s="55">
        <v>0</v>
      </c>
      <c r="F98" s="55">
        <v>0</v>
      </c>
      <c r="G98" s="55">
        <v>0</v>
      </c>
      <c r="H98" s="12" t="s">
        <v>109</v>
      </c>
      <c r="I98" s="12" t="s">
        <v>109</v>
      </c>
      <c r="J98" s="12" t="s">
        <v>109</v>
      </c>
    </row>
    <row r="99" spans="1:11" ht="15.75" thickBot="1">
      <c r="A99" s="247"/>
      <c r="B99" s="105">
        <v>2</v>
      </c>
      <c r="C99" s="105">
        <v>357.647671</v>
      </c>
      <c r="D99" s="105">
        <v>354.43028909999998</v>
      </c>
      <c r="E99" s="55">
        <v>0.899595374</v>
      </c>
      <c r="F99" s="55">
        <v>-15.64457634</v>
      </c>
      <c r="G99" s="55">
        <v>-15.64457634</v>
      </c>
      <c r="H99" s="12" t="s">
        <v>109</v>
      </c>
      <c r="I99" s="12" t="s">
        <v>109</v>
      </c>
      <c r="J99" s="12" t="s">
        <v>109</v>
      </c>
    </row>
    <row r="100" spans="1:11" ht="15.75" thickBot="1">
      <c r="A100" s="247"/>
      <c r="B100" s="105">
        <v>5</v>
      </c>
      <c r="C100" s="105">
        <v>425.31715500000001</v>
      </c>
      <c r="D100" s="105">
        <v>416.04156360000002</v>
      </c>
      <c r="E100" s="55">
        <v>2.1808646409999999</v>
      </c>
      <c r="F100" s="55">
        <v>-38.173658869999997</v>
      </c>
      <c r="G100" s="55">
        <v>-38.173658869999997</v>
      </c>
      <c r="H100" s="12" t="s">
        <v>109</v>
      </c>
      <c r="I100" s="12" t="s">
        <v>109</v>
      </c>
      <c r="J100" s="12" t="s">
        <v>109</v>
      </c>
    </row>
    <row r="101" spans="1:11" ht="15.75" thickBot="1">
      <c r="A101" s="247"/>
      <c r="B101" s="105">
        <v>7</v>
      </c>
      <c r="C101" s="105">
        <v>477.40236499999997</v>
      </c>
      <c r="D101" s="105">
        <v>472.79820890000002</v>
      </c>
      <c r="E101" s="55">
        <v>0.964418369</v>
      </c>
      <c r="F101" s="55">
        <v>-16.77737188</v>
      </c>
      <c r="G101" s="55">
        <v>-16.77737188</v>
      </c>
      <c r="H101" s="12" t="s">
        <v>109</v>
      </c>
      <c r="I101" s="12" t="s">
        <v>109</v>
      </c>
      <c r="J101" s="12" t="s">
        <v>109</v>
      </c>
    </row>
    <row r="102" spans="1:11" ht="15.75" thickBot="1">
      <c r="A102" s="247"/>
      <c r="B102" s="105">
        <v>9</v>
      </c>
      <c r="C102" s="105">
        <v>535.86603649999995</v>
      </c>
      <c r="D102" s="105">
        <v>529.98063000000002</v>
      </c>
      <c r="E102" s="55">
        <v>1.0982980929999999</v>
      </c>
      <c r="F102" s="55">
        <v>-19.119297240000002</v>
      </c>
      <c r="G102" s="55">
        <v>-19.119297240000002</v>
      </c>
      <c r="H102" s="12" t="s">
        <v>109</v>
      </c>
      <c r="I102" s="12" t="s">
        <v>109</v>
      </c>
      <c r="J102" s="12" t="s">
        <v>109</v>
      </c>
    </row>
    <row r="103" spans="1:11" ht="15.75" thickBot="1">
      <c r="A103" s="247"/>
      <c r="B103" s="105">
        <v>9</v>
      </c>
      <c r="C103" s="105">
        <v>535.86603649999995</v>
      </c>
      <c r="D103" s="105">
        <v>522.71528780000006</v>
      </c>
      <c r="E103" s="55">
        <v>2.4541112429999998</v>
      </c>
      <c r="F103" s="55">
        <v>-43.016430839999998</v>
      </c>
      <c r="G103" s="55">
        <v>-43.016430839999998</v>
      </c>
      <c r="H103" s="12" t="s">
        <v>109</v>
      </c>
      <c r="I103" s="12" t="s">
        <v>109</v>
      </c>
      <c r="J103" s="12" t="s">
        <v>109</v>
      </c>
    </row>
    <row r="104" spans="1:11" ht="15.75" thickBot="1">
      <c r="A104" s="247"/>
      <c r="B104" s="105">
        <v>7</v>
      </c>
      <c r="C104" s="105">
        <v>477.40236499999997</v>
      </c>
      <c r="D104" s="105">
        <v>475.30918309999998</v>
      </c>
      <c r="E104" s="55">
        <v>0.43845235199999999</v>
      </c>
      <c r="F104" s="55">
        <v>-7.6073258690000003</v>
      </c>
      <c r="G104" s="55">
        <v>-7.6073258690000003</v>
      </c>
      <c r="H104" s="12" t="s">
        <v>109</v>
      </c>
      <c r="I104" s="12" t="s">
        <v>109</v>
      </c>
      <c r="J104" s="12" t="s">
        <v>109</v>
      </c>
    </row>
    <row r="105" spans="1:11" ht="15.75" thickBot="1">
      <c r="A105" s="247"/>
      <c r="B105" s="105">
        <v>5</v>
      </c>
      <c r="C105" s="105">
        <v>425.31715500000001</v>
      </c>
      <c r="D105" s="105">
        <v>420.30509339999998</v>
      </c>
      <c r="E105" s="55">
        <v>1.1784292249999999</v>
      </c>
      <c r="F105" s="55">
        <v>-20.52252863</v>
      </c>
      <c r="G105" s="55">
        <v>-20.52252863</v>
      </c>
      <c r="H105" s="12" t="s">
        <v>109</v>
      </c>
      <c r="I105" s="12" t="s">
        <v>109</v>
      </c>
      <c r="J105" s="12" t="s">
        <v>109</v>
      </c>
    </row>
    <row r="106" spans="1:11" ht="15.75" thickBot="1">
      <c r="A106" s="247"/>
      <c r="B106" s="105">
        <v>2</v>
      </c>
      <c r="C106" s="105">
        <v>357.647671</v>
      </c>
      <c r="D106" s="105">
        <v>480.7653727</v>
      </c>
      <c r="E106" s="55">
        <v>34.424298469999997</v>
      </c>
      <c r="F106" s="55">
        <v>512.15273100000002</v>
      </c>
      <c r="G106" s="55">
        <v>512.15273100000002</v>
      </c>
      <c r="H106" s="12" t="s">
        <v>112</v>
      </c>
      <c r="I106" s="12" t="s">
        <v>112</v>
      </c>
      <c r="J106" s="12" t="s">
        <v>112</v>
      </c>
    </row>
    <row r="107" spans="1:11" ht="15.75" thickBot="1">
      <c r="A107" s="247"/>
      <c r="B107" s="105">
        <v>0</v>
      </c>
      <c r="C107" s="105">
        <v>318.62785159999999</v>
      </c>
      <c r="D107" s="105">
        <v>510.57866159999998</v>
      </c>
      <c r="E107" s="55">
        <v>60.242947690000001</v>
      </c>
      <c r="F107" s="55">
        <v>816.31303809999997</v>
      </c>
      <c r="G107" s="55">
        <v>-383.68696189999997</v>
      </c>
      <c r="H107" s="12" t="s">
        <v>112</v>
      </c>
      <c r="I107" s="12" t="s">
        <v>112</v>
      </c>
      <c r="J107" s="12" t="s">
        <v>112</v>
      </c>
    </row>
    <row r="108" spans="1:11" ht="15.75" thickBot="1">
      <c r="A108" s="247"/>
      <c r="B108" s="105">
        <v>-3</v>
      </c>
      <c r="C108" s="105">
        <v>267.93301819999999</v>
      </c>
      <c r="D108" s="105">
        <v>259.85016880000001</v>
      </c>
      <c r="E108" s="55">
        <v>3.0167425959999998</v>
      </c>
      <c r="F108" s="55">
        <v>-53.030860959999998</v>
      </c>
      <c r="G108" s="55">
        <v>-53.030860959999998</v>
      </c>
      <c r="H108" s="12" t="s">
        <v>109</v>
      </c>
      <c r="I108" s="12" t="s">
        <v>109</v>
      </c>
      <c r="J108" s="12" t="s">
        <v>112</v>
      </c>
    </row>
    <row r="109" spans="1:11" ht="15.75" thickBot="1">
      <c r="A109" s="247"/>
      <c r="B109" s="105">
        <v>-5</v>
      </c>
      <c r="C109" s="105">
        <v>238.70118249999999</v>
      </c>
      <c r="D109" s="105">
        <v>238.8939957</v>
      </c>
      <c r="E109" s="55">
        <v>8.0775978999999998E-2</v>
      </c>
      <c r="F109" s="55">
        <v>1.3978567690000001</v>
      </c>
      <c r="G109" s="55">
        <v>1.3978567690000001</v>
      </c>
      <c r="H109" s="12" t="s">
        <v>109</v>
      </c>
      <c r="I109" s="12" t="s">
        <v>109</v>
      </c>
      <c r="J109" s="12" t="s">
        <v>109</v>
      </c>
    </row>
    <row r="110" spans="1:11" ht="15.75" thickBot="1">
      <c r="A110" s="248"/>
      <c r="B110" s="105">
        <v>-7</v>
      </c>
      <c r="C110" s="105">
        <v>212.65857750000001</v>
      </c>
      <c r="D110" s="105">
        <v>239.42262880000001</v>
      </c>
      <c r="E110" s="55">
        <v>12.58545582</v>
      </c>
      <c r="F110" s="55">
        <v>205.2245605</v>
      </c>
      <c r="G110" s="55">
        <v>205.2245605</v>
      </c>
      <c r="H110" s="12" t="s">
        <v>109</v>
      </c>
      <c r="I110" s="12" t="s">
        <v>109</v>
      </c>
      <c r="J110" s="12" t="s">
        <v>112</v>
      </c>
    </row>
    <row r="111" spans="1:11" ht="15.75" thickBot="1">
      <c r="A111" s="109"/>
      <c r="B111" s="106"/>
      <c r="C111" s="106"/>
      <c r="D111" s="106"/>
      <c r="E111" s="107"/>
      <c r="F111" s="107"/>
      <c r="G111" s="107"/>
      <c r="H111" s="108"/>
      <c r="I111" s="108"/>
      <c r="J111" s="108"/>
      <c r="K111" s="75"/>
    </row>
    <row r="112" spans="1:11" ht="15.75" thickBot="1">
      <c r="A112" s="250" t="s">
        <v>142</v>
      </c>
      <c r="B112" s="251"/>
      <c r="C112" s="251"/>
      <c r="D112" s="251"/>
      <c r="E112" s="251"/>
      <c r="F112" s="251"/>
      <c r="G112" s="251"/>
      <c r="H112" s="251"/>
      <c r="I112" s="251"/>
      <c r="J112" s="252"/>
    </row>
    <row r="113" spans="1:10" ht="24.75" thickBot="1">
      <c r="A113" s="95" t="s">
        <v>133</v>
      </c>
      <c r="B113" s="96" t="s">
        <v>13</v>
      </c>
      <c r="C113" s="96" t="s">
        <v>135</v>
      </c>
      <c r="D113" s="96" t="s">
        <v>134</v>
      </c>
      <c r="E113" s="97" t="s">
        <v>136</v>
      </c>
      <c r="F113" s="97" t="s">
        <v>18</v>
      </c>
      <c r="G113" s="97" t="s">
        <v>137</v>
      </c>
      <c r="H113" s="95" t="s">
        <v>138</v>
      </c>
      <c r="I113" s="95" t="s">
        <v>145</v>
      </c>
      <c r="J113" s="95" t="s">
        <v>139</v>
      </c>
    </row>
    <row r="114" spans="1:10" ht="15.75" thickBot="1">
      <c r="A114" s="246" t="s">
        <v>26</v>
      </c>
      <c r="B114" s="105">
        <v>0</v>
      </c>
      <c r="C114" s="105">
        <v>350.47484989999998</v>
      </c>
      <c r="D114" s="105">
        <v>350.47484989999998</v>
      </c>
      <c r="E114" s="55">
        <v>0</v>
      </c>
      <c r="F114" s="55">
        <v>0</v>
      </c>
      <c r="G114" s="55">
        <v>0</v>
      </c>
      <c r="H114" s="12" t="s">
        <v>109</v>
      </c>
      <c r="I114" s="12" t="s">
        <v>109</v>
      </c>
      <c r="J114" s="12" t="s">
        <v>109</v>
      </c>
    </row>
    <row r="115" spans="1:10" ht="15.75" thickBot="1">
      <c r="A115" s="247"/>
      <c r="B115" s="105">
        <v>5</v>
      </c>
      <c r="C115" s="105">
        <v>467.8277976</v>
      </c>
      <c r="D115" s="105">
        <v>462.42208060000002</v>
      </c>
      <c r="E115" s="55">
        <v>1.1554928840000001</v>
      </c>
      <c r="F115" s="55">
        <v>-20.120758389999999</v>
      </c>
      <c r="G115" s="55">
        <v>-20.120758389999999</v>
      </c>
      <c r="H115" s="12" t="s">
        <v>109</v>
      </c>
      <c r="I115" s="12" t="s">
        <v>109</v>
      </c>
      <c r="J115" s="12" t="s">
        <v>109</v>
      </c>
    </row>
    <row r="116" spans="1:10" ht="15.75" thickBot="1">
      <c r="A116" s="247"/>
      <c r="B116" s="105">
        <v>0</v>
      </c>
      <c r="C116" s="105">
        <v>350.47484989999998</v>
      </c>
      <c r="D116" s="105">
        <v>351.893213</v>
      </c>
      <c r="E116" s="55">
        <v>0.40469754200000002</v>
      </c>
      <c r="F116" s="55">
        <v>6.9921226990000003</v>
      </c>
      <c r="G116" s="55">
        <v>6.9921226990000003</v>
      </c>
      <c r="H116" s="12" t="s">
        <v>109</v>
      </c>
      <c r="I116" s="12" t="s">
        <v>109</v>
      </c>
      <c r="J116" s="12" t="s">
        <v>109</v>
      </c>
    </row>
    <row r="117" spans="1:10" ht="15.75" thickBot="1">
      <c r="A117" s="247"/>
      <c r="B117" s="105">
        <v>0</v>
      </c>
      <c r="C117" s="105">
        <v>350.47484989999998</v>
      </c>
      <c r="D117" s="105">
        <v>352.56561429999999</v>
      </c>
      <c r="E117" s="55">
        <v>0.59655191100000005</v>
      </c>
      <c r="F117" s="55">
        <v>10.2970267</v>
      </c>
      <c r="G117" s="55">
        <v>10.2970267</v>
      </c>
      <c r="H117" s="12" t="s">
        <v>109</v>
      </c>
      <c r="I117" s="12" t="s">
        <v>109</v>
      </c>
      <c r="J117" s="12" t="s">
        <v>109</v>
      </c>
    </row>
    <row r="118" spans="1:10" ht="15.75" thickBot="1">
      <c r="A118" s="247"/>
      <c r="B118" s="105">
        <v>0</v>
      </c>
      <c r="C118" s="105">
        <v>350.47484989999998</v>
      </c>
      <c r="D118" s="105">
        <v>355.55484430000001</v>
      </c>
      <c r="E118" s="55">
        <v>1.449460451</v>
      </c>
      <c r="F118" s="55">
        <v>24.913430739999999</v>
      </c>
      <c r="G118" s="55">
        <v>24.913430739999999</v>
      </c>
      <c r="H118" s="12" t="s">
        <v>109</v>
      </c>
      <c r="I118" s="12" t="s">
        <v>109</v>
      </c>
      <c r="J118" s="12" t="s">
        <v>109</v>
      </c>
    </row>
    <row r="119" spans="1:10" ht="15.75" thickBot="1">
      <c r="A119" s="247"/>
      <c r="B119" s="105">
        <v>-2</v>
      </c>
      <c r="C119" s="105">
        <v>312.2375945</v>
      </c>
      <c r="D119" s="105">
        <v>318.83499210000002</v>
      </c>
      <c r="E119" s="55">
        <v>2.112941459</v>
      </c>
      <c r="F119" s="55">
        <v>36.198864290000003</v>
      </c>
      <c r="G119" s="55">
        <v>36.198864290000003</v>
      </c>
      <c r="H119" s="12" t="s">
        <v>109</v>
      </c>
      <c r="I119" s="12" t="s">
        <v>109</v>
      </c>
      <c r="J119" s="12" t="s">
        <v>109</v>
      </c>
    </row>
    <row r="120" spans="1:10" ht="15.75" thickBot="1">
      <c r="A120" s="247"/>
      <c r="B120" s="105">
        <v>-7</v>
      </c>
      <c r="C120" s="105">
        <v>233.9138988</v>
      </c>
      <c r="D120" s="105">
        <v>239.55260050000001</v>
      </c>
      <c r="E120" s="55">
        <v>2.4105885589999998</v>
      </c>
      <c r="F120" s="55">
        <v>41.237865499999998</v>
      </c>
      <c r="G120" s="55">
        <v>41.237865499999998</v>
      </c>
      <c r="H120" s="12" t="s">
        <v>109</v>
      </c>
      <c r="I120" s="12" t="s">
        <v>109</v>
      </c>
      <c r="J120" s="12" t="s">
        <v>109</v>
      </c>
    </row>
    <row r="121" spans="1:10" ht="15.75" thickBot="1">
      <c r="A121" s="247"/>
      <c r="B121" s="105">
        <v>-7</v>
      </c>
      <c r="C121" s="105">
        <v>233.9138988</v>
      </c>
      <c r="D121" s="105">
        <v>236.22073990000001</v>
      </c>
      <c r="E121" s="55">
        <v>0.986192399</v>
      </c>
      <c r="F121" s="55">
        <v>16.989660260000001</v>
      </c>
      <c r="G121" s="55">
        <v>16.989660260000001</v>
      </c>
      <c r="H121" s="12" t="s">
        <v>109</v>
      </c>
      <c r="I121" s="12" t="s">
        <v>109</v>
      </c>
      <c r="J121" s="12" t="s">
        <v>109</v>
      </c>
    </row>
    <row r="122" spans="1:10" ht="15.75" thickBot="1">
      <c r="A122" s="247"/>
      <c r="B122" s="105">
        <v>-2</v>
      </c>
      <c r="C122" s="105">
        <v>312.2375945</v>
      </c>
      <c r="D122" s="105">
        <v>319.14912140000001</v>
      </c>
      <c r="E122" s="55">
        <v>2.2135473210000001</v>
      </c>
      <c r="F122" s="55">
        <v>37.903707429999997</v>
      </c>
      <c r="G122" s="55">
        <v>37.903707429999997</v>
      </c>
      <c r="H122" s="12" t="s">
        <v>109</v>
      </c>
      <c r="I122" s="12" t="s">
        <v>109</v>
      </c>
      <c r="J122" s="12" t="s">
        <v>109</v>
      </c>
    </row>
    <row r="123" spans="1:10" ht="15.75" thickBot="1">
      <c r="A123" s="247"/>
      <c r="B123" s="105">
        <v>-7</v>
      </c>
      <c r="C123" s="105">
        <v>233.9138988</v>
      </c>
      <c r="D123" s="105">
        <v>237.71117290000001</v>
      </c>
      <c r="E123" s="55">
        <v>1.6233640300000001</v>
      </c>
      <c r="F123" s="55">
        <v>27.878552939999999</v>
      </c>
      <c r="G123" s="55">
        <v>27.878552939999999</v>
      </c>
      <c r="H123" s="12" t="s">
        <v>109</v>
      </c>
      <c r="I123" s="12" t="s">
        <v>109</v>
      </c>
      <c r="J123" s="12" t="s">
        <v>109</v>
      </c>
    </row>
    <row r="124" spans="1:10" ht="15.75" thickBot="1">
      <c r="A124" s="247"/>
      <c r="B124" s="105">
        <v>5</v>
      </c>
      <c r="C124" s="105">
        <v>467.8277976</v>
      </c>
      <c r="D124" s="105">
        <v>358.3160838</v>
      </c>
      <c r="E124" s="55">
        <v>23.408552109999999</v>
      </c>
      <c r="F124" s="55">
        <v>-461.69373990000003</v>
      </c>
      <c r="G124" s="55">
        <v>-461.69373990000003</v>
      </c>
      <c r="H124" s="12" t="s">
        <v>112</v>
      </c>
      <c r="I124" s="12" t="s">
        <v>112</v>
      </c>
      <c r="J124" s="12" t="s">
        <v>112</v>
      </c>
    </row>
    <row r="125" spans="1:10" ht="15.75" thickBot="1">
      <c r="A125" s="247"/>
      <c r="B125" s="105">
        <v>-2</v>
      </c>
      <c r="C125" s="105">
        <v>312.2375945</v>
      </c>
      <c r="D125" s="105">
        <v>318.10078379999999</v>
      </c>
      <c r="E125" s="55">
        <v>1.8777973539999999</v>
      </c>
      <c r="F125" s="55">
        <v>32.207607979999999</v>
      </c>
      <c r="G125" s="55">
        <v>32.207607979999999</v>
      </c>
      <c r="H125" s="12" t="s">
        <v>109</v>
      </c>
      <c r="I125" s="12" t="s">
        <v>109</v>
      </c>
      <c r="J125" s="12" t="s">
        <v>109</v>
      </c>
    </row>
    <row r="126" spans="1:10" ht="15.75" thickBot="1">
      <c r="A126" s="247"/>
      <c r="B126" s="105">
        <v>0</v>
      </c>
      <c r="C126" s="105">
        <v>350.47484989999998</v>
      </c>
      <c r="D126" s="105">
        <v>356.42719970000002</v>
      </c>
      <c r="E126" s="55">
        <v>1.698367159</v>
      </c>
      <c r="F126" s="55">
        <v>29.155819040000001</v>
      </c>
      <c r="G126" s="55">
        <v>29.155819040000001</v>
      </c>
      <c r="H126" s="12" t="s">
        <v>109</v>
      </c>
      <c r="I126" s="12" t="s">
        <v>109</v>
      </c>
      <c r="J126" s="12" t="s">
        <v>109</v>
      </c>
    </row>
    <row r="127" spans="1:10" ht="15.75" thickBot="1">
      <c r="A127" s="247"/>
      <c r="B127" s="105">
        <v>-2</v>
      </c>
      <c r="C127" s="105">
        <v>312.2375945</v>
      </c>
      <c r="D127" s="105">
        <v>646.47373860000005</v>
      </c>
      <c r="E127" s="55">
        <v>107.0454519</v>
      </c>
      <c r="F127" s="55">
        <v>1259.9370140000001</v>
      </c>
      <c r="G127" s="55">
        <v>59.93701428</v>
      </c>
      <c r="H127" s="12" t="s">
        <v>112</v>
      </c>
      <c r="I127" s="12" t="s">
        <v>112</v>
      </c>
      <c r="J127" s="12" t="s">
        <v>112</v>
      </c>
    </row>
    <row r="128" spans="1:10" ht="15.75" thickBot="1">
      <c r="A128" s="247"/>
      <c r="B128" s="105">
        <v>-7</v>
      </c>
      <c r="C128" s="105">
        <v>233.9138988</v>
      </c>
      <c r="D128" s="105">
        <v>238.30763870000001</v>
      </c>
      <c r="E128" s="55">
        <v>1.878357778</v>
      </c>
      <c r="F128" s="55">
        <v>32.217131369999997</v>
      </c>
      <c r="G128" s="55">
        <v>32.217131369999997</v>
      </c>
      <c r="H128" s="12" t="s">
        <v>109</v>
      </c>
      <c r="I128" s="12" t="s">
        <v>109</v>
      </c>
      <c r="J128" s="12" t="s">
        <v>109</v>
      </c>
    </row>
    <row r="129" spans="1:10" ht="15.75" thickBot="1">
      <c r="A129" s="248"/>
      <c r="B129" s="105">
        <v>-7</v>
      </c>
      <c r="C129" s="105">
        <v>233.9138988</v>
      </c>
      <c r="D129" s="105">
        <v>237.21737519999999</v>
      </c>
      <c r="E129" s="55">
        <v>1.4122617289999999</v>
      </c>
      <c r="F129" s="55">
        <v>24.278518510000001</v>
      </c>
      <c r="G129" s="55">
        <v>24.278518510000001</v>
      </c>
      <c r="H129" s="12" t="s">
        <v>109</v>
      </c>
      <c r="I129" s="12" t="s">
        <v>109</v>
      </c>
      <c r="J129" s="12" t="s">
        <v>109</v>
      </c>
    </row>
    <row r="130" spans="1:10" ht="15.75" thickBot="1">
      <c r="A130" s="246" t="s">
        <v>27</v>
      </c>
      <c r="B130" s="105">
        <v>0</v>
      </c>
      <c r="C130" s="105">
        <v>351.6481655</v>
      </c>
      <c r="D130" s="105">
        <v>351.6481655</v>
      </c>
      <c r="E130" s="55">
        <v>0</v>
      </c>
      <c r="F130" s="55">
        <v>0</v>
      </c>
      <c r="G130" s="55">
        <v>0</v>
      </c>
      <c r="H130" s="12" t="s">
        <v>109</v>
      </c>
      <c r="I130" s="12" t="s">
        <v>109</v>
      </c>
      <c r="J130" s="12" t="s">
        <v>109</v>
      </c>
    </row>
    <row r="131" spans="1:10" ht="15.75" thickBot="1">
      <c r="A131" s="247"/>
      <c r="B131" s="105">
        <v>5</v>
      </c>
      <c r="C131" s="105">
        <v>469.39398599999998</v>
      </c>
      <c r="D131" s="105">
        <v>466.69047560000001</v>
      </c>
      <c r="E131" s="55">
        <v>0.575957618</v>
      </c>
      <c r="F131" s="55">
        <v>-10</v>
      </c>
      <c r="G131" s="55">
        <v>-10</v>
      </c>
      <c r="H131" s="12" t="s">
        <v>109</v>
      </c>
      <c r="I131" s="12" t="s">
        <v>109</v>
      </c>
      <c r="J131" s="12" t="s">
        <v>109</v>
      </c>
    </row>
    <row r="132" spans="1:10" ht="15.75" thickBot="1">
      <c r="A132" s="247"/>
      <c r="B132" s="105">
        <v>0</v>
      </c>
      <c r="C132" s="105">
        <v>351.6481655</v>
      </c>
      <c r="D132" s="105">
        <v>351.7839707</v>
      </c>
      <c r="E132" s="55">
        <v>3.8619607E-2</v>
      </c>
      <c r="F132" s="55">
        <v>0.66846671700000004</v>
      </c>
      <c r="G132" s="55">
        <v>0.66846671700000004</v>
      </c>
      <c r="H132" s="12" t="s">
        <v>109</v>
      </c>
      <c r="I132" s="12" t="s">
        <v>109</v>
      </c>
      <c r="J132" s="12" t="s">
        <v>109</v>
      </c>
    </row>
    <row r="133" spans="1:10" ht="15.75" thickBot="1">
      <c r="A133" s="247"/>
      <c r="B133" s="105">
        <v>0</v>
      </c>
      <c r="C133" s="105">
        <v>351.6481655</v>
      </c>
      <c r="D133" s="105">
        <v>353.10322059999999</v>
      </c>
      <c r="E133" s="55">
        <v>0.41378150499999999</v>
      </c>
      <c r="F133" s="55">
        <v>7.1487463839999998</v>
      </c>
      <c r="G133" s="55">
        <v>7.1487463839999998</v>
      </c>
      <c r="H133" s="12" t="s">
        <v>109</v>
      </c>
      <c r="I133" s="12" t="s">
        <v>109</v>
      </c>
      <c r="J133" s="12" t="s">
        <v>109</v>
      </c>
    </row>
    <row r="134" spans="1:10" ht="15.75" thickBot="1">
      <c r="A134" s="247"/>
      <c r="B134" s="105">
        <v>0</v>
      </c>
      <c r="C134" s="105">
        <v>351.6481655</v>
      </c>
      <c r="D134" s="105">
        <v>355.41061339999999</v>
      </c>
      <c r="E134" s="55">
        <v>1.0699466740000001</v>
      </c>
      <c r="F134" s="55">
        <v>18.424887729999998</v>
      </c>
      <c r="G134" s="55">
        <v>18.424887729999998</v>
      </c>
      <c r="H134" s="12" t="s">
        <v>109</v>
      </c>
      <c r="I134" s="12" t="s">
        <v>109</v>
      </c>
      <c r="J134" s="12" t="s">
        <v>109</v>
      </c>
    </row>
    <row r="135" spans="1:10" ht="15.75" thickBot="1">
      <c r="A135" s="247"/>
      <c r="B135" s="105">
        <v>-2</v>
      </c>
      <c r="C135" s="105">
        <v>313.28289990000002</v>
      </c>
      <c r="D135" s="105">
        <v>318.3218655</v>
      </c>
      <c r="E135" s="55">
        <v>1.6084394049999999</v>
      </c>
      <c r="F135" s="55">
        <v>27.624281539999998</v>
      </c>
      <c r="G135" s="55">
        <v>27.624281539999998</v>
      </c>
      <c r="H135" s="12" t="s">
        <v>109</v>
      </c>
      <c r="I135" s="12" t="s">
        <v>109</v>
      </c>
      <c r="J135" s="12" t="s">
        <v>109</v>
      </c>
    </row>
    <row r="136" spans="1:10" ht="15.75" thickBot="1">
      <c r="A136" s="247"/>
      <c r="B136" s="105">
        <v>-7</v>
      </c>
      <c r="C136" s="105">
        <v>234.69699299999999</v>
      </c>
      <c r="D136" s="105">
        <v>242.9735646</v>
      </c>
      <c r="E136" s="55">
        <v>3.526492384</v>
      </c>
      <c r="F136" s="55">
        <v>60</v>
      </c>
      <c r="G136" s="55">
        <v>60</v>
      </c>
      <c r="H136" s="12" t="s">
        <v>109</v>
      </c>
      <c r="I136" s="12" t="s">
        <v>109</v>
      </c>
      <c r="J136" s="12" t="s">
        <v>112</v>
      </c>
    </row>
    <row r="137" spans="1:10" ht="15.75" thickBot="1">
      <c r="A137" s="247"/>
      <c r="B137" s="105">
        <v>-7</v>
      </c>
      <c r="C137" s="105">
        <v>234.69699299999999</v>
      </c>
      <c r="D137" s="105">
        <v>237.62052410000001</v>
      </c>
      <c r="E137" s="55">
        <v>1.245661913</v>
      </c>
      <c r="F137" s="55">
        <v>21.432112759999999</v>
      </c>
      <c r="G137" s="55">
        <v>21.432112759999999</v>
      </c>
      <c r="H137" s="12" t="s">
        <v>109</v>
      </c>
      <c r="I137" s="12" t="s">
        <v>109</v>
      </c>
      <c r="J137" s="12" t="s">
        <v>109</v>
      </c>
    </row>
    <row r="138" spans="1:10" ht="15.75" thickBot="1">
      <c r="A138" s="247"/>
      <c r="B138" s="105">
        <v>-2</v>
      </c>
      <c r="C138" s="105">
        <v>313.28289990000002</v>
      </c>
      <c r="D138" s="105">
        <v>318.75898849999999</v>
      </c>
      <c r="E138" s="55">
        <v>1.7479692099999999</v>
      </c>
      <c r="F138" s="55">
        <v>30</v>
      </c>
      <c r="G138" s="55">
        <v>30</v>
      </c>
      <c r="H138" s="12" t="s">
        <v>109</v>
      </c>
      <c r="I138" s="12" t="s">
        <v>109</v>
      </c>
      <c r="J138" s="12" t="s">
        <v>109</v>
      </c>
    </row>
    <row r="139" spans="1:10" ht="15.75" thickBot="1">
      <c r="A139" s="247"/>
      <c r="B139" s="105">
        <v>-7</v>
      </c>
      <c r="C139" s="105">
        <v>234.69699299999999</v>
      </c>
      <c r="D139" s="105">
        <v>236.05657890000001</v>
      </c>
      <c r="E139" s="55">
        <v>0.57929410699999995</v>
      </c>
      <c r="F139" s="55">
        <v>10</v>
      </c>
      <c r="G139" s="55">
        <v>10</v>
      </c>
      <c r="H139" s="12" t="s">
        <v>109</v>
      </c>
      <c r="I139" s="12" t="s">
        <v>109</v>
      </c>
      <c r="J139" s="12" t="s">
        <v>109</v>
      </c>
    </row>
    <row r="140" spans="1:10" ht="15.75" thickBot="1">
      <c r="A140" s="247"/>
      <c r="B140" s="105">
        <v>5</v>
      </c>
      <c r="C140" s="105">
        <v>469.39398599999998</v>
      </c>
      <c r="D140" s="105">
        <v>356.50690049999997</v>
      </c>
      <c r="E140" s="55">
        <v>24.04953811</v>
      </c>
      <c r="F140" s="55">
        <v>-476.24322769999998</v>
      </c>
      <c r="G140" s="55">
        <v>-476.24322769999998</v>
      </c>
      <c r="H140" s="12" t="s">
        <v>112</v>
      </c>
      <c r="I140" s="12" t="s">
        <v>112</v>
      </c>
      <c r="J140" s="12" t="s">
        <v>112</v>
      </c>
    </row>
    <row r="141" spans="1:10" ht="15.75" thickBot="1">
      <c r="A141" s="247"/>
      <c r="B141" s="105">
        <v>-2</v>
      </c>
      <c r="C141" s="105">
        <v>313.28289990000002</v>
      </c>
      <c r="D141" s="105">
        <v>318.75898849999999</v>
      </c>
      <c r="E141" s="55">
        <v>1.7479692099999999</v>
      </c>
      <c r="F141" s="55">
        <v>30</v>
      </c>
      <c r="G141" s="55">
        <v>30</v>
      </c>
      <c r="H141" s="12" t="s">
        <v>109</v>
      </c>
      <c r="I141" s="12" t="s">
        <v>109</v>
      </c>
      <c r="J141" s="12" t="s">
        <v>109</v>
      </c>
    </row>
    <row r="142" spans="1:10" ht="15.75" thickBot="1">
      <c r="A142" s="247"/>
      <c r="B142" s="105">
        <v>0</v>
      </c>
      <c r="C142" s="105">
        <v>351.6481655</v>
      </c>
      <c r="D142" s="105">
        <v>358.03871240000001</v>
      </c>
      <c r="E142" s="55">
        <v>1.817312738</v>
      </c>
      <c r="F142" s="55">
        <v>31.179473049999999</v>
      </c>
      <c r="G142" s="55">
        <v>31.179473049999999</v>
      </c>
      <c r="H142" s="12" t="s">
        <v>109</v>
      </c>
      <c r="I142" s="12" t="s">
        <v>109</v>
      </c>
      <c r="J142" s="12" t="s">
        <v>109</v>
      </c>
    </row>
    <row r="143" spans="1:10" ht="15.75" thickBot="1">
      <c r="A143" s="247"/>
      <c r="B143" s="105">
        <v>-2</v>
      </c>
      <c r="C143" s="105">
        <v>313.28289990000002</v>
      </c>
      <c r="D143" s="105">
        <v>652.4192534</v>
      </c>
      <c r="E143" s="55">
        <v>108.2524305</v>
      </c>
      <c r="F143" s="55">
        <v>1270</v>
      </c>
      <c r="G143" s="55">
        <v>70</v>
      </c>
      <c r="H143" s="12" t="s">
        <v>112</v>
      </c>
      <c r="I143" s="12" t="s">
        <v>112</v>
      </c>
      <c r="J143" s="12" t="s">
        <v>112</v>
      </c>
    </row>
    <row r="144" spans="1:10" ht="15.75" thickBot="1">
      <c r="A144" s="247"/>
      <c r="B144" s="105">
        <v>-7</v>
      </c>
      <c r="C144" s="105">
        <v>234.69699299999999</v>
      </c>
      <c r="D144" s="105">
        <v>237.42404070000001</v>
      </c>
      <c r="E144" s="55">
        <v>1.1619440299999999</v>
      </c>
      <c r="F144" s="55">
        <v>20</v>
      </c>
      <c r="G144" s="55">
        <v>20</v>
      </c>
      <c r="H144" s="12" t="s">
        <v>109</v>
      </c>
      <c r="I144" s="12" t="s">
        <v>109</v>
      </c>
      <c r="J144" s="12" t="s">
        <v>109</v>
      </c>
    </row>
    <row r="145" spans="1:10" ht="15.75" thickBot="1">
      <c r="A145" s="248"/>
      <c r="B145" s="105">
        <v>-7</v>
      </c>
      <c r="C145" s="105">
        <v>234.69699299999999</v>
      </c>
      <c r="D145" s="105">
        <v>237.42404070000001</v>
      </c>
      <c r="E145" s="55">
        <v>1.1619440299999999</v>
      </c>
      <c r="F145" s="55">
        <v>20</v>
      </c>
      <c r="G145" s="55">
        <v>20</v>
      </c>
      <c r="H145" s="12" t="s">
        <v>109</v>
      </c>
      <c r="I145" s="12" t="s">
        <v>109</v>
      </c>
      <c r="J145" s="12" t="s">
        <v>109</v>
      </c>
    </row>
    <row r="146" spans="1:10" ht="15.75" thickBot="1">
      <c r="A146" s="246" t="s">
        <v>144</v>
      </c>
      <c r="B146" s="105">
        <v>0</v>
      </c>
      <c r="C146" s="105">
        <v>348.68684619999999</v>
      </c>
      <c r="D146" s="105">
        <v>348.68684619999999</v>
      </c>
      <c r="E146" s="55">
        <v>0</v>
      </c>
      <c r="F146" s="55">
        <v>0</v>
      </c>
      <c r="G146" s="55">
        <v>0</v>
      </c>
      <c r="H146" s="12" t="s">
        <v>109</v>
      </c>
      <c r="I146" s="12" t="s">
        <v>109</v>
      </c>
      <c r="J146" s="12" t="s">
        <v>109</v>
      </c>
    </row>
    <row r="147" spans="1:10" ht="15.75" thickBot="1">
      <c r="A147" s="247"/>
      <c r="B147" s="105">
        <v>5</v>
      </c>
      <c r="C147" s="105">
        <v>465.44109889999999</v>
      </c>
      <c r="D147" s="105">
        <v>467.8972162</v>
      </c>
      <c r="E147" s="55">
        <v>0.52769669200000002</v>
      </c>
      <c r="F147" s="55">
        <v>9.1116449690000003</v>
      </c>
      <c r="G147" s="55">
        <v>9.1116449690000003</v>
      </c>
      <c r="H147" s="12" t="s">
        <v>109</v>
      </c>
      <c r="I147" s="12" t="s">
        <v>109</v>
      </c>
      <c r="J147" s="12" t="s">
        <v>109</v>
      </c>
    </row>
    <row r="148" spans="1:10" ht="15.75" thickBot="1">
      <c r="A148" s="247"/>
      <c r="B148" s="105">
        <v>0</v>
      </c>
      <c r="C148" s="105">
        <v>348.68684619999999</v>
      </c>
      <c r="D148" s="105">
        <v>353.07611659999998</v>
      </c>
      <c r="E148" s="55">
        <v>1.258800132</v>
      </c>
      <c r="F148" s="55">
        <v>21.65675306</v>
      </c>
      <c r="G148" s="55">
        <v>21.65675306</v>
      </c>
      <c r="H148" s="12" t="s">
        <v>109</v>
      </c>
      <c r="I148" s="12" t="s">
        <v>109</v>
      </c>
      <c r="J148" s="12" t="s">
        <v>109</v>
      </c>
    </row>
    <row r="149" spans="1:10" ht="15.75" thickBot="1">
      <c r="A149" s="247"/>
      <c r="B149" s="105">
        <v>0</v>
      </c>
      <c r="C149" s="105">
        <v>348.68684619999999</v>
      </c>
      <c r="D149" s="105">
        <v>353.45016420000002</v>
      </c>
      <c r="E149" s="55">
        <v>1.3660733490000001</v>
      </c>
      <c r="F149" s="55">
        <v>23.489845509999999</v>
      </c>
      <c r="G149" s="55">
        <v>23.489845509999999</v>
      </c>
      <c r="H149" s="12" t="s">
        <v>109</v>
      </c>
      <c r="I149" s="12" t="s">
        <v>109</v>
      </c>
      <c r="J149" s="12" t="s">
        <v>109</v>
      </c>
    </row>
    <row r="150" spans="1:10" ht="15.75" thickBot="1">
      <c r="A150" s="247"/>
      <c r="B150" s="105">
        <v>0</v>
      </c>
      <c r="C150" s="105">
        <v>348.68684619999999</v>
      </c>
      <c r="D150" s="105">
        <v>355.98839450000003</v>
      </c>
      <c r="E150" s="55">
        <v>2.0940131420000001</v>
      </c>
      <c r="F150" s="55">
        <v>35.87792177</v>
      </c>
      <c r="G150" s="55">
        <v>35.87792177</v>
      </c>
      <c r="H150" s="12" t="s">
        <v>109</v>
      </c>
      <c r="I150" s="12" t="s">
        <v>109</v>
      </c>
      <c r="J150" s="12" t="s">
        <v>109</v>
      </c>
    </row>
    <row r="151" spans="1:10" ht="15.75" thickBot="1">
      <c r="A151" s="247"/>
      <c r="B151" s="105">
        <v>-2</v>
      </c>
      <c r="C151" s="105">
        <v>310.64466429999999</v>
      </c>
      <c r="D151" s="105">
        <v>318.69246980000003</v>
      </c>
      <c r="E151" s="55">
        <v>2.5906788280000002</v>
      </c>
      <c r="F151" s="55">
        <v>44.279588009999998</v>
      </c>
      <c r="G151" s="55">
        <v>44.279588009999998</v>
      </c>
      <c r="H151" s="12" t="s">
        <v>109</v>
      </c>
      <c r="I151" s="12" t="s">
        <v>109</v>
      </c>
      <c r="J151" s="12" t="s">
        <v>109</v>
      </c>
    </row>
    <row r="152" spans="1:10" ht="15.75" thickBot="1">
      <c r="A152" s="247"/>
      <c r="B152" s="105">
        <v>-7</v>
      </c>
      <c r="C152" s="105">
        <v>232.72054940000001</v>
      </c>
      <c r="D152" s="105">
        <v>239.88337759999999</v>
      </c>
      <c r="E152" s="55">
        <v>3.0778666270000001</v>
      </c>
      <c r="F152" s="55">
        <v>52.4815003</v>
      </c>
      <c r="G152" s="55">
        <v>52.4815003</v>
      </c>
      <c r="H152" s="12" t="s">
        <v>109</v>
      </c>
      <c r="I152" s="12" t="s">
        <v>109</v>
      </c>
      <c r="J152" s="12" t="s">
        <v>112</v>
      </c>
    </row>
    <row r="153" spans="1:10" ht="15.75" thickBot="1">
      <c r="A153" s="247"/>
      <c r="B153" s="105">
        <v>-7</v>
      </c>
      <c r="C153" s="105">
        <v>232.72054940000001</v>
      </c>
      <c r="D153" s="105">
        <v>259.33140880000002</v>
      </c>
      <c r="E153" s="55">
        <v>11.434683980000001</v>
      </c>
      <c r="F153" s="55">
        <v>187.43800859999999</v>
      </c>
      <c r="G153" s="55">
        <v>187.43800859999999</v>
      </c>
      <c r="H153" s="12" t="s">
        <v>109</v>
      </c>
      <c r="I153" s="12" t="s">
        <v>109</v>
      </c>
      <c r="J153" s="12" t="s">
        <v>112</v>
      </c>
    </row>
    <row r="154" spans="1:10" ht="15.75" thickBot="1">
      <c r="A154" s="247"/>
      <c r="B154" s="105">
        <v>-2</v>
      </c>
      <c r="C154" s="105">
        <v>310.64466429999999</v>
      </c>
      <c r="D154" s="105">
        <v>319.55341550000003</v>
      </c>
      <c r="E154" s="55">
        <v>2.867826881</v>
      </c>
      <c r="F154" s="55">
        <v>48.950199580000003</v>
      </c>
      <c r="G154" s="55">
        <v>48.950199580000003</v>
      </c>
      <c r="H154" s="12" t="s">
        <v>109</v>
      </c>
      <c r="I154" s="12" t="s">
        <v>109</v>
      </c>
      <c r="J154" s="12" t="s">
        <v>109</v>
      </c>
    </row>
    <row r="155" spans="1:10" ht="15.75" thickBot="1">
      <c r="A155" s="247"/>
      <c r="B155" s="105">
        <v>-7</v>
      </c>
      <c r="C155" s="105">
        <v>232.72054940000001</v>
      </c>
      <c r="D155" s="105">
        <v>237.7070574</v>
      </c>
      <c r="E155" s="55">
        <v>2.1427020300000001</v>
      </c>
      <c r="F155" s="55">
        <v>36.703354769999997</v>
      </c>
      <c r="G155" s="55">
        <v>36.703354769999997</v>
      </c>
      <c r="H155" s="12" t="s">
        <v>109</v>
      </c>
      <c r="I155" s="12" t="s">
        <v>109</v>
      </c>
      <c r="J155" s="12" t="s">
        <v>109</v>
      </c>
    </row>
    <row r="156" spans="1:10" ht="15.75" thickBot="1">
      <c r="A156" s="247"/>
      <c r="B156" s="105">
        <v>5</v>
      </c>
      <c r="C156" s="105">
        <v>465.44109889999999</v>
      </c>
      <c r="D156" s="105">
        <v>359.50013489999998</v>
      </c>
      <c r="E156" s="55">
        <v>22.761411540000001</v>
      </c>
      <c r="F156" s="55">
        <v>-447.12755479999998</v>
      </c>
      <c r="G156" s="55">
        <v>-447.12755479999998</v>
      </c>
      <c r="H156" s="12" t="s">
        <v>112</v>
      </c>
      <c r="I156" s="12" t="s">
        <v>112</v>
      </c>
      <c r="J156" s="12" t="s">
        <v>112</v>
      </c>
    </row>
    <row r="157" spans="1:10" ht="15.75" thickBot="1">
      <c r="A157" s="247"/>
      <c r="B157" s="105">
        <v>-2</v>
      </c>
      <c r="C157" s="105">
        <v>310.64466429999999</v>
      </c>
      <c r="D157" s="105">
        <v>333.5549542</v>
      </c>
      <c r="E157" s="55">
        <v>7.3750791610000004</v>
      </c>
      <c r="F157" s="55">
        <v>123.191034</v>
      </c>
      <c r="G157" s="55">
        <v>123.191034</v>
      </c>
      <c r="H157" s="12" t="s">
        <v>109</v>
      </c>
      <c r="I157" s="12" t="s">
        <v>109</v>
      </c>
      <c r="J157" s="12" t="s">
        <v>112</v>
      </c>
    </row>
    <row r="158" spans="1:10" ht="15.75" thickBot="1">
      <c r="A158" s="247"/>
      <c r="B158" s="105">
        <v>0</v>
      </c>
      <c r="C158" s="105">
        <v>348.68684619999999</v>
      </c>
      <c r="D158" s="105">
        <v>376.32362449999999</v>
      </c>
      <c r="E158" s="55">
        <v>7.9259595410000001</v>
      </c>
      <c r="F158" s="55">
        <v>132.05030339999999</v>
      </c>
      <c r="G158" s="55">
        <v>132.05030339999999</v>
      </c>
      <c r="H158" s="12" t="s">
        <v>109</v>
      </c>
      <c r="I158" s="12" t="s">
        <v>109</v>
      </c>
      <c r="J158" s="12" t="s">
        <v>112</v>
      </c>
    </row>
    <row r="159" spans="1:10" ht="15.75" thickBot="1">
      <c r="A159" s="247"/>
      <c r="B159" s="105">
        <v>-2</v>
      </c>
      <c r="C159" s="105">
        <v>310.64466429999999</v>
      </c>
      <c r="D159" s="105">
        <v>610.55526640000005</v>
      </c>
      <c r="E159" s="55">
        <v>96.544585060000003</v>
      </c>
      <c r="F159" s="55">
        <v>1169.8279399999999</v>
      </c>
      <c r="G159" s="55">
        <v>-30.172059520000001</v>
      </c>
      <c r="H159" s="12" t="s">
        <v>112</v>
      </c>
      <c r="I159" s="12" t="s">
        <v>112</v>
      </c>
      <c r="J159" s="12" t="s">
        <v>112</v>
      </c>
    </row>
    <row r="160" spans="1:10" ht="15.75" thickBot="1">
      <c r="A160" s="247"/>
      <c r="B160" s="105">
        <v>-7</v>
      </c>
      <c r="C160" s="105">
        <v>232.72054940000001</v>
      </c>
      <c r="D160" s="105">
        <v>238.67546300000001</v>
      </c>
      <c r="E160" s="55">
        <v>2.5588258509999999</v>
      </c>
      <c r="F160" s="55">
        <v>43.741980499999997</v>
      </c>
      <c r="G160" s="55">
        <v>43.741980499999997</v>
      </c>
      <c r="H160" s="12" t="s">
        <v>109</v>
      </c>
      <c r="I160" s="12" t="s">
        <v>109</v>
      </c>
      <c r="J160" s="12" t="s">
        <v>109</v>
      </c>
    </row>
    <row r="161" spans="1:11" ht="15.75" thickBot="1">
      <c r="A161" s="248"/>
      <c r="B161" s="105">
        <v>-7</v>
      </c>
      <c r="C161" s="105">
        <v>232.72054940000001</v>
      </c>
      <c r="D161" s="105">
        <v>237.2189214</v>
      </c>
      <c r="E161" s="55">
        <v>1.9329500529999999</v>
      </c>
      <c r="F161" s="55">
        <v>33.144577529999999</v>
      </c>
      <c r="G161" s="55">
        <v>33.144577529999999</v>
      </c>
      <c r="H161" s="12" t="s">
        <v>109</v>
      </c>
      <c r="I161" s="12" t="s">
        <v>109</v>
      </c>
      <c r="J161" s="12" t="s">
        <v>109</v>
      </c>
    </row>
    <row r="162" spans="1:11" ht="15.75" thickBot="1">
      <c r="A162" s="109"/>
      <c r="B162" s="106"/>
      <c r="C162" s="106"/>
      <c r="D162" s="106"/>
      <c r="E162" s="107"/>
      <c r="F162" s="107"/>
      <c r="G162" s="107"/>
      <c r="H162" s="108"/>
      <c r="I162" s="108"/>
      <c r="J162" s="108"/>
      <c r="K162" s="75"/>
    </row>
    <row r="163" spans="1:11" ht="15.75" thickBot="1">
      <c r="A163" s="250" t="s">
        <v>143</v>
      </c>
      <c r="B163" s="251"/>
      <c r="C163" s="251"/>
      <c r="D163" s="251"/>
      <c r="E163" s="251"/>
      <c r="F163" s="251"/>
      <c r="G163" s="251"/>
      <c r="H163" s="251"/>
      <c r="I163" s="251"/>
      <c r="J163" s="252"/>
    </row>
    <row r="164" spans="1:11" ht="24.75" thickBot="1">
      <c r="A164" s="95" t="s">
        <v>133</v>
      </c>
      <c r="B164" s="96" t="s">
        <v>13</v>
      </c>
      <c r="C164" s="96" t="s">
        <v>135</v>
      </c>
      <c r="D164" s="96" t="s">
        <v>134</v>
      </c>
      <c r="E164" s="97" t="s">
        <v>136</v>
      </c>
      <c r="F164" s="97" t="s">
        <v>18</v>
      </c>
      <c r="G164" s="97" t="s">
        <v>137</v>
      </c>
      <c r="H164" s="95" t="s">
        <v>138</v>
      </c>
      <c r="I164" s="95" t="s">
        <v>145</v>
      </c>
      <c r="J164" s="95" t="s">
        <v>139</v>
      </c>
    </row>
    <row r="165" spans="1:11" ht="15.75" thickBot="1">
      <c r="A165" s="246" t="s">
        <v>26</v>
      </c>
      <c r="B165" s="105">
        <v>0</v>
      </c>
      <c r="C165" s="105">
        <v>224.95277239999999</v>
      </c>
      <c r="D165" s="105">
        <v>224.95277239999999</v>
      </c>
      <c r="E165" s="55">
        <v>0</v>
      </c>
      <c r="F165" s="55">
        <v>0</v>
      </c>
      <c r="G165" s="55">
        <v>0</v>
      </c>
      <c r="H165" s="12" t="s">
        <v>109</v>
      </c>
      <c r="I165" s="12" t="s">
        <v>109</v>
      </c>
      <c r="J165" s="12" t="s">
        <v>109</v>
      </c>
    </row>
    <row r="166" spans="1:11" ht="15.75" thickBot="1">
      <c r="A166" s="247"/>
      <c r="B166" s="105">
        <v>2</v>
      </c>
      <c r="C166" s="105">
        <v>252.50094970000001</v>
      </c>
      <c r="D166" s="105">
        <v>250.28071030000001</v>
      </c>
      <c r="E166" s="55">
        <v>0.87929944100000001</v>
      </c>
      <c r="F166" s="55">
        <v>-15.29005295</v>
      </c>
      <c r="G166" s="55">
        <v>-15.29005295</v>
      </c>
      <c r="H166" s="12" t="s">
        <v>109</v>
      </c>
      <c r="I166" s="12" t="s">
        <v>109</v>
      </c>
      <c r="J166" s="12" t="s">
        <v>109</v>
      </c>
    </row>
    <row r="167" spans="1:11" ht="15.75" thickBot="1">
      <c r="A167" s="247"/>
      <c r="B167" s="105">
        <v>0</v>
      </c>
      <c r="C167" s="105">
        <v>224.95277239999999</v>
      </c>
      <c r="D167" s="105">
        <v>225.6975114</v>
      </c>
      <c r="E167" s="55">
        <v>0.33106459900000001</v>
      </c>
      <c r="F167" s="55">
        <v>5.7220364540000004</v>
      </c>
      <c r="G167" s="55">
        <v>5.7220364540000004</v>
      </c>
      <c r="H167" s="12" t="s">
        <v>109</v>
      </c>
      <c r="I167" s="12" t="s">
        <v>109</v>
      </c>
      <c r="J167" s="12" t="s">
        <v>109</v>
      </c>
    </row>
    <row r="168" spans="1:11" ht="15.75" thickBot="1">
      <c r="A168" s="247"/>
      <c r="B168" s="105">
        <v>2</v>
      </c>
      <c r="C168" s="105">
        <v>252.50094970000001</v>
      </c>
      <c r="D168" s="105">
        <v>316.60950800000001</v>
      </c>
      <c r="E168" s="55">
        <v>25.389432559999999</v>
      </c>
      <c r="F168" s="55">
        <v>391.69892069999997</v>
      </c>
      <c r="G168" s="55">
        <v>391.69892069999997</v>
      </c>
      <c r="H168" s="12" t="s">
        <v>112</v>
      </c>
      <c r="I168" s="12" t="s">
        <v>112</v>
      </c>
      <c r="J168" s="12" t="s">
        <v>112</v>
      </c>
    </row>
    <row r="169" spans="1:11" ht="15.75" thickBot="1">
      <c r="A169" s="247"/>
      <c r="B169" s="105">
        <v>5</v>
      </c>
      <c r="C169" s="105">
        <v>300.2759259</v>
      </c>
      <c r="D169" s="105">
        <v>303.17660519999998</v>
      </c>
      <c r="E169" s="55">
        <v>0.96600459299999997</v>
      </c>
      <c r="F169" s="55">
        <v>16.64354054</v>
      </c>
      <c r="G169" s="55">
        <v>16.64354054</v>
      </c>
      <c r="H169" s="12" t="s">
        <v>109</v>
      </c>
      <c r="I169" s="12" t="s">
        <v>109</v>
      </c>
      <c r="J169" s="12" t="s">
        <v>109</v>
      </c>
    </row>
    <row r="170" spans="1:11" ht="15.75" thickBot="1">
      <c r="A170" s="247"/>
      <c r="B170" s="105">
        <v>7</v>
      </c>
      <c r="C170" s="105">
        <v>337.0483309</v>
      </c>
      <c r="D170" s="105">
        <v>335.93466919999997</v>
      </c>
      <c r="E170" s="55">
        <v>0.33041602799999997</v>
      </c>
      <c r="F170" s="55">
        <v>-5.729745995</v>
      </c>
      <c r="G170" s="55">
        <v>-5.729745995</v>
      </c>
      <c r="H170" s="12" t="s">
        <v>109</v>
      </c>
      <c r="I170" s="12" t="s">
        <v>109</v>
      </c>
      <c r="J170" s="12" t="s">
        <v>109</v>
      </c>
    </row>
    <row r="171" spans="1:11" ht="15.75" thickBot="1">
      <c r="A171" s="247"/>
      <c r="B171" s="105">
        <v>5</v>
      </c>
      <c r="C171" s="105">
        <v>300.2759259</v>
      </c>
      <c r="D171" s="105">
        <v>304.13264349999997</v>
      </c>
      <c r="E171" s="55">
        <v>1.284391214</v>
      </c>
      <c r="F171" s="55">
        <v>22.09423164</v>
      </c>
      <c r="G171" s="55">
        <v>22.09423164</v>
      </c>
      <c r="H171" s="12" t="s">
        <v>109</v>
      </c>
      <c r="I171" s="12" t="s">
        <v>109</v>
      </c>
      <c r="J171" s="12" t="s">
        <v>109</v>
      </c>
    </row>
    <row r="172" spans="1:11" ht="15.75" thickBot="1">
      <c r="A172" s="247"/>
      <c r="B172" s="105">
        <v>7</v>
      </c>
      <c r="C172" s="105">
        <v>337.0483309</v>
      </c>
      <c r="D172" s="105">
        <v>338.49599219999999</v>
      </c>
      <c r="E172" s="55">
        <v>0.429511488</v>
      </c>
      <c r="F172" s="55">
        <v>7.4199257840000001</v>
      </c>
      <c r="G172" s="55">
        <v>7.4199257840000001</v>
      </c>
      <c r="H172" s="12" t="s">
        <v>109</v>
      </c>
      <c r="I172" s="12" t="s">
        <v>109</v>
      </c>
      <c r="J172" s="12" t="s">
        <v>109</v>
      </c>
    </row>
    <row r="173" spans="1:11" ht="15.75" thickBot="1">
      <c r="A173" s="247"/>
      <c r="B173" s="105">
        <v>9</v>
      </c>
      <c r="C173" s="105">
        <v>378.32395980000001</v>
      </c>
      <c r="D173" s="105">
        <v>374.78412250000002</v>
      </c>
      <c r="E173" s="55">
        <v>0.93566301600000001</v>
      </c>
      <c r="F173" s="55">
        <v>-16.274774529999998</v>
      </c>
      <c r="G173" s="55">
        <v>-16.274774529999998</v>
      </c>
      <c r="H173" s="12" t="s">
        <v>109</v>
      </c>
      <c r="I173" s="12" t="s">
        <v>109</v>
      </c>
      <c r="J173" s="12" t="s">
        <v>109</v>
      </c>
    </row>
    <row r="174" spans="1:11" ht="15.75" thickBot="1">
      <c r="A174" s="247"/>
      <c r="B174" s="105">
        <v>7</v>
      </c>
      <c r="C174" s="105">
        <v>337.0483309</v>
      </c>
      <c r="D174" s="105">
        <v>334.21054709999999</v>
      </c>
      <c r="E174" s="55">
        <v>0.84195159200000003</v>
      </c>
      <c r="F174" s="55">
        <v>-14.63786133</v>
      </c>
      <c r="G174" s="55">
        <v>-14.63786133</v>
      </c>
      <c r="H174" s="12" t="s">
        <v>109</v>
      </c>
      <c r="I174" s="12" t="s">
        <v>109</v>
      </c>
      <c r="J174" s="12" t="s">
        <v>109</v>
      </c>
    </row>
    <row r="175" spans="1:11" ht="15.75" thickBot="1">
      <c r="A175" s="247"/>
      <c r="B175" s="105">
        <v>9</v>
      </c>
      <c r="C175" s="105">
        <v>378.32395980000001</v>
      </c>
      <c r="D175" s="105">
        <v>368.16065029999999</v>
      </c>
      <c r="E175" s="55">
        <v>2.686403893</v>
      </c>
      <c r="F175" s="55">
        <v>-47.144052690000002</v>
      </c>
      <c r="G175" s="55">
        <v>-47.144052690000002</v>
      </c>
      <c r="H175" s="12" t="s">
        <v>109</v>
      </c>
      <c r="I175" s="12" t="s">
        <v>109</v>
      </c>
      <c r="J175" s="12" t="s">
        <v>109</v>
      </c>
    </row>
    <row r="176" spans="1:11" ht="15.75" thickBot="1">
      <c r="A176" s="247"/>
      <c r="B176" s="105">
        <v>5</v>
      </c>
      <c r="C176" s="105">
        <v>300.2759259</v>
      </c>
      <c r="D176" s="105">
        <v>306.90979609999999</v>
      </c>
      <c r="E176" s="55">
        <v>2.2092581020000002</v>
      </c>
      <c r="F176" s="55">
        <v>37.83105759</v>
      </c>
      <c r="G176" s="55">
        <v>37.83105759</v>
      </c>
      <c r="H176" s="12" t="s">
        <v>109</v>
      </c>
      <c r="I176" s="12" t="s">
        <v>109</v>
      </c>
      <c r="J176" s="12" t="s">
        <v>109</v>
      </c>
    </row>
    <row r="177" spans="1:10" ht="15.75" thickBot="1">
      <c r="A177" s="247"/>
      <c r="B177" s="105">
        <v>2</v>
      </c>
      <c r="C177" s="105">
        <v>252.50094970000001</v>
      </c>
      <c r="D177" s="105">
        <v>240.4313544</v>
      </c>
      <c r="E177" s="55">
        <v>4.7800197410000003</v>
      </c>
      <c r="F177" s="55">
        <v>-84.796518120000002</v>
      </c>
      <c r="G177" s="55">
        <v>-84.796518120000002</v>
      </c>
      <c r="H177" s="12" t="s">
        <v>109</v>
      </c>
      <c r="I177" s="12" t="s">
        <v>109</v>
      </c>
      <c r="J177" s="12" t="s">
        <v>112</v>
      </c>
    </row>
    <row r="178" spans="1:10" ht="15.75" thickBot="1">
      <c r="A178" s="247"/>
      <c r="B178" s="105">
        <v>0</v>
      </c>
      <c r="C178" s="105">
        <v>224.95277239999999</v>
      </c>
      <c r="D178" s="105">
        <v>225.70746320000001</v>
      </c>
      <c r="E178" s="55">
        <v>0.33548856999999999</v>
      </c>
      <c r="F178" s="55">
        <v>5.7983713510000001</v>
      </c>
      <c r="G178" s="55">
        <v>5.7983713510000001</v>
      </c>
      <c r="H178" s="12" t="s">
        <v>109</v>
      </c>
      <c r="I178" s="12" t="s">
        <v>109</v>
      </c>
      <c r="J178" s="12" t="s">
        <v>109</v>
      </c>
    </row>
    <row r="179" spans="1:10" ht="15.75" thickBot="1">
      <c r="A179" s="247"/>
      <c r="B179" s="105">
        <v>2</v>
      </c>
      <c r="C179" s="105">
        <v>252.50094970000001</v>
      </c>
      <c r="D179" s="105">
        <v>252.60824819999999</v>
      </c>
      <c r="E179" s="55">
        <v>4.2494282000000001E-2</v>
      </c>
      <c r="F179" s="55">
        <v>0.73551922000000003</v>
      </c>
      <c r="G179" s="55">
        <v>0.73551922000000003</v>
      </c>
      <c r="H179" s="12" t="s">
        <v>109</v>
      </c>
      <c r="I179" s="12" t="s">
        <v>109</v>
      </c>
      <c r="J179" s="12" t="s">
        <v>109</v>
      </c>
    </row>
    <row r="180" spans="1:10" ht="15.75" thickBot="1">
      <c r="A180" s="247"/>
      <c r="B180" s="105">
        <v>0</v>
      </c>
      <c r="C180" s="105">
        <v>224.95277239999999</v>
      </c>
      <c r="D180" s="105">
        <v>227.2503744</v>
      </c>
      <c r="E180" s="55">
        <v>1.0213708349999999</v>
      </c>
      <c r="F180" s="55">
        <v>17.592628829999999</v>
      </c>
      <c r="G180" s="55">
        <v>17.592628829999999</v>
      </c>
      <c r="H180" s="12" t="s">
        <v>109</v>
      </c>
      <c r="I180" s="12" t="s">
        <v>109</v>
      </c>
      <c r="J180" s="12" t="s">
        <v>109</v>
      </c>
    </row>
    <row r="181" spans="1:10" ht="15.75" thickBot="1">
      <c r="A181" s="247"/>
      <c r="B181" s="105">
        <v>2</v>
      </c>
      <c r="C181" s="105">
        <v>252.50094970000001</v>
      </c>
      <c r="D181" s="105">
        <v>252.81408450000001</v>
      </c>
      <c r="E181" s="55">
        <v>0.124013331</v>
      </c>
      <c r="F181" s="55">
        <v>2.1456308540000002</v>
      </c>
      <c r="G181" s="55">
        <v>2.1456308540000002</v>
      </c>
      <c r="H181" s="12" t="s">
        <v>109</v>
      </c>
      <c r="I181" s="12" t="s">
        <v>109</v>
      </c>
      <c r="J181" s="12" t="s">
        <v>109</v>
      </c>
    </row>
    <row r="182" spans="1:10" ht="15.75" thickBot="1">
      <c r="A182" s="247"/>
      <c r="B182" s="105">
        <v>5</v>
      </c>
      <c r="C182" s="105">
        <v>300.2759259</v>
      </c>
      <c r="D182" s="105">
        <v>307.71337310000001</v>
      </c>
      <c r="E182" s="55">
        <v>2.4768709449999999</v>
      </c>
      <c r="F182" s="55">
        <v>42.357995809999998</v>
      </c>
      <c r="G182" s="55">
        <v>42.357995809999998</v>
      </c>
      <c r="H182" s="12" t="s">
        <v>109</v>
      </c>
      <c r="I182" s="12" t="s">
        <v>109</v>
      </c>
      <c r="J182" s="12" t="s">
        <v>109</v>
      </c>
    </row>
    <row r="183" spans="1:10" ht="15.75" thickBot="1">
      <c r="A183" s="247"/>
      <c r="B183" s="105">
        <v>7</v>
      </c>
      <c r="C183" s="105">
        <v>337.0483309</v>
      </c>
      <c r="D183" s="105">
        <v>338.1983381</v>
      </c>
      <c r="E183" s="55">
        <v>0.34119949100000002</v>
      </c>
      <c r="F183" s="55">
        <v>5.8969073630000004</v>
      </c>
      <c r="G183" s="55">
        <v>5.8969073630000004</v>
      </c>
      <c r="H183" s="12" t="s">
        <v>109</v>
      </c>
      <c r="I183" s="12" t="s">
        <v>109</v>
      </c>
      <c r="J183" s="12" t="s">
        <v>109</v>
      </c>
    </row>
    <row r="184" spans="1:10" ht="15.75" thickBot="1">
      <c r="A184" s="247"/>
      <c r="B184" s="105">
        <v>5</v>
      </c>
      <c r="C184" s="105">
        <v>300.2759259</v>
      </c>
      <c r="D184" s="105">
        <v>306.95961169999998</v>
      </c>
      <c r="E184" s="55">
        <v>2.225848042</v>
      </c>
      <c r="F184" s="55">
        <v>38.11203742</v>
      </c>
      <c r="G184" s="55">
        <v>38.11203742</v>
      </c>
      <c r="H184" s="12" t="s">
        <v>109</v>
      </c>
      <c r="I184" s="12" t="s">
        <v>109</v>
      </c>
      <c r="J184" s="12" t="s">
        <v>109</v>
      </c>
    </row>
    <row r="185" spans="1:10" ht="15.75" thickBot="1">
      <c r="A185" s="247"/>
      <c r="B185" s="105">
        <v>7</v>
      </c>
      <c r="C185" s="105">
        <v>337.0483309</v>
      </c>
      <c r="D185" s="105">
        <v>341.18248069999999</v>
      </c>
      <c r="E185" s="55">
        <v>1.2265747769999999</v>
      </c>
      <c r="F185" s="55">
        <v>21.10570456</v>
      </c>
      <c r="G185" s="55">
        <v>21.10570456</v>
      </c>
      <c r="H185" s="12" t="s">
        <v>109</v>
      </c>
      <c r="I185" s="12" t="s">
        <v>109</v>
      </c>
      <c r="J185" s="12" t="s">
        <v>109</v>
      </c>
    </row>
    <row r="186" spans="1:10" ht="15.75" thickBot="1">
      <c r="A186" s="247"/>
      <c r="B186" s="105">
        <v>9</v>
      </c>
      <c r="C186" s="105">
        <v>378.32395980000001</v>
      </c>
      <c r="D186" s="105">
        <v>377.94209430000001</v>
      </c>
      <c r="E186" s="55">
        <v>0.100936132</v>
      </c>
      <c r="F186" s="55">
        <v>-1.748323176</v>
      </c>
      <c r="G186" s="55">
        <v>-1.748323176</v>
      </c>
      <c r="H186" s="12" t="s">
        <v>109</v>
      </c>
      <c r="I186" s="12" t="s">
        <v>109</v>
      </c>
      <c r="J186" s="12" t="s">
        <v>109</v>
      </c>
    </row>
    <row r="187" spans="1:10" ht="15.75" thickBot="1">
      <c r="A187" s="247"/>
      <c r="B187" s="105">
        <v>7</v>
      </c>
      <c r="C187" s="105">
        <v>337.0483309</v>
      </c>
      <c r="D187" s="105">
        <v>341.35171989999998</v>
      </c>
      <c r="E187" s="55">
        <v>1.276786916</v>
      </c>
      <c r="F187" s="55">
        <v>21.964248000000001</v>
      </c>
      <c r="G187" s="55">
        <v>21.964248000000001</v>
      </c>
      <c r="H187" s="12" t="s">
        <v>109</v>
      </c>
      <c r="I187" s="12" t="s">
        <v>109</v>
      </c>
      <c r="J187" s="12" t="s">
        <v>109</v>
      </c>
    </row>
    <row r="188" spans="1:10" ht="15.75" thickBot="1">
      <c r="A188" s="247"/>
      <c r="B188" s="105">
        <v>5</v>
      </c>
      <c r="C188" s="105">
        <v>300.2759259</v>
      </c>
      <c r="D188" s="105">
        <v>311.35062749999997</v>
      </c>
      <c r="E188" s="55">
        <v>3.6881749720000001</v>
      </c>
      <c r="F188" s="55">
        <v>62.70164716</v>
      </c>
      <c r="G188" s="55">
        <v>62.70164716</v>
      </c>
      <c r="H188" s="12" t="s">
        <v>109</v>
      </c>
      <c r="I188" s="12" t="s">
        <v>109</v>
      </c>
      <c r="J188" s="12" t="s">
        <v>112</v>
      </c>
    </row>
    <row r="189" spans="1:10" ht="15.75" thickBot="1">
      <c r="A189" s="247"/>
      <c r="B189" s="105">
        <v>2</v>
      </c>
      <c r="C189" s="105">
        <v>252.50094970000001</v>
      </c>
      <c r="D189" s="105">
        <v>250.53608159999999</v>
      </c>
      <c r="E189" s="55">
        <v>0.77816263699999999</v>
      </c>
      <c r="F189" s="55">
        <v>-13.524506369999999</v>
      </c>
      <c r="G189" s="55">
        <v>-13.524506369999999</v>
      </c>
      <c r="H189" s="12" t="s">
        <v>109</v>
      </c>
      <c r="I189" s="12" t="s">
        <v>109</v>
      </c>
      <c r="J189" s="12" t="s">
        <v>109</v>
      </c>
    </row>
    <row r="190" spans="1:10" ht="15.75" thickBot="1">
      <c r="A190" s="247"/>
      <c r="B190" s="105">
        <v>0</v>
      </c>
      <c r="C190" s="105">
        <v>224.95277239999999</v>
      </c>
      <c r="D190" s="105">
        <v>228.3609592</v>
      </c>
      <c r="E190" s="55">
        <v>1.515067704</v>
      </c>
      <c r="F190" s="55">
        <v>26.03265601</v>
      </c>
      <c r="G190" s="55">
        <v>26.03265601</v>
      </c>
      <c r="H190" s="12" t="s">
        <v>109</v>
      </c>
      <c r="I190" s="12" t="s">
        <v>109</v>
      </c>
      <c r="J190" s="12" t="s">
        <v>109</v>
      </c>
    </row>
    <row r="191" spans="1:10" ht="15.75" thickBot="1">
      <c r="A191" s="247"/>
      <c r="B191" s="105">
        <v>2</v>
      </c>
      <c r="C191" s="105">
        <v>252.50094970000001</v>
      </c>
      <c r="D191" s="105">
        <v>263.0864249</v>
      </c>
      <c r="E191" s="55">
        <v>4.1922516439999997</v>
      </c>
      <c r="F191" s="55">
        <v>71.097593059999994</v>
      </c>
      <c r="G191" s="55">
        <v>71.097593059999994</v>
      </c>
      <c r="H191" s="12" t="s">
        <v>109</v>
      </c>
      <c r="I191" s="12" t="s">
        <v>109</v>
      </c>
      <c r="J191" s="12" t="s">
        <v>112</v>
      </c>
    </row>
    <row r="192" spans="1:10" ht="15.75" thickBot="1">
      <c r="A192" s="247"/>
      <c r="B192" s="105">
        <v>5</v>
      </c>
      <c r="C192" s="105">
        <v>300.2759259</v>
      </c>
      <c r="D192" s="105">
        <v>307.19994459999998</v>
      </c>
      <c r="E192" s="55">
        <v>2.3058853899999998</v>
      </c>
      <c r="F192" s="55">
        <v>39.466970320000001</v>
      </c>
      <c r="G192" s="55">
        <v>39.466970320000001</v>
      </c>
      <c r="H192" s="12" t="s">
        <v>109</v>
      </c>
      <c r="I192" s="12" t="s">
        <v>109</v>
      </c>
      <c r="J192" s="12" t="s">
        <v>109</v>
      </c>
    </row>
    <row r="193" spans="1:10" ht="15.75" thickBot="1">
      <c r="A193" s="247"/>
      <c r="B193" s="105">
        <v>5</v>
      </c>
      <c r="C193" s="105">
        <v>300.2759259</v>
      </c>
      <c r="D193" s="105">
        <v>313.69317749999999</v>
      </c>
      <c r="E193" s="55">
        <v>4.4683074549999997</v>
      </c>
      <c r="F193" s="55">
        <v>75.678406039999999</v>
      </c>
      <c r="G193" s="55">
        <v>75.678406039999999</v>
      </c>
      <c r="H193" s="12" t="s">
        <v>109</v>
      </c>
      <c r="I193" s="12" t="s">
        <v>109</v>
      </c>
      <c r="J193" s="12" t="s">
        <v>112</v>
      </c>
    </row>
    <row r="194" spans="1:10" ht="15.75" thickBot="1">
      <c r="A194" s="247"/>
      <c r="B194" s="105">
        <v>5</v>
      </c>
      <c r="C194" s="105">
        <v>300.2759259</v>
      </c>
      <c r="D194" s="105">
        <v>294.87977089999998</v>
      </c>
      <c r="E194" s="55">
        <v>1.7970654930000001</v>
      </c>
      <c r="F194" s="55">
        <v>-31.39435078</v>
      </c>
      <c r="G194" s="55">
        <v>-31.39435078</v>
      </c>
      <c r="H194" s="12" t="s">
        <v>109</v>
      </c>
      <c r="I194" s="12" t="s">
        <v>109</v>
      </c>
      <c r="J194" s="12" t="s">
        <v>109</v>
      </c>
    </row>
    <row r="195" spans="1:10" ht="15.75" thickBot="1">
      <c r="A195" s="248"/>
      <c r="B195" s="105">
        <v>7</v>
      </c>
      <c r="C195" s="105">
        <v>337.0483309</v>
      </c>
      <c r="D195" s="105"/>
      <c r="E195" s="55"/>
      <c r="F195" s="55"/>
      <c r="G195" s="55"/>
      <c r="H195" s="12" t="s">
        <v>112</v>
      </c>
      <c r="I195" s="12" t="s">
        <v>112</v>
      </c>
      <c r="J195" s="12" t="s">
        <v>112</v>
      </c>
    </row>
    <row r="196" spans="1:10" ht="15.75" thickBot="1">
      <c r="A196" s="246" t="s">
        <v>27</v>
      </c>
      <c r="B196" s="105">
        <v>0</v>
      </c>
      <c r="C196" s="105">
        <v>224.09845319999999</v>
      </c>
      <c r="D196" s="105">
        <v>224.09845319999999</v>
      </c>
      <c r="E196" s="55">
        <v>0</v>
      </c>
      <c r="F196" s="55">
        <v>0</v>
      </c>
      <c r="G196" s="55">
        <v>0</v>
      </c>
      <c r="H196" s="12" t="s">
        <v>109</v>
      </c>
      <c r="I196" s="12" t="s">
        <v>109</v>
      </c>
      <c r="J196" s="12" t="s">
        <v>109</v>
      </c>
    </row>
    <row r="197" spans="1:10" ht="15.75" thickBot="1">
      <c r="A197" s="247"/>
      <c r="B197" s="105">
        <v>2</v>
      </c>
      <c r="C197" s="105">
        <v>251.54200879999999</v>
      </c>
      <c r="D197" s="105">
        <v>251.30054630000001</v>
      </c>
      <c r="E197" s="55">
        <v>9.5992936000000001E-2</v>
      </c>
      <c r="F197" s="55">
        <v>-1.662660545</v>
      </c>
      <c r="G197" s="55">
        <v>-1.662660545</v>
      </c>
      <c r="H197" s="12" t="s">
        <v>109</v>
      </c>
      <c r="I197" s="12" t="s">
        <v>109</v>
      </c>
      <c r="J197" s="12" t="s">
        <v>109</v>
      </c>
    </row>
    <row r="198" spans="1:10" ht="15.75" thickBot="1">
      <c r="A198" s="247"/>
      <c r="B198" s="105">
        <v>0</v>
      </c>
      <c r="C198" s="105">
        <v>224.09845319999999</v>
      </c>
      <c r="D198" s="105">
        <v>225.39664239999999</v>
      </c>
      <c r="E198" s="55">
        <v>0.57929410699999995</v>
      </c>
      <c r="F198" s="55">
        <v>10</v>
      </c>
      <c r="G198" s="55">
        <v>10</v>
      </c>
      <c r="H198" s="12" t="s">
        <v>109</v>
      </c>
      <c r="I198" s="12" t="s">
        <v>109</v>
      </c>
      <c r="J198" s="12" t="s">
        <v>109</v>
      </c>
    </row>
    <row r="199" spans="1:10" ht="15.75" thickBot="1">
      <c r="A199" s="247"/>
      <c r="B199" s="105">
        <v>2</v>
      </c>
      <c r="C199" s="105">
        <v>251.54200879999999</v>
      </c>
      <c r="D199" s="105">
        <v>251.01518139999999</v>
      </c>
      <c r="E199" s="55">
        <v>0.209439134</v>
      </c>
      <c r="F199" s="55">
        <v>-3.6296839159999998</v>
      </c>
      <c r="G199" s="55">
        <v>-3.6296839159999998</v>
      </c>
      <c r="H199" s="12" t="s">
        <v>109</v>
      </c>
      <c r="I199" s="12" t="s">
        <v>109</v>
      </c>
      <c r="J199" s="12" t="s">
        <v>109</v>
      </c>
    </row>
    <row r="200" spans="1:10" ht="15.75" thickBot="1">
      <c r="A200" s="247"/>
      <c r="B200" s="105">
        <v>5</v>
      </c>
      <c r="C200" s="105">
        <v>299.1355466</v>
      </c>
      <c r="D200" s="105">
        <v>302.61133430000001</v>
      </c>
      <c r="E200" s="55">
        <v>1.1619440299999999</v>
      </c>
      <c r="F200" s="55">
        <v>20</v>
      </c>
      <c r="G200" s="55">
        <v>20</v>
      </c>
      <c r="H200" s="12" t="s">
        <v>109</v>
      </c>
      <c r="I200" s="12" t="s">
        <v>109</v>
      </c>
      <c r="J200" s="12" t="s">
        <v>109</v>
      </c>
    </row>
    <row r="201" spans="1:10" ht="15.75" thickBot="1">
      <c r="A201" s="247"/>
      <c r="B201" s="105">
        <v>7</v>
      </c>
      <c r="C201" s="105">
        <v>335.76829839999999</v>
      </c>
      <c r="D201" s="105">
        <v>337.7133844</v>
      </c>
      <c r="E201" s="55">
        <v>0.57929410699999995</v>
      </c>
      <c r="F201" s="55">
        <v>10</v>
      </c>
      <c r="G201" s="55">
        <v>10</v>
      </c>
      <c r="H201" s="12" t="s">
        <v>109</v>
      </c>
      <c r="I201" s="12" t="s">
        <v>109</v>
      </c>
      <c r="J201" s="12" t="s">
        <v>109</v>
      </c>
    </row>
    <row r="202" spans="1:10" ht="15.75" thickBot="1">
      <c r="A202" s="247"/>
      <c r="B202" s="105">
        <v>5</v>
      </c>
      <c r="C202" s="105">
        <v>299.1355466</v>
      </c>
      <c r="D202" s="105">
        <v>306.1275086</v>
      </c>
      <c r="E202" s="55">
        <v>2.3373892000000001</v>
      </c>
      <c r="F202" s="55">
        <v>40</v>
      </c>
      <c r="G202" s="55">
        <v>40</v>
      </c>
      <c r="H202" s="12" t="s">
        <v>109</v>
      </c>
      <c r="I202" s="12" t="s">
        <v>109</v>
      </c>
      <c r="J202" s="12" t="s">
        <v>109</v>
      </c>
    </row>
    <row r="203" spans="1:10" ht="15.75" thickBot="1">
      <c r="A203" s="247"/>
      <c r="B203" s="105">
        <v>7</v>
      </c>
      <c r="C203" s="105">
        <v>335.76829839999999</v>
      </c>
      <c r="D203" s="105">
        <v>337.7133844</v>
      </c>
      <c r="E203" s="55">
        <v>0.57929410699999995</v>
      </c>
      <c r="F203" s="55">
        <v>10</v>
      </c>
      <c r="G203" s="55">
        <v>10</v>
      </c>
      <c r="H203" s="12" t="s">
        <v>109</v>
      </c>
      <c r="I203" s="12" t="s">
        <v>109</v>
      </c>
      <c r="J203" s="12" t="s">
        <v>109</v>
      </c>
    </row>
    <row r="204" spans="1:10" ht="15.75" thickBot="1">
      <c r="A204" s="247"/>
      <c r="B204" s="105">
        <v>9</v>
      </c>
      <c r="C204" s="105">
        <v>376.88717200000002</v>
      </c>
      <c r="D204" s="105">
        <v>376.45302989999999</v>
      </c>
      <c r="E204" s="55">
        <v>0.115191524</v>
      </c>
      <c r="F204" s="55">
        <v>-1.9953843570000001</v>
      </c>
      <c r="G204" s="55">
        <v>-1.9953843570000001</v>
      </c>
      <c r="H204" s="12" t="s">
        <v>109</v>
      </c>
      <c r="I204" s="12" t="s">
        <v>109</v>
      </c>
      <c r="J204" s="12" t="s">
        <v>109</v>
      </c>
    </row>
    <row r="205" spans="1:10" ht="15.75" thickBot="1">
      <c r="A205" s="247"/>
      <c r="B205" s="105">
        <v>7</v>
      </c>
      <c r="C205" s="105">
        <v>335.76829839999999</v>
      </c>
      <c r="D205" s="105">
        <v>333.83441529999999</v>
      </c>
      <c r="E205" s="55">
        <v>0.575957618</v>
      </c>
      <c r="F205" s="55">
        <v>-10</v>
      </c>
      <c r="G205" s="55">
        <v>-10</v>
      </c>
      <c r="H205" s="12" t="s">
        <v>109</v>
      </c>
      <c r="I205" s="12" t="s">
        <v>109</v>
      </c>
      <c r="J205" s="12" t="s">
        <v>109</v>
      </c>
    </row>
    <row r="206" spans="1:10" ht="15.75" thickBot="1">
      <c r="A206" s="247"/>
      <c r="B206" s="105">
        <v>9</v>
      </c>
      <c r="C206" s="105">
        <v>376.88717200000002</v>
      </c>
      <c r="D206" s="105">
        <v>368.73519640000001</v>
      </c>
      <c r="E206" s="55">
        <v>2.1629750790000002</v>
      </c>
      <c r="F206" s="55">
        <v>-37.857072700000003</v>
      </c>
      <c r="G206" s="55">
        <v>-37.857072700000003</v>
      </c>
      <c r="H206" s="12" t="s">
        <v>109</v>
      </c>
      <c r="I206" s="12" t="s">
        <v>109</v>
      </c>
      <c r="J206" s="12" t="s">
        <v>109</v>
      </c>
    </row>
    <row r="207" spans="1:10" ht="15.75" thickBot="1">
      <c r="A207" s="247"/>
      <c r="B207" s="105">
        <v>5</v>
      </c>
      <c r="C207" s="105">
        <v>299.1355466</v>
      </c>
      <c r="D207" s="105">
        <v>308.12384370000001</v>
      </c>
      <c r="E207" s="55">
        <v>3.0047572539999998</v>
      </c>
      <c r="F207" s="55">
        <v>51.253163440000002</v>
      </c>
      <c r="G207" s="55">
        <v>51.253163440000002</v>
      </c>
      <c r="H207" s="12" t="s">
        <v>109</v>
      </c>
      <c r="I207" s="12" t="s">
        <v>109</v>
      </c>
      <c r="J207" s="12" t="s">
        <v>112</v>
      </c>
    </row>
    <row r="208" spans="1:10" ht="15.75" thickBot="1">
      <c r="A208" s="247"/>
      <c r="B208" s="105">
        <v>2</v>
      </c>
      <c r="C208" s="105">
        <v>251.54200879999999</v>
      </c>
      <c r="D208" s="105">
        <v>251.25225380000001</v>
      </c>
      <c r="E208" s="55">
        <v>0.115191524</v>
      </c>
      <c r="F208" s="55">
        <v>-1.9953843570000001</v>
      </c>
      <c r="G208" s="55">
        <v>-1.9953843570000001</v>
      </c>
      <c r="H208" s="12" t="s">
        <v>109</v>
      </c>
      <c r="I208" s="12" t="s">
        <v>109</v>
      </c>
      <c r="J208" s="12" t="s">
        <v>109</v>
      </c>
    </row>
    <row r="209" spans="1:10" ht="15.75" thickBot="1">
      <c r="A209" s="247"/>
      <c r="B209" s="105">
        <v>0</v>
      </c>
      <c r="C209" s="105">
        <v>224.09845319999999</v>
      </c>
      <c r="D209" s="105">
        <v>224.09845319999999</v>
      </c>
      <c r="E209" s="55">
        <v>2.5365400000000002E-14</v>
      </c>
      <c r="F209" s="55">
        <v>3.84411E-13</v>
      </c>
      <c r="G209" s="55">
        <v>3.4106099999999998E-13</v>
      </c>
      <c r="H209" s="12" t="s">
        <v>109</v>
      </c>
      <c r="I209" s="12" t="s">
        <v>109</v>
      </c>
      <c r="J209" s="12" t="s">
        <v>109</v>
      </c>
    </row>
    <row r="210" spans="1:10" ht="15.75" thickBot="1">
      <c r="A210" s="247"/>
      <c r="B210" s="105">
        <v>2</v>
      </c>
      <c r="C210" s="105">
        <v>251.54200879999999</v>
      </c>
      <c r="D210" s="105">
        <v>258.91275230000002</v>
      </c>
      <c r="E210" s="55">
        <v>2.9302236640000001</v>
      </c>
      <c r="F210" s="55">
        <v>50</v>
      </c>
      <c r="G210" s="55">
        <v>50</v>
      </c>
      <c r="H210" s="12" t="s">
        <v>109</v>
      </c>
      <c r="I210" s="12" t="s">
        <v>109</v>
      </c>
      <c r="J210" s="12" t="s">
        <v>112</v>
      </c>
    </row>
    <row r="211" spans="1:10" ht="15.75" thickBot="1">
      <c r="A211" s="247"/>
      <c r="B211" s="105">
        <v>0</v>
      </c>
      <c r="C211" s="105">
        <v>224.09845319999999</v>
      </c>
      <c r="D211" s="105">
        <v>226.7023518</v>
      </c>
      <c r="E211" s="55">
        <v>1.1619440299999999</v>
      </c>
      <c r="F211" s="55">
        <v>20</v>
      </c>
      <c r="G211" s="55">
        <v>20</v>
      </c>
      <c r="H211" s="12" t="s">
        <v>109</v>
      </c>
      <c r="I211" s="12" t="s">
        <v>109</v>
      </c>
      <c r="J211" s="12" t="s">
        <v>109</v>
      </c>
    </row>
    <row r="212" spans="1:10" ht="15.75" thickBot="1">
      <c r="A212" s="247"/>
      <c r="B212" s="105">
        <v>2</v>
      </c>
      <c r="C212" s="105">
        <v>251.54200879999999</v>
      </c>
      <c r="D212" s="105">
        <v>252.99917690000001</v>
      </c>
      <c r="E212" s="55">
        <v>0.57929410699999995</v>
      </c>
      <c r="F212" s="55">
        <v>10</v>
      </c>
      <c r="G212" s="55">
        <v>10</v>
      </c>
      <c r="H212" s="12" t="s">
        <v>109</v>
      </c>
      <c r="I212" s="12" t="s">
        <v>109</v>
      </c>
      <c r="J212" s="12" t="s">
        <v>109</v>
      </c>
    </row>
    <row r="213" spans="1:10" ht="15.75" thickBot="1">
      <c r="A213" s="247"/>
      <c r="B213" s="105">
        <v>5</v>
      </c>
      <c r="C213" s="105">
        <v>299.1355466</v>
      </c>
      <c r="D213" s="105">
        <v>306.1275086</v>
      </c>
      <c r="E213" s="55">
        <v>2.3373892000000001</v>
      </c>
      <c r="F213" s="55">
        <v>40</v>
      </c>
      <c r="G213" s="55">
        <v>40</v>
      </c>
      <c r="H213" s="12" t="s">
        <v>109</v>
      </c>
      <c r="I213" s="12" t="s">
        <v>109</v>
      </c>
      <c r="J213" s="12" t="s">
        <v>109</v>
      </c>
    </row>
    <row r="214" spans="1:10" ht="15.75" thickBot="1">
      <c r="A214" s="247"/>
      <c r="B214" s="105">
        <v>7</v>
      </c>
      <c r="C214" s="105">
        <v>335.76829839999999</v>
      </c>
      <c r="D214" s="105">
        <v>339.66973810000002</v>
      </c>
      <c r="E214" s="55">
        <v>1.1619440299999999</v>
      </c>
      <c r="F214" s="55">
        <v>20</v>
      </c>
      <c r="G214" s="55">
        <v>20</v>
      </c>
      <c r="H214" s="12" t="s">
        <v>109</v>
      </c>
      <c r="I214" s="12" t="s">
        <v>109</v>
      </c>
      <c r="J214" s="12" t="s">
        <v>109</v>
      </c>
    </row>
    <row r="215" spans="1:10" ht="15.75" thickBot="1">
      <c r="A215" s="247"/>
      <c r="B215" s="105">
        <v>5</v>
      </c>
      <c r="C215" s="105">
        <v>299.1355466</v>
      </c>
      <c r="D215" s="105">
        <v>307.9008872</v>
      </c>
      <c r="E215" s="55">
        <v>2.9302236640000001</v>
      </c>
      <c r="F215" s="55">
        <v>50</v>
      </c>
      <c r="G215" s="55">
        <v>50</v>
      </c>
      <c r="H215" s="12" t="s">
        <v>109</v>
      </c>
      <c r="I215" s="12" t="s">
        <v>109</v>
      </c>
      <c r="J215" s="12" t="s">
        <v>112</v>
      </c>
    </row>
    <row r="216" spans="1:10" ht="15.75" thickBot="1">
      <c r="A216" s="247"/>
      <c r="B216" s="105">
        <v>7</v>
      </c>
      <c r="C216" s="105">
        <v>335.76829839999999</v>
      </c>
      <c r="D216" s="105">
        <v>341.63742489999998</v>
      </c>
      <c r="E216" s="55">
        <v>1.7479692099999999</v>
      </c>
      <c r="F216" s="55">
        <v>30</v>
      </c>
      <c r="G216" s="55">
        <v>30</v>
      </c>
      <c r="H216" s="12" t="s">
        <v>109</v>
      </c>
      <c r="I216" s="12" t="s">
        <v>109</v>
      </c>
      <c r="J216" s="12" t="s">
        <v>109</v>
      </c>
    </row>
    <row r="217" spans="1:10" ht="15.75" thickBot="1">
      <c r="A217" s="247"/>
      <c r="B217" s="105">
        <v>9</v>
      </c>
      <c r="C217" s="105">
        <v>376.88717200000002</v>
      </c>
      <c r="D217" s="105">
        <v>376.88717200000002</v>
      </c>
      <c r="E217" s="55">
        <v>3.01647E-14</v>
      </c>
      <c r="F217" s="55">
        <v>3.84411E-13</v>
      </c>
      <c r="G217" s="55">
        <v>3.4106099999999998E-13</v>
      </c>
      <c r="H217" s="12" t="s">
        <v>109</v>
      </c>
      <c r="I217" s="12" t="s">
        <v>109</v>
      </c>
      <c r="J217" s="12" t="s">
        <v>109</v>
      </c>
    </row>
    <row r="218" spans="1:10" ht="15.75" thickBot="1">
      <c r="A218" s="247"/>
      <c r="B218" s="105">
        <v>7</v>
      </c>
      <c r="C218" s="105">
        <v>335.76829839999999</v>
      </c>
      <c r="D218" s="105">
        <v>344.41273039999999</v>
      </c>
      <c r="E218" s="55">
        <v>2.5745229859999998</v>
      </c>
      <c r="F218" s="55">
        <v>44.006934129999998</v>
      </c>
      <c r="G218" s="55">
        <v>44.006934129999998</v>
      </c>
      <c r="H218" s="12" t="s">
        <v>109</v>
      </c>
      <c r="I218" s="12" t="s">
        <v>109</v>
      </c>
      <c r="J218" s="12" t="s">
        <v>109</v>
      </c>
    </row>
    <row r="219" spans="1:10" ht="15.75" thickBot="1">
      <c r="A219" s="247"/>
      <c r="B219" s="105">
        <v>5</v>
      </c>
      <c r="C219" s="105">
        <v>299.1355466</v>
      </c>
      <c r="D219" s="105">
        <v>311.47852319999998</v>
      </c>
      <c r="E219" s="55">
        <v>4.1262152529999998</v>
      </c>
      <c r="F219" s="55">
        <v>70</v>
      </c>
      <c r="G219" s="55">
        <v>70</v>
      </c>
      <c r="H219" s="12" t="s">
        <v>109</v>
      </c>
      <c r="I219" s="12" t="s">
        <v>109</v>
      </c>
      <c r="J219" s="12" t="s">
        <v>112</v>
      </c>
    </row>
    <row r="220" spans="1:10" ht="15.75" thickBot="1">
      <c r="A220" s="247"/>
      <c r="B220" s="105">
        <v>2</v>
      </c>
      <c r="C220" s="105">
        <v>251.54200879999999</v>
      </c>
      <c r="D220" s="105">
        <v>255.93888569999999</v>
      </c>
      <c r="E220" s="55">
        <v>1.7479692099999999</v>
      </c>
      <c r="F220" s="55">
        <v>30</v>
      </c>
      <c r="G220" s="55">
        <v>30</v>
      </c>
      <c r="H220" s="12" t="s">
        <v>109</v>
      </c>
      <c r="I220" s="12" t="s">
        <v>109</v>
      </c>
      <c r="J220" s="12" t="s">
        <v>109</v>
      </c>
    </row>
    <row r="221" spans="1:10" ht="15.75" thickBot="1">
      <c r="A221" s="247"/>
      <c r="B221" s="105">
        <v>0</v>
      </c>
      <c r="C221" s="105">
        <v>224.09845319999999</v>
      </c>
      <c r="D221" s="105">
        <v>229.3365063</v>
      </c>
      <c r="E221" s="55">
        <v>2.3373892000000001</v>
      </c>
      <c r="F221" s="55">
        <v>40</v>
      </c>
      <c r="G221" s="55">
        <v>40</v>
      </c>
      <c r="H221" s="12" t="s">
        <v>109</v>
      </c>
      <c r="I221" s="12" t="s">
        <v>109</v>
      </c>
      <c r="J221" s="12" t="s">
        <v>109</v>
      </c>
    </row>
    <row r="222" spans="1:10" ht="15.75" thickBot="1">
      <c r="A222" s="247"/>
      <c r="B222" s="105">
        <v>2</v>
      </c>
      <c r="C222" s="105">
        <v>251.54200879999999</v>
      </c>
      <c r="D222" s="105">
        <v>264.96455099999997</v>
      </c>
      <c r="E222" s="55">
        <v>5.336103595</v>
      </c>
      <c r="F222" s="55">
        <v>90</v>
      </c>
      <c r="G222" s="55">
        <v>90</v>
      </c>
      <c r="H222" s="12" t="s">
        <v>109</v>
      </c>
      <c r="I222" s="12" t="s">
        <v>109</v>
      </c>
      <c r="J222" s="12" t="s">
        <v>112</v>
      </c>
    </row>
    <row r="223" spans="1:10" ht="15.75" thickBot="1">
      <c r="A223" s="247"/>
      <c r="B223" s="105">
        <v>5</v>
      </c>
      <c r="C223" s="105">
        <v>299.1355466</v>
      </c>
      <c r="D223" s="105">
        <v>304.9520655</v>
      </c>
      <c r="E223" s="55">
        <v>1.9444425400000001</v>
      </c>
      <c r="F223" s="55">
        <v>33.339755480000001</v>
      </c>
      <c r="G223" s="55">
        <v>33.339755480000001</v>
      </c>
      <c r="H223" s="12" t="s">
        <v>109</v>
      </c>
      <c r="I223" s="12" t="s">
        <v>109</v>
      </c>
      <c r="J223" s="12" t="s">
        <v>109</v>
      </c>
    </row>
    <row r="224" spans="1:10" ht="15.75" thickBot="1">
      <c r="A224" s="247"/>
      <c r="B224" s="105">
        <v>7</v>
      </c>
      <c r="C224" s="105">
        <v>335.76829839999999</v>
      </c>
      <c r="D224" s="105">
        <v>343.00756100000001</v>
      </c>
      <c r="E224" s="55">
        <v>2.1560292030000001</v>
      </c>
      <c r="F224" s="55">
        <v>36.929224560000002</v>
      </c>
      <c r="G224" s="55">
        <v>36.929224560000002</v>
      </c>
      <c r="H224" s="12" t="s">
        <v>109</v>
      </c>
      <c r="I224" s="12" t="s">
        <v>109</v>
      </c>
      <c r="J224" s="12" t="s">
        <v>109</v>
      </c>
    </row>
    <row r="225" spans="1:10" ht="15.75" thickBot="1">
      <c r="A225" s="247"/>
      <c r="B225" s="105">
        <v>5</v>
      </c>
      <c r="C225" s="105">
        <v>299.1355466</v>
      </c>
      <c r="D225" s="105">
        <v>304.36434389999999</v>
      </c>
      <c r="E225" s="55">
        <v>1.7479692099999999</v>
      </c>
      <c r="F225" s="55">
        <v>30</v>
      </c>
      <c r="G225" s="55">
        <v>30</v>
      </c>
      <c r="H225" s="12" t="s">
        <v>109</v>
      </c>
      <c r="I225" s="12" t="s">
        <v>109</v>
      </c>
      <c r="J225" s="12" t="s">
        <v>109</v>
      </c>
    </row>
    <row r="226" spans="1:10" ht="15.75" thickBot="1">
      <c r="A226" s="248"/>
      <c r="B226" s="105">
        <v>5</v>
      </c>
      <c r="C226" s="105">
        <v>299.1355466</v>
      </c>
      <c r="D226" s="105"/>
      <c r="E226" s="55"/>
      <c r="F226" s="55"/>
      <c r="G226" s="55"/>
      <c r="H226" s="12" t="s">
        <v>112</v>
      </c>
      <c r="I226" s="12" t="s">
        <v>112</v>
      </c>
      <c r="J226" s="12" t="s">
        <v>112</v>
      </c>
    </row>
    <row r="227" spans="1:10" ht="15.75" thickBot="1">
      <c r="A227" s="246" t="s">
        <v>144</v>
      </c>
      <c r="B227" s="105">
        <v>0</v>
      </c>
      <c r="C227" s="105">
        <v>236.45389700000001</v>
      </c>
      <c r="D227" s="105">
        <v>236.45389700000001</v>
      </c>
      <c r="E227" s="55">
        <v>0</v>
      </c>
      <c r="F227" s="55">
        <v>0</v>
      </c>
      <c r="G227" s="55">
        <v>0</v>
      </c>
      <c r="H227" s="12" t="s">
        <v>109</v>
      </c>
      <c r="I227" s="12" t="s">
        <v>109</v>
      </c>
      <c r="J227" s="12" t="s">
        <v>109</v>
      </c>
    </row>
    <row r="228" spans="1:10" ht="15.75" thickBot="1">
      <c r="A228" s="247"/>
      <c r="B228" s="105">
        <v>2</v>
      </c>
      <c r="C228" s="105">
        <v>265.41052550000001</v>
      </c>
      <c r="D228" s="105">
        <v>251.4959547</v>
      </c>
      <c r="E228" s="55">
        <v>5.2426597680000002</v>
      </c>
      <c r="F228" s="55">
        <v>-93.228469340000004</v>
      </c>
      <c r="G228" s="55">
        <v>-93.228469340000004</v>
      </c>
      <c r="H228" s="12" t="s">
        <v>109</v>
      </c>
      <c r="I228" s="12" t="s">
        <v>109</v>
      </c>
      <c r="J228" s="12" t="s">
        <v>112</v>
      </c>
    </row>
    <row r="229" spans="1:10" ht="15.75" thickBot="1">
      <c r="A229" s="247"/>
      <c r="B229" s="105">
        <v>0</v>
      </c>
      <c r="C229" s="105">
        <v>236.45389700000001</v>
      </c>
      <c r="D229" s="105">
        <v>226.2671153</v>
      </c>
      <c r="E229" s="55">
        <v>4.3081470619999997</v>
      </c>
      <c r="F229" s="55">
        <v>-76.238392630000007</v>
      </c>
      <c r="G229" s="55">
        <v>-76.238392630000007</v>
      </c>
      <c r="H229" s="12" t="s">
        <v>109</v>
      </c>
      <c r="I229" s="12" t="s">
        <v>109</v>
      </c>
      <c r="J229" s="12" t="s">
        <v>112</v>
      </c>
    </row>
    <row r="230" spans="1:10" ht="15.75" thickBot="1">
      <c r="A230" s="247"/>
      <c r="B230" s="105">
        <v>2</v>
      </c>
      <c r="C230" s="105">
        <v>265.41052550000001</v>
      </c>
      <c r="D230" s="105">
        <v>401.18105389999999</v>
      </c>
      <c r="E230" s="55">
        <v>51.154914859999998</v>
      </c>
      <c r="F230" s="55">
        <v>715.23346739999999</v>
      </c>
      <c r="G230" s="55">
        <v>-484.76653260000001</v>
      </c>
      <c r="H230" s="12" t="s">
        <v>112</v>
      </c>
      <c r="I230" s="12" t="s">
        <v>112</v>
      </c>
      <c r="J230" s="12" t="s">
        <v>112</v>
      </c>
    </row>
    <row r="231" spans="1:10" ht="15.75" thickBot="1">
      <c r="A231" s="247"/>
      <c r="B231" s="105">
        <v>5</v>
      </c>
      <c r="C231" s="105">
        <v>315.62808530000001</v>
      </c>
      <c r="D231" s="105">
        <v>302.84404439999997</v>
      </c>
      <c r="E231" s="55">
        <v>4.0503496270000001</v>
      </c>
      <c r="F231" s="55">
        <v>-71.580654519999996</v>
      </c>
      <c r="G231" s="55">
        <v>-71.580654519999996</v>
      </c>
      <c r="H231" s="12" t="s">
        <v>109</v>
      </c>
      <c r="I231" s="12" t="s">
        <v>109</v>
      </c>
      <c r="J231" s="12" t="s">
        <v>112</v>
      </c>
    </row>
    <row r="232" spans="1:10" ht="15.75" thickBot="1">
      <c r="A232" s="247"/>
      <c r="B232" s="105">
        <v>7</v>
      </c>
      <c r="C232" s="105">
        <v>354.2805472</v>
      </c>
      <c r="D232" s="105">
        <v>336.74084140000002</v>
      </c>
      <c r="E232" s="55">
        <v>4.9507956130000004</v>
      </c>
      <c r="F232" s="55">
        <v>-87.904252920000005</v>
      </c>
      <c r="G232" s="55">
        <v>-87.904252920000005</v>
      </c>
      <c r="H232" s="12" t="s">
        <v>109</v>
      </c>
      <c r="I232" s="12" t="s">
        <v>109</v>
      </c>
      <c r="J232" s="12" t="s">
        <v>112</v>
      </c>
    </row>
    <row r="233" spans="1:10" ht="15.75" thickBot="1">
      <c r="A233" s="247"/>
      <c r="B233" s="105">
        <v>5</v>
      </c>
      <c r="C233" s="105">
        <v>315.62808530000001</v>
      </c>
      <c r="D233" s="105">
        <v>317.28878520000001</v>
      </c>
      <c r="E233" s="55">
        <v>0.52615719900000002</v>
      </c>
      <c r="F233" s="55">
        <v>9.0851324489999996</v>
      </c>
      <c r="G233" s="55">
        <v>9.0851324489999996</v>
      </c>
      <c r="H233" s="12" t="s">
        <v>109</v>
      </c>
      <c r="I233" s="12" t="s">
        <v>109</v>
      </c>
      <c r="J233" s="12" t="s">
        <v>109</v>
      </c>
    </row>
    <row r="234" spans="1:10" ht="15.75" thickBot="1">
      <c r="A234" s="247"/>
      <c r="B234" s="105">
        <v>7</v>
      </c>
      <c r="C234" s="105">
        <v>354.2805472</v>
      </c>
      <c r="D234" s="105">
        <v>336.42225109999998</v>
      </c>
      <c r="E234" s="55">
        <v>5.0407216100000003</v>
      </c>
      <c r="F234" s="55">
        <v>-89.542947749999996</v>
      </c>
      <c r="G234" s="55">
        <v>-89.542947749999996</v>
      </c>
      <c r="H234" s="12" t="s">
        <v>109</v>
      </c>
      <c r="I234" s="12" t="s">
        <v>109</v>
      </c>
      <c r="J234" s="12" t="s">
        <v>112</v>
      </c>
    </row>
    <row r="235" spans="1:10" ht="15.75" thickBot="1">
      <c r="A235" s="247"/>
      <c r="B235" s="105">
        <v>9</v>
      </c>
      <c r="C235" s="105">
        <v>397.66646859999997</v>
      </c>
      <c r="D235" s="105">
        <v>374.66861849999998</v>
      </c>
      <c r="E235" s="55">
        <v>5.7832007330000001</v>
      </c>
      <c r="F235" s="55">
        <v>-103.1325279</v>
      </c>
      <c r="G235" s="55">
        <v>-103.1325279</v>
      </c>
      <c r="H235" s="12" t="s">
        <v>109</v>
      </c>
      <c r="I235" s="12" t="s">
        <v>109</v>
      </c>
      <c r="J235" s="12" t="s">
        <v>112</v>
      </c>
    </row>
    <row r="236" spans="1:10" ht="15.75" thickBot="1">
      <c r="A236" s="247"/>
      <c r="B236" s="105">
        <v>7</v>
      </c>
      <c r="C236" s="105">
        <v>354.2805472</v>
      </c>
      <c r="D236" s="105">
        <v>333.83441529999999</v>
      </c>
      <c r="E236" s="55">
        <v>5.7711697769999999</v>
      </c>
      <c r="F236" s="55">
        <v>-102.9114732</v>
      </c>
      <c r="G236" s="55">
        <v>-102.9114732</v>
      </c>
      <c r="H236" s="12" t="s">
        <v>109</v>
      </c>
      <c r="I236" s="12" t="s">
        <v>109</v>
      </c>
      <c r="J236" s="12" t="s">
        <v>112</v>
      </c>
    </row>
    <row r="237" spans="1:10" ht="15.75" thickBot="1">
      <c r="A237" s="247"/>
      <c r="B237" s="105">
        <v>9</v>
      </c>
      <c r="C237" s="105">
        <v>397.66646859999997</v>
      </c>
      <c r="D237" s="105">
        <v>341.14234570000002</v>
      </c>
      <c r="E237" s="55">
        <v>14.21395248</v>
      </c>
      <c r="F237" s="55">
        <v>-265.42208649999998</v>
      </c>
      <c r="G237" s="55">
        <v>-265.42208649999998</v>
      </c>
      <c r="H237" s="12" t="s">
        <v>109</v>
      </c>
      <c r="I237" s="12" t="s">
        <v>109</v>
      </c>
      <c r="J237" s="12" t="s">
        <v>112</v>
      </c>
    </row>
    <row r="238" spans="1:10" ht="15.75" thickBot="1">
      <c r="A238" s="247"/>
      <c r="B238" s="105">
        <v>5</v>
      </c>
      <c r="C238" s="105">
        <v>315.62808530000001</v>
      </c>
      <c r="D238" s="105">
        <v>305.02506069999998</v>
      </c>
      <c r="E238" s="55">
        <v>3.3593412919999999</v>
      </c>
      <c r="F238" s="55">
        <v>-59.157368050000002</v>
      </c>
      <c r="G238" s="55">
        <v>-59.157368050000002</v>
      </c>
      <c r="H238" s="12" t="s">
        <v>109</v>
      </c>
      <c r="I238" s="12" t="s">
        <v>109</v>
      </c>
      <c r="J238" s="12" t="s">
        <v>112</v>
      </c>
    </row>
    <row r="239" spans="1:10" ht="15.75" thickBot="1">
      <c r="A239" s="247"/>
      <c r="B239" s="105">
        <v>2</v>
      </c>
      <c r="C239" s="105">
        <v>265.41052550000001</v>
      </c>
      <c r="D239" s="105">
        <v>246.333339</v>
      </c>
      <c r="E239" s="55">
        <v>7.1878033099999996</v>
      </c>
      <c r="F239" s="55">
        <v>-129.13642659999999</v>
      </c>
      <c r="G239" s="55">
        <v>-129.13642659999999</v>
      </c>
      <c r="H239" s="12" t="s">
        <v>109</v>
      </c>
      <c r="I239" s="12" t="s">
        <v>109</v>
      </c>
      <c r="J239" s="12" t="s">
        <v>112</v>
      </c>
    </row>
    <row r="240" spans="1:10" ht="15.75" thickBot="1">
      <c r="A240" s="247"/>
      <c r="B240" s="105">
        <v>0</v>
      </c>
      <c r="C240" s="105">
        <v>236.45389700000001</v>
      </c>
      <c r="D240" s="105">
        <v>224.4109565</v>
      </c>
      <c r="E240" s="55">
        <v>5.0931452840000002</v>
      </c>
      <c r="F240" s="55">
        <v>-90.498965029999994</v>
      </c>
      <c r="G240" s="55">
        <v>-90.498965029999994</v>
      </c>
      <c r="H240" s="12" t="s">
        <v>109</v>
      </c>
      <c r="I240" s="12" t="s">
        <v>109</v>
      </c>
      <c r="J240" s="12" t="s">
        <v>112</v>
      </c>
    </row>
    <row r="241" spans="1:10" ht="15.75" thickBot="1">
      <c r="A241" s="247"/>
      <c r="B241" s="105">
        <v>2</v>
      </c>
      <c r="C241" s="105">
        <v>265.41052550000001</v>
      </c>
      <c r="D241" s="105">
        <v>252.51328760000001</v>
      </c>
      <c r="E241" s="55">
        <v>4.8593543629999996</v>
      </c>
      <c r="F241" s="55">
        <v>-86.239535079999996</v>
      </c>
      <c r="G241" s="55">
        <v>-86.239535079999996</v>
      </c>
      <c r="H241" s="12" t="s">
        <v>109</v>
      </c>
      <c r="I241" s="12" t="s">
        <v>109</v>
      </c>
      <c r="J241" s="12" t="s">
        <v>112</v>
      </c>
    </row>
    <row r="242" spans="1:10" ht="15.75" thickBot="1">
      <c r="A242" s="247"/>
      <c r="B242" s="105">
        <v>0</v>
      </c>
      <c r="C242" s="105">
        <v>236.45389700000001</v>
      </c>
      <c r="D242" s="105">
        <v>227.35898850000001</v>
      </c>
      <c r="E242" s="55">
        <v>3.8463770570000002</v>
      </c>
      <c r="F242" s="55">
        <v>-67.904252920000005</v>
      </c>
      <c r="G242" s="55">
        <v>-67.904252920000005</v>
      </c>
      <c r="H242" s="12" t="s">
        <v>109</v>
      </c>
      <c r="I242" s="12" t="s">
        <v>109</v>
      </c>
      <c r="J242" s="12" t="s">
        <v>112</v>
      </c>
    </row>
    <row r="243" spans="1:10" ht="15.75" thickBot="1">
      <c r="A243" s="247"/>
      <c r="B243" s="105">
        <v>2</v>
      </c>
      <c r="C243" s="105">
        <v>265.41052550000001</v>
      </c>
      <c r="D243" s="105">
        <v>272.26711510000001</v>
      </c>
      <c r="E243" s="55">
        <v>2.5833902470000001</v>
      </c>
      <c r="F243" s="55">
        <v>44.156587680000001</v>
      </c>
      <c r="G243" s="55">
        <v>44.156587680000001</v>
      </c>
      <c r="H243" s="12" t="s">
        <v>109</v>
      </c>
      <c r="I243" s="12" t="s">
        <v>109</v>
      </c>
      <c r="J243" s="12" t="s">
        <v>109</v>
      </c>
    </row>
    <row r="244" spans="1:10" ht="15.75" thickBot="1">
      <c r="A244" s="247"/>
      <c r="B244" s="105">
        <v>5</v>
      </c>
      <c r="C244" s="105">
        <v>315.62808530000001</v>
      </c>
      <c r="D244" s="105">
        <v>306.1825455</v>
      </c>
      <c r="E244" s="55">
        <v>2.9926170299999999</v>
      </c>
      <c r="F244" s="55">
        <v>-52.60025254</v>
      </c>
      <c r="G244" s="55">
        <v>-52.60025254</v>
      </c>
      <c r="H244" s="12" t="s">
        <v>109</v>
      </c>
      <c r="I244" s="12" t="s">
        <v>109</v>
      </c>
      <c r="J244" s="12" t="s">
        <v>112</v>
      </c>
    </row>
    <row r="245" spans="1:10" ht="15.75" thickBot="1">
      <c r="A245" s="247"/>
      <c r="B245" s="105">
        <v>7</v>
      </c>
      <c r="C245" s="105">
        <v>354.2805472</v>
      </c>
      <c r="D245" s="105">
        <v>338.69156120000002</v>
      </c>
      <c r="E245" s="55">
        <v>4.4001811740000001</v>
      </c>
      <c r="F245" s="55">
        <v>-77.904252920000005</v>
      </c>
      <c r="G245" s="55">
        <v>-77.904252920000005</v>
      </c>
      <c r="H245" s="12" t="s">
        <v>109</v>
      </c>
      <c r="I245" s="12" t="s">
        <v>109</v>
      </c>
      <c r="J245" s="12" t="s">
        <v>112</v>
      </c>
    </row>
    <row r="246" spans="1:10" ht="15.75" thickBot="1">
      <c r="A246" s="247"/>
      <c r="B246" s="105">
        <v>5</v>
      </c>
      <c r="C246" s="105">
        <v>315.62808530000001</v>
      </c>
      <c r="D246" s="105">
        <v>307.9008872</v>
      </c>
      <c r="E246" s="55">
        <v>2.4481972559999998</v>
      </c>
      <c r="F246" s="55">
        <v>-42.911473200000003</v>
      </c>
      <c r="G246" s="55">
        <v>-42.911473200000003</v>
      </c>
      <c r="H246" s="12" t="s">
        <v>109</v>
      </c>
      <c r="I246" s="12" t="s">
        <v>109</v>
      </c>
      <c r="J246" s="12" t="s">
        <v>109</v>
      </c>
    </row>
    <row r="247" spans="1:10" ht="15.75" thickBot="1">
      <c r="A247" s="247"/>
      <c r="B247" s="105">
        <v>7</v>
      </c>
      <c r="C247" s="105">
        <v>354.2805472</v>
      </c>
      <c r="D247" s="105">
        <v>340.65358149999997</v>
      </c>
      <c r="E247" s="55">
        <v>3.8463770570000002</v>
      </c>
      <c r="F247" s="55">
        <v>-67.904252920000005</v>
      </c>
      <c r="G247" s="55">
        <v>-67.904252920000005</v>
      </c>
      <c r="H247" s="12" t="s">
        <v>109</v>
      </c>
      <c r="I247" s="12" t="s">
        <v>109</v>
      </c>
      <c r="J247" s="12" t="s">
        <v>112</v>
      </c>
    </row>
    <row r="248" spans="1:10" ht="15.75" thickBot="1">
      <c r="A248" s="247"/>
      <c r="B248" s="105">
        <v>9</v>
      </c>
      <c r="C248" s="105">
        <v>397.66646859999997</v>
      </c>
      <c r="D248" s="105">
        <v>376.88717200000002</v>
      </c>
      <c r="E248" s="55">
        <v>5.2253077169999997</v>
      </c>
      <c r="F248" s="55">
        <v>-92.911473200000003</v>
      </c>
      <c r="G248" s="55">
        <v>-92.911473200000003</v>
      </c>
      <c r="H248" s="12" t="s">
        <v>109</v>
      </c>
      <c r="I248" s="12" t="s">
        <v>109</v>
      </c>
      <c r="J248" s="12" t="s">
        <v>112</v>
      </c>
    </row>
    <row r="249" spans="1:10" ht="15.75" thickBot="1">
      <c r="A249" s="247"/>
      <c r="B249" s="105">
        <v>7</v>
      </c>
      <c r="C249" s="105">
        <v>354.2805472</v>
      </c>
      <c r="D249" s="105">
        <v>345.05861060000001</v>
      </c>
      <c r="E249" s="55">
        <v>2.6030039399999998</v>
      </c>
      <c r="F249" s="55">
        <v>-45.660981380000003</v>
      </c>
      <c r="G249" s="55">
        <v>-45.660981380000003</v>
      </c>
      <c r="H249" s="12" t="s">
        <v>109</v>
      </c>
      <c r="I249" s="12" t="s">
        <v>109</v>
      </c>
      <c r="J249" s="12" t="s">
        <v>109</v>
      </c>
    </row>
    <row r="250" spans="1:10" ht="15.75" thickBot="1">
      <c r="A250" s="247"/>
      <c r="B250" s="105">
        <v>5</v>
      </c>
      <c r="C250" s="105">
        <v>315.62808530000001</v>
      </c>
      <c r="D250" s="105">
        <v>311.47852319999998</v>
      </c>
      <c r="E250" s="55">
        <v>1.3146999079999999</v>
      </c>
      <c r="F250" s="55">
        <v>-22.9114732</v>
      </c>
      <c r="G250" s="55">
        <v>-22.9114732</v>
      </c>
      <c r="H250" s="12" t="s">
        <v>109</v>
      </c>
      <c r="I250" s="12" t="s">
        <v>109</v>
      </c>
      <c r="J250" s="12" t="s">
        <v>109</v>
      </c>
    </row>
    <row r="251" spans="1:10" ht="15.75" thickBot="1">
      <c r="A251" s="247"/>
      <c r="B251" s="105">
        <v>2</v>
      </c>
      <c r="C251" s="105">
        <v>265.41052550000001</v>
      </c>
      <c r="D251" s="105">
        <v>248.77464839999999</v>
      </c>
      <c r="E251" s="55">
        <v>6.267979424</v>
      </c>
      <c r="F251" s="55">
        <v>-112.06333410000001</v>
      </c>
      <c r="G251" s="55">
        <v>-112.06333410000001</v>
      </c>
      <c r="H251" s="12" t="s">
        <v>109</v>
      </c>
      <c r="I251" s="12" t="s">
        <v>109</v>
      </c>
      <c r="J251" s="12" t="s">
        <v>112</v>
      </c>
    </row>
    <row r="252" spans="1:10" ht="15.75" thickBot="1">
      <c r="A252" s="247"/>
      <c r="B252" s="105">
        <v>0</v>
      </c>
      <c r="C252" s="105">
        <v>236.45389700000001</v>
      </c>
      <c r="D252" s="105">
        <v>229.3365063</v>
      </c>
      <c r="E252" s="55">
        <v>3.0100542950000002</v>
      </c>
      <c r="F252" s="55">
        <v>-52.911473200000003</v>
      </c>
      <c r="G252" s="55">
        <v>-52.911473200000003</v>
      </c>
      <c r="H252" s="12" t="s">
        <v>109</v>
      </c>
      <c r="I252" s="12" t="s">
        <v>109</v>
      </c>
      <c r="J252" s="12" t="s">
        <v>112</v>
      </c>
    </row>
    <row r="253" spans="1:10" ht="15.75" thickBot="1">
      <c r="A253" s="247"/>
      <c r="B253" s="105">
        <v>5</v>
      </c>
      <c r="C253" s="105">
        <v>315.62808530000001</v>
      </c>
      <c r="D253" s="105">
        <v>361.2491971</v>
      </c>
      <c r="E253" s="55">
        <v>14.454072330000001</v>
      </c>
      <c r="F253" s="55">
        <v>233.72255469999999</v>
      </c>
      <c r="G253" s="55">
        <v>233.72255469999999</v>
      </c>
      <c r="H253" s="12" t="s">
        <v>109</v>
      </c>
      <c r="I253" s="12" t="s">
        <v>109</v>
      </c>
      <c r="J253" s="12" t="s">
        <v>112</v>
      </c>
    </row>
    <row r="254" spans="1:10" ht="15.75" thickBot="1">
      <c r="A254" s="247"/>
      <c r="B254" s="105">
        <v>7</v>
      </c>
      <c r="C254" s="105">
        <v>354.2805472</v>
      </c>
      <c r="D254" s="105">
        <v>306.20369540000002</v>
      </c>
      <c r="E254" s="55">
        <v>13.57027705</v>
      </c>
      <c r="F254" s="55">
        <v>-252.48066990000001</v>
      </c>
      <c r="G254" s="55">
        <v>-252.48066990000001</v>
      </c>
      <c r="H254" s="12" t="s">
        <v>109</v>
      </c>
      <c r="I254" s="12" t="s">
        <v>109</v>
      </c>
      <c r="J254" s="12" t="s">
        <v>112</v>
      </c>
    </row>
    <row r="255" spans="1:10" ht="15.75" thickBot="1">
      <c r="A255" s="247"/>
      <c r="B255" s="105">
        <v>5</v>
      </c>
      <c r="C255" s="105">
        <v>315.62808530000001</v>
      </c>
      <c r="D255" s="105">
        <v>317.1048419</v>
      </c>
      <c r="E255" s="55">
        <v>0.46787868500000002</v>
      </c>
      <c r="F255" s="55">
        <v>8.0811847490000002</v>
      </c>
      <c r="G255" s="55">
        <v>8.0811847490000002</v>
      </c>
      <c r="H255" s="12" t="s">
        <v>109</v>
      </c>
      <c r="I255" s="12" t="s">
        <v>109</v>
      </c>
      <c r="J255" s="12" t="s">
        <v>109</v>
      </c>
    </row>
    <row r="256" spans="1:10" ht="15.75" thickBot="1">
      <c r="A256" s="247"/>
      <c r="B256" s="105">
        <v>5</v>
      </c>
      <c r="C256" s="105">
        <v>315.62808530000001</v>
      </c>
      <c r="D256" s="105">
        <v>342.64076119999999</v>
      </c>
      <c r="E256" s="55">
        <v>8.5583879080000003</v>
      </c>
      <c r="F256" s="55">
        <v>142.16544239999999</v>
      </c>
      <c r="G256" s="55">
        <v>142.16544239999999</v>
      </c>
      <c r="H256" s="12" t="s">
        <v>109</v>
      </c>
      <c r="I256" s="12" t="s">
        <v>109</v>
      </c>
      <c r="J256" s="12" t="s">
        <v>112</v>
      </c>
    </row>
    <row r="257" spans="1:10" ht="15.75" thickBot="1">
      <c r="A257" s="248"/>
      <c r="B257" s="105">
        <v>2</v>
      </c>
      <c r="C257" s="105">
        <v>265.41052550000001</v>
      </c>
      <c r="D257" s="105"/>
      <c r="E257" s="55"/>
      <c r="F257" s="55"/>
      <c r="G257" s="55"/>
      <c r="H257" s="12" t="s">
        <v>112</v>
      </c>
      <c r="I257" s="12" t="s">
        <v>112</v>
      </c>
      <c r="J257" s="12" t="s">
        <v>112</v>
      </c>
    </row>
  </sheetData>
  <mergeCells count="20">
    <mergeCell ref="A196:A226"/>
    <mergeCell ref="A227:A257"/>
    <mergeCell ref="A1:J1"/>
    <mergeCell ref="A112:J112"/>
    <mergeCell ref="A70:J70"/>
    <mergeCell ref="A52:J52"/>
    <mergeCell ref="A163:J163"/>
    <mergeCell ref="A85:A97"/>
    <mergeCell ref="A98:A110"/>
    <mergeCell ref="A114:A129"/>
    <mergeCell ref="A130:A145"/>
    <mergeCell ref="A146:A161"/>
    <mergeCell ref="A54:A58"/>
    <mergeCell ref="A59:A63"/>
    <mergeCell ref="A64:A68"/>
    <mergeCell ref="A72:A84"/>
    <mergeCell ref="A3:A18"/>
    <mergeCell ref="A19:A34"/>
    <mergeCell ref="A35:A50"/>
    <mergeCell ref="A165:A195"/>
  </mergeCells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357727-457F-4F52-BB5E-721581CBBD88}">
  <dimension ref="A1:N176"/>
  <sheetViews>
    <sheetView topLeftCell="A171" workbookViewId="0">
      <selection activeCell="N176" sqref="A2:N176"/>
    </sheetView>
  </sheetViews>
  <sheetFormatPr defaultRowHeight="15"/>
  <cols>
    <col min="5" max="6" width="9.42578125" bestFit="1" customWidth="1"/>
    <col min="7" max="7" width="10.5703125" bestFit="1" customWidth="1"/>
    <col min="8" max="8" width="10.140625" bestFit="1" customWidth="1"/>
  </cols>
  <sheetData>
    <row r="1" spans="1:14" ht="15.75" thickBot="1">
      <c r="A1" s="11"/>
    </row>
    <row r="2" spans="1:14" ht="15.75" thickBot="1">
      <c r="A2" s="256" t="s">
        <v>12</v>
      </c>
      <c r="B2" s="256"/>
      <c r="C2" s="256"/>
      <c r="D2" s="256"/>
      <c r="E2" s="256"/>
      <c r="F2" s="256"/>
      <c r="G2" s="256"/>
      <c r="H2" s="256"/>
      <c r="I2" s="256"/>
      <c r="J2" s="256"/>
      <c r="K2" s="256"/>
      <c r="L2" s="256"/>
      <c r="M2" s="256"/>
      <c r="N2" s="256"/>
    </row>
    <row r="3" spans="1:14" ht="24.75" thickBot="1">
      <c r="A3" s="95" t="s">
        <v>146</v>
      </c>
      <c r="B3" s="95" t="s">
        <v>13</v>
      </c>
      <c r="C3" s="95" t="s">
        <v>14</v>
      </c>
      <c r="D3" s="95" t="s">
        <v>15</v>
      </c>
      <c r="E3" s="95" t="s">
        <v>16</v>
      </c>
      <c r="F3" s="95" t="s">
        <v>17</v>
      </c>
      <c r="G3" s="95" t="s">
        <v>18</v>
      </c>
      <c r="H3" s="95" t="s">
        <v>19</v>
      </c>
      <c r="I3" s="95" t="s">
        <v>20</v>
      </c>
      <c r="J3" s="95" t="s">
        <v>21</v>
      </c>
      <c r="K3" s="95" t="s">
        <v>22</v>
      </c>
      <c r="L3" s="95" t="s">
        <v>23</v>
      </c>
      <c r="M3" s="95" t="s">
        <v>24</v>
      </c>
      <c r="N3" s="95" t="s">
        <v>25</v>
      </c>
    </row>
    <row r="4" spans="1:14" ht="15.75" thickBot="1">
      <c r="A4" s="253" t="s">
        <v>26</v>
      </c>
      <c r="B4" s="32">
        <v>1</v>
      </c>
      <c r="C4" s="111">
        <v>202.7721488</v>
      </c>
      <c r="D4" s="105">
        <v>203.5</v>
      </c>
      <c r="E4" s="55">
        <v>1.1716449499999999</v>
      </c>
      <c r="F4" s="55">
        <v>3.589503E-3</v>
      </c>
      <c r="G4" s="55">
        <v>6.2031427030000001</v>
      </c>
      <c r="H4" s="55">
        <v>6.2031427030000001</v>
      </c>
      <c r="I4" s="12" t="b">
        <v>1</v>
      </c>
      <c r="J4" s="12" t="b">
        <v>0</v>
      </c>
      <c r="K4" s="12" t="b">
        <v>1</v>
      </c>
      <c r="L4" s="12" t="b">
        <v>1</v>
      </c>
      <c r="M4" s="12" t="b">
        <v>1</v>
      </c>
      <c r="N4" s="12" t="b">
        <v>1</v>
      </c>
    </row>
    <row r="5" spans="1:14" ht="15.75" thickBot="1">
      <c r="A5" s="254"/>
      <c r="B5" s="32">
        <v>2</v>
      </c>
      <c r="C5" s="111">
        <v>214.82960829999999</v>
      </c>
      <c r="D5" s="105">
        <v>210</v>
      </c>
      <c r="E5" s="55">
        <v>1.2042907469999999</v>
      </c>
      <c r="F5" s="55">
        <v>2.2481111000000002E-2</v>
      </c>
      <c r="G5" s="55">
        <v>-39.36421722</v>
      </c>
      <c r="H5" s="55">
        <v>39.36421722</v>
      </c>
      <c r="I5" s="12" t="b">
        <v>1</v>
      </c>
      <c r="J5" s="12" t="b">
        <v>0</v>
      </c>
      <c r="K5" s="12" t="b">
        <v>1</v>
      </c>
      <c r="L5" s="12" t="b">
        <v>1</v>
      </c>
      <c r="M5" s="12" t="b">
        <v>0</v>
      </c>
      <c r="N5" s="12" t="b">
        <v>1</v>
      </c>
    </row>
    <row r="6" spans="1:14" ht="15.75" thickBot="1">
      <c r="A6" s="254"/>
      <c r="B6" s="32">
        <v>3</v>
      </c>
      <c r="C6" s="111">
        <v>227.60404149999999</v>
      </c>
      <c r="D6" s="105">
        <v>226</v>
      </c>
      <c r="E6" s="55">
        <v>1.1470859520000001</v>
      </c>
      <c r="F6" s="55">
        <v>7.0475090000000004E-3</v>
      </c>
      <c r="G6" s="55">
        <v>-12.24408352</v>
      </c>
      <c r="H6" s="55">
        <v>12.24408352</v>
      </c>
      <c r="I6" s="12" t="b">
        <v>1</v>
      </c>
      <c r="J6" s="12" t="b">
        <v>0</v>
      </c>
      <c r="K6" s="12" t="b">
        <v>1</v>
      </c>
      <c r="L6" s="12" t="b">
        <v>1</v>
      </c>
      <c r="M6" s="12" t="b">
        <v>1</v>
      </c>
      <c r="N6" s="12" t="b">
        <v>1</v>
      </c>
    </row>
    <row r="7" spans="1:14" ht="15.75" thickBot="1">
      <c r="A7" s="254"/>
      <c r="B7" s="32">
        <v>4</v>
      </c>
      <c r="C7" s="111">
        <v>241.13808209999999</v>
      </c>
      <c r="D7" s="105">
        <v>237</v>
      </c>
      <c r="E7" s="55">
        <v>1.2819128470000001</v>
      </c>
      <c r="F7" s="55">
        <v>1.7160633000000002E-2</v>
      </c>
      <c r="G7" s="55">
        <v>-29.966939740000001</v>
      </c>
      <c r="H7" s="55">
        <v>29.966939740000001</v>
      </c>
      <c r="I7" s="12" t="b">
        <v>1</v>
      </c>
      <c r="J7" s="12" t="b">
        <v>0</v>
      </c>
      <c r="K7" s="12" t="b">
        <v>1</v>
      </c>
      <c r="L7" s="12" t="b">
        <v>1</v>
      </c>
      <c r="M7" s="12" t="b">
        <v>1</v>
      </c>
      <c r="N7" s="12" t="b">
        <v>1</v>
      </c>
    </row>
    <row r="8" spans="1:14" ht="15.75" thickBot="1">
      <c r="A8" s="254"/>
      <c r="B8" s="32">
        <v>5</v>
      </c>
      <c r="C8" s="111">
        <v>255.47689869999999</v>
      </c>
      <c r="D8" s="105">
        <v>246</v>
      </c>
      <c r="E8" s="55">
        <v>1.1104695</v>
      </c>
      <c r="F8" s="55">
        <v>3.7094934000000003E-2</v>
      </c>
      <c r="G8" s="55">
        <v>-65.44143201</v>
      </c>
      <c r="H8" s="55">
        <v>65.44143201</v>
      </c>
      <c r="I8" s="12" t="b">
        <v>1</v>
      </c>
      <c r="J8" s="12" t="b">
        <v>0</v>
      </c>
      <c r="K8" s="12" t="b">
        <v>1</v>
      </c>
      <c r="L8" s="12" t="b">
        <v>0</v>
      </c>
      <c r="M8" s="12" t="b">
        <v>0</v>
      </c>
      <c r="N8" s="12" t="b">
        <v>0</v>
      </c>
    </row>
    <row r="9" spans="1:14" ht="15.75" thickBot="1">
      <c r="A9" s="254"/>
      <c r="B9" s="32">
        <v>6</v>
      </c>
      <c r="C9" s="111">
        <v>270.66834560000001</v>
      </c>
      <c r="D9" s="105">
        <v>263</v>
      </c>
      <c r="E9" s="55">
        <v>1.1574852410000001</v>
      </c>
      <c r="F9" s="55">
        <v>2.8331149999999999E-2</v>
      </c>
      <c r="G9" s="55">
        <v>-49.75605127</v>
      </c>
      <c r="H9" s="55">
        <v>49.75605127</v>
      </c>
      <c r="I9" s="12" t="b">
        <v>1</v>
      </c>
      <c r="J9" s="12" t="b">
        <v>0</v>
      </c>
      <c r="K9" s="12" t="b">
        <v>1</v>
      </c>
      <c r="L9" s="12" t="b">
        <v>0</v>
      </c>
      <c r="M9" s="12" t="b">
        <v>0</v>
      </c>
      <c r="N9" s="12" t="b">
        <v>1</v>
      </c>
    </row>
    <row r="10" spans="1:14" ht="15.75" thickBot="1">
      <c r="A10" s="254"/>
      <c r="B10" s="32">
        <v>7</v>
      </c>
      <c r="C10" s="111">
        <v>286.76312300000001</v>
      </c>
      <c r="D10" s="105">
        <v>281</v>
      </c>
      <c r="E10" s="55">
        <v>1.4187301379999999</v>
      </c>
      <c r="F10" s="55">
        <v>2.0097154999999998E-2</v>
      </c>
      <c r="G10" s="55">
        <v>-35.147254150000002</v>
      </c>
      <c r="H10" s="55">
        <v>35.147254150000002</v>
      </c>
      <c r="I10" s="12" t="b">
        <v>1</v>
      </c>
      <c r="J10" s="12" t="b">
        <v>0</v>
      </c>
      <c r="K10" s="12" t="b">
        <v>1</v>
      </c>
      <c r="L10" s="12" t="b">
        <v>1</v>
      </c>
      <c r="M10" s="12" t="b">
        <v>0</v>
      </c>
      <c r="N10" s="12" t="b">
        <v>1</v>
      </c>
    </row>
    <row r="11" spans="1:14" ht="15.75" thickBot="1">
      <c r="A11" s="254"/>
      <c r="B11" s="32">
        <v>9</v>
      </c>
      <c r="C11" s="111">
        <v>303.81494559999999</v>
      </c>
      <c r="D11" s="105">
        <v>311.5</v>
      </c>
      <c r="E11" s="55">
        <v>1.1944602520000001</v>
      </c>
      <c r="F11" s="55">
        <v>2.5295181999999999E-2</v>
      </c>
      <c r="G11" s="55">
        <v>43.247185209999998</v>
      </c>
      <c r="H11" s="55">
        <v>43.247185209999998</v>
      </c>
      <c r="I11" s="12" t="b">
        <v>1</v>
      </c>
      <c r="J11" s="12" t="b">
        <v>0</v>
      </c>
      <c r="K11" s="12" t="b">
        <v>1</v>
      </c>
      <c r="L11" s="12" t="b">
        <v>0</v>
      </c>
      <c r="M11" s="12" t="b">
        <v>0</v>
      </c>
      <c r="N11" s="12" t="b">
        <v>1</v>
      </c>
    </row>
    <row r="12" spans="1:14" ht="15.75" thickBot="1">
      <c r="A12" s="254"/>
      <c r="B12" s="32">
        <v>10</v>
      </c>
      <c r="C12" s="111">
        <v>321.88072240000002</v>
      </c>
      <c r="D12" s="105">
        <v>322</v>
      </c>
      <c r="E12" s="55">
        <v>1.343334308</v>
      </c>
      <c r="F12" s="55">
        <v>3.70565E-4</v>
      </c>
      <c r="G12" s="55">
        <v>0.64141532099999998</v>
      </c>
      <c r="H12" s="55">
        <v>0.64141532099999998</v>
      </c>
      <c r="I12" s="12" t="b">
        <v>1</v>
      </c>
      <c r="J12" s="12" t="b">
        <v>0</v>
      </c>
      <c r="K12" s="12" t="b">
        <v>1</v>
      </c>
      <c r="L12" s="12" t="b">
        <v>1</v>
      </c>
      <c r="M12" s="12" t="b">
        <v>1</v>
      </c>
      <c r="N12" s="12" t="b">
        <v>1</v>
      </c>
    </row>
    <row r="13" spans="1:14" ht="15.75" thickBot="1">
      <c r="A13" s="254"/>
      <c r="B13" s="32">
        <v>11</v>
      </c>
      <c r="C13" s="111">
        <v>341.0207461</v>
      </c>
      <c r="D13" s="105">
        <v>347</v>
      </c>
      <c r="E13" s="55">
        <v>1.143135357</v>
      </c>
      <c r="F13" s="55">
        <v>1.7533402E-2</v>
      </c>
      <c r="G13" s="55">
        <v>30.091384680000001</v>
      </c>
      <c r="H13" s="55">
        <v>30.091384680000001</v>
      </c>
      <c r="I13" s="12" t="b">
        <v>1</v>
      </c>
      <c r="J13" s="12" t="b">
        <v>0</v>
      </c>
      <c r="K13" s="12" t="b">
        <v>1</v>
      </c>
      <c r="L13" s="12" t="b">
        <v>1</v>
      </c>
      <c r="M13" s="12" t="b">
        <v>0</v>
      </c>
      <c r="N13" s="12" t="b">
        <v>1</v>
      </c>
    </row>
    <row r="14" spans="1:14" ht="15.75" thickBot="1">
      <c r="A14" s="254"/>
      <c r="B14" s="32">
        <v>12</v>
      </c>
      <c r="C14" s="111">
        <v>361.29889500000002</v>
      </c>
      <c r="D14" s="105">
        <v>366.5</v>
      </c>
      <c r="E14" s="55">
        <v>1.1823005339999999</v>
      </c>
      <c r="F14" s="55">
        <v>1.4395574E-2</v>
      </c>
      <c r="G14" s="55">
        <v>24.744427340000001</v>
      </c>
      <c r="H14" s="55">
        <v>24.744427340000001</v>
      </c>
      <c r="I14" s="12" t="b">
        <v>1</v>
      </c>
      <c r="J14" s="12" t="b">
        <v>0</v>
      </c>
      <c r="K14" s="12" t="b">
        <v>1</v>
      </c>
      <c r="L14" s="12" t="b">
        <v>1</v>
      </c>
      <c r="M14" s="12" t="b">
        <v>1</v>
      </c>
      <c r="N14" s="12" t="b">
        <v>1</v>
      </c>
    </row>
    <row r="15" spans="1:14" ht="15.75" thickBot="1">
      <c r="A15" s="254"/>
      <c r="B15" s="32">
        <v>13</v>
      </c>
      <c r="C15" s="111">
        <v>382.7828452</v>
      </c>
      <c r="D15" s="105">
        <v>391</v>
      </c>
      <c r="E15" s="55">
        <v>1.1619336659999999</v>
      </c>
      <c r="F15" s="55">
        <v>2.1466883999999999E-2</v>
      </c>
      <c r="G15" s="55">
        <v>36.770918350000002</v>
      </c>
      <c r="H15" s="55">
        <v>36.770918350000002</v>
      </c>
      <c r="I15" s="12" t="b">
        <v>1</v>
      </c>
      <c r="J15" s="12" t="b">
        <v>0</v>
      </c>
      <c r="K15" s="12" t="b">
        <v>1</v>
      </c>
      <c r="L15" s="12" t="b">
        <v>1</v>
      </c>
      <c r="M15" s="12" t="b">
        <v>0</v>
      </c>
      <c r="N15" s="12" t="b">
        <v>1</v>
      </c>
    </row>
    <row r="16" spans="1:14" ht="15.75" thickBot="1">
      <c r="A16" s="254"/>
      <c r="B16" s="32">
        <v>14</v>
      </c>
      <c r="C16" s="111">
        <v>405.54429770000002</v>
      </c>
      <c r="D16" s="105">
        <v>415</v>
      </c>
      <c r="E16" s="55">
        <v>1.210616253</v>
      </c>
      <c r="F16" s="55">
        <v>2.3316078E-2</v>
      </c>
      <c r="G16" s="55">
        <v>39.902193060000002</v>
      </c>
      <c r="H16" s="55">
        <v>39.902193060000002</v>
      </c>
      <c r="I16" s="12" t="b">
        <v>1</v>
      </c>
      <c r="J16" s="12" t="b">
        <v>0</v>
      </c>
      <c r="K16" s="12" t="b">
        <v>1</v>
      </c>
      <c r="L16" s="12" t="b">
        <v>1</v>
      </c>
      <c r="M16" s="12" t="b">
        <v>0</v>
      </c>
      <c r="N16" s="12" t="b">
        <v>1</v>
      </c>
    </row>
    <row r="17" spans="1:14" ht="15.75" thickBot="1">
      <c r="A17" s="254"/>
      <c r="B17" s="32">
        <v>15</v>
      </c>
      <c r="C17" s="111">
        <v>429.65921650000001</v>
      </c>
      <c r="D17" s="105">
        <v>429.5</v>
      </c>
      <c r="E17" s="55">
        <v>1.214714265</v>
      </c>
      <c r="F17" s="55">
        <v>3.70565E-4</v>
      </c>
      <c r="G17" s="55">
        <v>-0.64165305100000003</v>
      </c>
      <c r="H17" s="55">
        <v>0.64165305100000003</v>
      </c>
      <c r="I17" s="12" t="b">
        <v>1</v>
      </c>
      <c r="J17" s="12" t="b">
        <v>0</v>
      </c>
      <c r="K17" s="12" t="b">
        <v>1</v>
      </c>
      <c r="L17" s="12" t="b">
        <v>1</v>
      </c>
      <c r="M17" s="12" t="b">
        <v>1</v>
      </c>
      <c r="N17" s="12" t="b">
        <v>1</v>
      </c>
    </row>
    <row r="18" spans="1:14" ht="15.75" thickBot="1">
      <c r="A18" s="254"/>
      <c r="B18" s="32">
        <v>16</v>
      </c>
      <c r="C18" s="111">
        <v>455.20808310000001</v>
      </c>
      <c r="D18" s="105">
        <v>455</v>
      </c>
      <c r="E18" s="55">
        <v>1.2327521850000001</v>
      </c>
      <c r="F18" s="55">
        <v>4.5711599999999998E-4</v>
      </c>
      <c r="G18" s="55">
        <v>-0.79155631400000004</v>
      </c>
      <c r="H18" s="55">
        <v>0.79155631400000004</v>
      </c>
      <c r="I18" s="12" t="b">
        <v>1</v>
      </c>
      <c r="J18" s="12" t="b">
        <v>0</v>
      </c>
      <c r="K18" s="12" t="b">
        <v>1</v>
      </c>
      <c r="L18" s="12" t="b">
        <v>1</v>
      </c>
      <c r="M18" s="12" t="b">
        <v>1</v>
      </c>
      <c r="N18" s="12" t="b">
        <v>1</v>
      </c>
    </row>
    <row r="19" spans="1:14" ht="15.75" thickBot="1">
      <c r="A19" s="255"/>
      <c r="B19" s="32">
        <v>17</v>
      </c>
      <c r="C19" s="111">
        <v>482.2761643</v>
      </c>
      <c r="D19" s="105">
        <v>488.5</v>
      </c>
      <c r="E19" s="55">
        <v>1.117600309</v>
      </c>
      <c r="F19" s="55">
        <v>1.2905128E-2</v>
      </c>
      <c r="G19" s="55">
        <v>22.19886395</v>
      </c>
      <c r="H19" s="55">
        <v>22.19886395</v>
      </c>
      <c r="I19" s="12" t="b">
        <v>1</v>
      </c>
      <c r="J19" s="12" t="b">
        <v>0</v>
      </c>
      <c r="K19" s="12" t="b">
        <v>1</v>
      </c>
      <c r="L19" s="12" t="b">
        <v>1</v>
      </c>
      <c r="M19" s="12" t="b">
        <v>1</v>
      </c>
      <c r="N19" s="12" t="b">
        <v>1</v>
      </c>
    </row>
    <row r="20" spans="1:14" ht="15.75" thickBot="1">
      <c r="A20" s="253" t="s">
        <v>27</v>
      </c>
      <c r="B20" s="32">
        <v>1</v>
      </c>
      <c r="C20" s="111">
        <v>202.34752449999999</v>
      </c>
      <c r="D20" s="105">
        <v>200</v>
      </c>
      <c r="E20" s="55">
        <v>0.09</v>
      </c>
      <c r="F20" s="55">
        <v>1.1601449E-2</v>
      </c>
      <c r="G20" s="55">
        <v>-20.20223957</v>
      </c>
      <c r="H20" s="55">
        <v>20.20223957</v>
      </c>
      <c r="I20" s="12" t="b">
        <v>1</v>
      </c>
      <c r="J20" s="12" t="b">
        <v>0</v>
      </c>
      <c r="K20" s="12" t="b">
        <v>1</v>
      </c>
      <c r="L20" s="12" t="b">
        <v>1</v>
      </c>
      <c r="M20" s="12" t="b">
        <v>1</v>
      </c>
      <c r="N20" s="12" t="b">
        <v>1</v>
      </c>
    </row>
    <row r="21" spans="1:14" ht="15.75" thickBot="1">
      <c r="A21" s="254"/>
      <c r="B21" s="32">
        <v>2</v>
      </c>
      <c r="C21" s="111">
        <v>214.37973450000001</v>
      </c>
      <c r="D21" s="105">
        <v>211</v>
      </c>
      <c r="E21" s="55">
        <v>0.24</v>
      </c>
      <c r="F21" s="55">
        <v>1.5765176999999998E-2</v>
      </c>
      <c r="G21" s="55">
        <v>-27.510640850000001</v>
      </c>
      <c r="H21" s="55">
        <v>27.510640850000001</v>
      </c>
      <c r="I21" s="12" t="b">
        <v>1</v>
      </c>
      <c r="J21" s="12" t="b">
        <v>0</v>
      </c>
      <c r="K21" s="12" t="b">
        <v>1</v>
      </c>
      <c r="L21" s="12" t="b">
        <v>1</v>
      </c>
      <c r="M21" s="12" t="b">
        <v>1</v>
      </c>
      <c r="N21" s="12" t="b">
        <v>1</v>
      </c>
    </row>
    <row r="22" spans="1:14" ht="15.75" thickBot="1">
      <c r="A22" s="254"/>
      <c r="B22" s="32">
        <v>3</v>
      </c>
      <c r="C22" s="111">
        <v>227.12741689999999</v>
      </c>
      <c r="D22" s="105">
        <v>227</v>
      </c>
      <c r="E22" s="55">
        <v>0.05</v>
      </c>
      <c r="F22" s="55">
        <v>5.6099299999999997E-4</v>
      </c>
      <c r="G22" s="55">
        <v>-0.97148254599999995</v>
      </c>
      <c r="H22" s="55">
        <v>0.97148254599999995</v>
      </c>
      <c r="I22" s="12" t="b">
        <v>1</v>
      </c>
      <c r="J22" s="12" t="b">
        <v>0</v>
      </c>
      <c r="K22" s="12" t="b">
        <v>1</v>
      </c>
      <c r="L22" s="12" t="b">
        <v>1</v>
      </c>
      <c r="M22" s="12" t="b">
        <v>1</v>
      </c>
      <c r="N22" s="12" t="b">
        <v>1</v>
      </c>
    </row>
    <row r="23" spans="1:14" ht="15.75" thickBot="1">
      <c r="A23" s="254"/>
      <c r="B23" s="32">
        <v>4</v>
      </c>
      <c r="C23" s="111">
        <v>240.63311590000001</v>
      </c>
      <c r="D23" s="105">
        <v>238</v>
      </c>
      <c r="E23" s="55">
        <v>0.13</v>
      </c>
      <c r="F23" s="55">
        <v>1.0942449999999999E-2</v>
      </c>
      <c r="G23" s="55">
        <v>-19.048351329999999</v>
      </c>
      <c r="H23" s="55">
        <v>19.048351329999999</v>
      </c>
      <c r="I23" s="12" t="b">
        <v>1</v>
      </c>
      <c r="J23" s="12" t="b">
        <v>0</v>
      </c>
      <c r="K23" s="12" t="b">
        <v>1</v>
      </c>
      <c r="L23" s="12" t="b">
        <v>1</v>
      </c>
      <c r="M23" s="12" t="b">
        <v>1</v>
      </c>
      <c r="N23" s="12" t="b">
        <v>1</v>
      </c>
    </row>
    <row r="24" spans="1:14" ht="15.75" thickBot="1">
      <c r="A24" s="254"/>
      <c r="B24" s="32">
        <v>5</v>
      </c>
      <c r="C24" s="111">
        <v>254.94190560000001</v>
      </c>
      <c r="D24" s="105">
        <v>246</v>
      </c>
      <c r="E24" s="55">
        <v>0.13</v>
      </c>
      <c r="F24" s="55">
        <v>3.5074287000000003E-2</v>
      </c>
      <c r="G24" s="55">
        <v>-61.812260889999997</v>
      </c>
      <c r="H24" s="55">
        <v>61.812260889999997</v>
      </c>
      <c r="I24" s="12" t="b">
        <v>1</v>
      </c>
      <c r="J24" s="12" t="b">
        <v>0</v>
      </c>
      <c r="K24" s="12" t="b">
        <v>1</v>
      </c>
      <c r="L24" s="12" t="b">
        <v>0</v>
      </c>
      <c r="M24" s="12" t="b">
        <v>0</v>
      </c>
      <c r="N24" s="12" t="b">
        <v>0</v>
      </c>
    </row>
    <row r="25" spans="1:14" ht="15.75" thickBot="1">
      <c r="A25" s="254"/>
      <c r="B25" s="32">
        <v>6</v>
      </c>
      <c r="C25" s="111">
        <v>270.10154019999999</v>
      </c>
      <c r="D25" s="105">
        <v>262</v>
      </c>
      <c r="E25" s="55">
        <v>0.08</v>
      </c>
      <c r="F25" s="55">
        <v>2.9994423999999999E-2</v>
      </c>
      <c r="G25" s="55">
        <v>-52.722065450000002</v>
      </c>
      <c r="H25" s="55">
        <v>52.722065450000002</v>
      </c>
      <c r="I25" s="12" t="b">
        <v>1</v>
      </c>
      <c r="J25" s="12" t="b">
        <v>0</v>
      </c>
      <c r="K25" s="12" t="b">
        <v>1</v>
      </c>
      <c r="L25" s="12" t="b">
        <v>0</v>
      </c>
      <c r="M25" s="12" t="b">
        <v>0</v>
      </c>
      <c r="N25" s="12" t="b">
        <v>0</v>
      </c>
    </row>
    <row r="26" spans="1:14" ht="15.75" thickBot="1">
      <c r="A26" s="254"/>
      <c r="B26" s="32">
        <v>7</v>
      </c>
      <c r="C26" s="111">
        <v>286.16261350000002</v>
      </c>
      <c r="D26" s="105">
        <v>281</v>
      </c>
      <c r="E26" s="55">
        <v>0.21</v>
      </c>
      <c r="F26" s="55">
        <v>1.8040838999999999E-2</v>
      </c>
      <c r="G26" s="55">
        <v>-31.51808303</v>
      </c>
      <c r="H26" s="55">
        <v>31.51808303</v>
      </c>
      <c r="I26" s="12" t="b">
        <v>1</v>
      </c>
      <c r="J26" s="12" t="b">
        <v>0</v>
      </c>
      <c r="K26" s="12" t="b">
        <v>1</v>
      </c>
      <c r="L26" s="12" t="b">
        <v>1</v>
      </c>
      <c r="M26" s="12" t="b">
        <v>0</v>
      </c>
      <c r="N26" s="12" t="b">
        <v>1</v>
      </c>
    </row>
    <row r="27" spans="1:14" ht="15.75" thickBot="1">
      <c r="A27" s="254"/>
      <c r="B27" s="32">
        <v>9</v>
      </c>
      <c r="C27" s="111">
        <v>303.17872799999998</v>
      </c>
      <c r="D27" s="105">
        <v>312</v>
      </c>
      <c r="E27" s="55">
        <v>0.09</v>
      </c>
      <c r="F27" s="55">
        <v>2.9095946000000001E-2</v>
      </c>
      <c r="G27" s="55">
        <v>49.652995339999997</v>
      </c>
      <c r="H27" s="55">
        <v>49.652995339999997</v>
      </c>
      <c r="I27" s="12" t="b">
        <v>1</v>
      </c>
      <c r="J27" s="12" t="b">
        <v>0</v>
      </c>
      <c r="K27" s="12" t="b">
        <v>1</v>
      </c>
      <c r="L27" s="12" t="b">
        <v>0</v>
      </c>
      <c r="M27" s="12" t="b">
        <v>0</v>
      </c>
      <c r="N27" s="12" t="b">
        <v>1</v>
      </c>
    </row>
    <row r="28" spans="1:14" ht="15.75" thickBot="1">
      <c r="A28" s="254"/>
      <c r="B28" s="32">
        <v>10</v>
      </c>
      <c r="C28" s="111">
        <v>321.20667329999998</v>
      </c>
      <c r="D28" s="105">
        <v>323</v>
      </c>
      <c r="E28" s="55">
        <v>0.05</v>
      </c>
      <c r="F28" s="55">
        <v>5.5830929999999999E-3</v>
      </c>
      <c r="G28" s="55">
        <v>9.6387583370000005</v>
      </c>
      <c r="H28" s="55">
        <v>9.6387583370000005</v>
      </c>
      <c r="I28" s="12" t="b">
        <v>1</v>
      </c>
      <c r="J28" s="12" t="b">
        <v>0</v>
      </c>
      <c r="K28" s="12" t="b">
        <v>1</v>
      </c>
      <c r="L28" s="12" t="b">
        <v>1</v>
      </c>
      <c r="M28" s="12" t="b">
        <v>1</v>
      </c>
      <c r="N28" s="12" t="b">
        <v>1</v>
      </c>
    </row>
    <row r="29" spans="1:14" ht="15.75" thickBot="1">
      <c r="A29" s="254"/>
      <c r="B29" s="32">
        <v>11</v>
      </c>
      <c r="C29" s="111">
        <v>340.30661600000002</v>
      </c>
      <c r="D29" s="105">
        <v>348</v>
      </c>
      <c r="E29" s="55">
        <v>7.0000000000000007E-2</v>
      </c>
      <c r="F29" s="55">
        <v>2.2607212000000002E-2</v>
      </c>
      <c r="G29" s="55">
        <v>38.702527719999999</v>
      </c>
      <c r="H29" s="55">
        <v>38.702527719999999</v>
      </c>
      <c r="I29" s="12" t="b">
        <v>1</v>
      </c>
      <c r="J29" s="12" t="b">
        <v>0</v>
      </c>
      <c r="K29" s="12" t="b">
        <v>1</v>
      </c>
      <c r="L29" s="12" t="b">
        <v>1</v>
      </c>
      <c r="M29" s="12" t="b">
        <v>0</v>
      </c>
      <c r="N29" s="12" t="b">
        <v>1</v>
      </c>
    </row>
    <row r="30" spans="1:14" ht="15.75" thickBot="1">
      <c r="A30" s="254"/>
      <c r="B30" s="32">
        <v>12</v>
      </c>
      <c r="C30" s="111">
        <v>360.54230050000001</v>
      </c>
      <c r="D30" s="105">
        <v>368</v>
      </c>
      <c r="E30" s="55">
        <v>0.1</v>
      </c>
      <c r="F30" s="55">
        <v>2.0684673000000001E-2</v>
      </c>
      <c r="G30" s="55">
        <v>35.444679970000003</v>
      </c>
      <c r="H30" s="55">
        <v>35.444679970000003</v>
      </c>
      <c r="I30" s="12" t="b">
        <v>1</v>
      </c>
      <c r="J30" s="12" t="b">
        <v>0</v>
      </c>
      <c r="K30" s="12" t="b">
        <v>1</v>
      </c>
      <c r="L30" s="12" t="b">
        <v>1</v>
      </c>
      <c r="M30" s="12" t="b">
        <v>0</v>
      </c>
      <c r="N30" s="12" t="b">
        <v>1</v>
      </c>
    </row>
    <row r="31" spans="1:14" ht="15.75" thickBot="1">
      <c r="A31" s="254"/>
      <c r="B31" s="32">
        <v>13</v>
      </c>
      <c r="C31" s="111">
        <v>381.98126130000003</v>
      </c>
      <c r="D31" s="105">
        <v>390</v>
      </c>
      <c r="E31" s="55">
        <v>0.16</v>
      </c>
      <c r="F31" s="55">
        <v>2.0992492000000001E-2</v>
      </c>
      <c r="G31" s="55">
        <v>35.966709199999997</v>
      </c>
      <c r="H31" s="55">
        <v>35.966709199999997</v>
      </c>
      <c r="I31" s="12" t="b">
        <v>1</v>
      </c>
      <c r="J31" s="12" t="b">
        <v>0</v>
      </c>
      <c r="K31" s="12" t="b">
        <v>1</v>
      </c>
      <c r="L31" s="12" t="b">
        <v>1</v>
      </c>
      <c r="M31" s="12" t="b">
        <v>0</v>
      </c>
      <c r="N31" s="12" t="b">
        <v>1</v>
      </c>
    </row>
    <row r="32" spans="1:14" ht="15.75" thickBot="1">
      <c r="A32" s="254"/>
      <c r="B32" s="32">
        <v>14</v>
      </c>
      <c r="C32" s="111">
        <v>404.69504910000001</v>
      </c>
      <c r="D32" s="105">
        <v>415</v>
      </c>
      <c r="E32" s="55">
        <v>0.09</v>
      </c>
      <c r="F32" s="55">
        <v>2.5463495999999999E-2</v>
      </c>
      <c r="G32" s="55">
        <v>43.531364189999998</v>
      </c>
      <c r="H32" s="55">
        <v>43.531364189999998</v>
      </c>
      <c r="I32" s="12" t="b">
        <v>1</v>
      </c>
      <c r="J32" s="12" t="b">
        <v>0</v>
      </c>
      <c r="K32" s="12" t="b">
        <v>1</v>
      </c>
      <c r="L32" s="12" t="b">
        <v>0</v>
      </c>
      <c r="M32" s="12" t="b">
        <v>0</v>
      </c>
      <c r="N32" s="12" t="b">
        <v>1</v>
      </c>
    </row>
    <row r="33" spans="1:14" ht="15.75" thickBot="1">
      <c r="A33" s="254"/>
      <c r="B33" s="32">
        <v>15</v>
      </c>
      <c r="C33" s="111">
        <v>428.75946900000002</v>
      </c>
      <c r="D33" s="105">
        <v>429</v>
      </c>
      <c r="E33" s="55">
        <v>0.13</v>
      </c>
      <c r="F33" s="55">
        <v>5.6099299999999997E-4</v>
      </c>
      <c r="G33" s="55">
        <v>0.97093770400000001</v>
      </c>
      <c r="H33" s="55">
        <v>0.97093770400000001</v>
      </c>
      <c r="I33" s="12" t="b">
        <v>1</v>
      </c>
      <c r="J33" s="12" t="b">
        <v>0</v>
      </c>
      <c r="K33" s="12" t="b">
        <v>1</v>
      </c>
      <c r="L33" s="12" t="b">
        <v>1</v>
      </c>
      <c r="M33" s="12" t="b">
        <v>1</v>
      </c>
      <c r="N33" s="12" t="b">
        <v>1</v>
      </c>
    </row>
    <row r="34" spans="1:14" ht="15.75" thickBot="1">
      <c r="A34" s="254"/>
      <c r="B34" s="32">
        <v>16</v>
      </c>
      <c r="C34" s="111">
        <v>454.25483370000001</v>
      </c>
      <c r="D34" s="105">
        <v>454</v>
      </c>
      <c r="E34" s="55">
        <v>7.0000000000000007E-2</v>
      </c>
      <c r="F34" s="55">
        <v>5.6099299999999997E-4</v>
      </c>
      <c r="G34" s="55">
        <v>-0.97148254599999995</v>
      </c>
      <c r="H34" s="55">
        <v>0.97148254599999995</v>
      </c>
      <c r="I34" s="12" t="b">
        <v>1</v>
      </c>
      <c r="J34" s="12" t="b">
        <v>0</v>
      </c>
      <c r="K34" s="12" t="b">
        <v>1</v>
      </c>
      <c r="L34" s="12" t="b">
        <v>1</v>
      </c>
      <c r="M34" s="12" t="b">
        <v>1</v>
      </c>
      <c r="N34" s="12" t="b">
        <v>1</v>
      </c>
    </row>
    <row r="35" spans="1:14" ht="15.75" thickBot="1">
      <c r="A35" s="255"/>
      <c r="B35" s="32">
        <v>17</v>
      </c>
      <c r="C35" s="111">
        <v>481.26623180000001</v>
      </c>
      <c r="D35" s="105">
        <v>488</v>
      </c>
      <c r="E35" s="55">
        <v>0.22</v>
      </c>
      <c r="F35" s="55">
        <v>1.3991774E-2</v>
      </c>
      <c r="G35" s="55">
        <v>24.055137779999999</v>
      </c>
      <c r="H35" s="55">
        <v>24.055137779999999</v>
      </c>
      <c r="I35" s="12" t="b">
        <v>1</v>
      </c>
      <c r="J35" s="12" t="b">
        <v>0</v>
      </c>
      <c r="K35" s="12" t="b">
        <v>1</v>
      </c>
      <c r="L35" s="12" t="b">
        <v>1</v>
      </c>
      <c r="M35" s="12" t="b">
        <v>1</v>
      </c>
      <c r="N35" s="12" t="b">
        <v>1</v>
      </c>
    </row>
    <row r="36" spans="1:14" ht="15.75" thickBot="1">
      <c r="A36" s="14"/>
    </row>
    <row r="37" spans="1:14" ht="15.75" thickBot="1">
      <c r="A37" s="243" t="s">
        <v>28</v>
      </c>
      <c r="B37" s="243"/>
      <c r="C37" s="243"/>
      <c r="D37" s="243"/>
      <c r="E37" s="243"/>
      <c r="F37" s="243"/>
      <c r="G37" s="243"/>
      <c r="H37" s="243"/>
      <c r="I37" s="243"/>
      <c r="J37" s="243"/>
      <c r="K37" s="243"/>
      <c r="L37" s="243"/>
      <c r="M37" s="243"/>
      <c r="N37" s="243"/>
    </row>
    <row r="38" spans="1:14" s="91" customFormat="1" ht="24.75" thickBot="1">
      <c r="A38" s="95" t="s">
        <v>146</v>
      </c>
      <c r="B38" s="95" t="s">
        <v>13</v>
      </c>
      <c r="C38" s="95" t="s">
        <v>14</v>
      </c>
      <c r="D38" s="95" t="s">
        <v>15</v>
      </c>
      <c r="E38" s="95" t="s">
        <v>16</v>
      </c>
      <c r="F38" s="95" t="s">
        <v>17</v>
      </c>
      <c r="G38" s="95" t="s">
        <v>18</v>
      </c>
      <c r="H38" s="95" t="s">
        <v>19</v>
      </c>
      <c r="I38" s="95" t="s">
        <v>20</v>
      </c>
      <c r="J38" s="95" t="s">
        <v>21</v>
      </c>
      <c r="K38" s="95" t="s">
        <v>22</v>
      </c>
      <c r="L38" s="95" t="s">
        <v>23</v>
      </c>
      <c r="M38" s="95" t="s">
        <v>24</v>
      </c>
      <c r="N38" s="95" t="s">
        <v>25</v>
      </c>
    </row>
    <row r="39" spans="1:14" ht="15.75" thickBot="1">
      <c r="A39" s="253" t="s">
        <v>26</v>
      </c>
      <c r="B39" s="21">
        <v>4</v>
      </c>
      <c r="C39" s="22">
        <v>348.97201230000002</v>
      </c>
      <c r="D39" s="17">
        <v>351</v>
      </c>
      <c r="E39" s="9">
        <v>2.5356694110000002</v>
      </c>
      <c r="F39" s="9">
        <v>5.8113189999999997E-3</v>
      </c>
      <c r="G39" s="9">
        <v>10.03163288</v>
      </c>
      <c r="H39" s="9">
        <v>10.03163288</v>
      </c>
      <c r="I39" s="12" t="b">
        <v>1</v>
      </c>
      <c r="J39" s="12" t="b">
        <v>0</v>
      </c>
      <c r="K39" s="12" t="b">
        <v>1</v>
      </c>
      <c r="L39" s="12" t="b">
        <v>1</v>
      </c>
      <c r="M39" s="12" t="b">
        <v>1</v>
      </c>
      <c r="N39" s="12" t="b">
        <v>1</v>
      </c>
    </row>
    <row r="40" spans="1:14" ht="15.75" thickBot="1">
      <c r="A40" s="254"/>
      <c r="B40" s="21">
        <v>5</v>
      </c>
      <c r="C40" s="22">
        <v>415</v>
      </c>
      <c r="D40" s="17">
        <v>415</v>
      </c>
      <c r="E40" s="9">
        <v>2.0581282409999999</v>
      </c>
      <c r="F40" s="9">
        <v>0</v>
      </c>
      <c r="G40" s="9">
        <v>0</v>
      </c>
      <c r="H40" s="9">
        <v>0</v>
      </c>
      <c r="I40" s="12" t="b">
        <v>1</v>
      </c>
      <c r="J40" s="12" t="b">
        <v>0</v>
      </c>
      <c r="K40" s="12" t="b">
        <v>1</v>
      </c>
      <c r="L40" s="12" t="b">
        <v>1</v>
      </c>
      <c r="M40" s="12" t="b">
        <v>1</v>
      </c>
      <c r="N40" s="12" t="b">
        <v>1</v>
      </c>
    </row>
    <row r="41" spans="1:14" ht="15.75" thickBot="1">
      <c r="A41" s="254"/>
      <c r="B41" s="21">
        <v>7</v>
      </c>
      <c r="C41" s="22">
        <v>465.82175000000001</v>
      </c>
      <c r="D41" s="17">
        <v>462.5</v>
      </c>
      <c r="E41" s="9">
        <v>1.629453992</v>
      </c>
      <c r="F41" s="9">
        <v>7.1309470000000003E-3</v>
      </c>
      <c r="G41" s="9">
        <v>-12.389564999999999</v>
      </c>
      <c r="H41" s="9">
        <v>12.389564999999999</v>
      </c>
      <c r="I41" s="12" t="b">
        <v>1</v>
      </c>
      <c r="J41" s="12" t="b">
        <v>0</v>
      </c>
      <c r="K41" s="12" t="b">
        <v>1</v>
      </c>
      <c r="L41" s="12" t="b">
        <v>1</v>
      </c>
      <c r="M41" s="12" t="b">
        <v>1</v>
      </c>
      <c r="N41" s="12" t="b">
        <v>1</v>
      </c>
    </row>
    <row r="42" spans="1:14" ht="15.75" thickBot="1">
      <c r="A42" s="255"/>
      <c r="B42" s="21">
        <v>9</v>
      </c>
      <c r="C42" s="22">
        <v>522.86723570000004</v>
      </c>
      <c r="D42" s="17">
        <v>522</v>
      </c>
      <c r="E42" s="9">
        <v>1.3841226419999999</v>
      </c>
      <c r="F42" s="9">
        <v>1.6586159999999999E-3</v>
      </c>
      <c r="G42" s="9">
        <v>-2.8738355969999998</v>
      </c>
      <c r="H42" s="9">
        <v>2.8738355969999998</v>
      </c>
      <c r="I42" s="12" t="b">
        <v>1</v>
      </c>
      <c r="J42" s="12" t="b">
        <v>0</v>
      </c>
      <c r="K42" s="12" t="b">
        <v>1</v>
      </c>
      <c r="L42" s="12" t="b">
        <v>1</v>
      </c>
      <c r="M42" s="12" t="b">
        <v>1</v>
      </c>
      <c r="N42" s="12" t="b">
        <v>1</v>
      </c>
    </row>
    <row r="43" spans="1:14" ht="15.75" thickBot="1">
      <c r="A43" s="253" t="s">
        <v>27</v>
      </c>
      <c r="B43" s="21">
        <v>1</v>
      </c>
      <c r="C43" s="22">
        <v>311.81455130000001</v>
      </c>
      <c r="D43" s="17">
        <v>311</v>
      </c>
      <c r="E43" s="9">
        <v>0.49</v>
      </c>
      <c r="F43" s="9">
        <v>2.6122939999999998E-3</v>
      </c>
      <c r="G43" s="9">
        <v>-4.528410042</v>
      </c>
      <c r="H43" s="9">
        <v>4.528410042</v>
      </c>
      <c r="I43" s="12" t="b">
        <v>1</v>
      </c>
      <c r="J43" s="12" t="b">
        <v>0</v>
      </c>
      <c r="K43" s="12" t="b">
        <v>1</v>
      </c>
      <c r="L43" s="12" t="b">
        <v>1</v>
      </c>
      <c r="M43" s="12" t="b">
        <v>1</v>
      </c>
      <c r="N43" s="12" t="b">
        <v>1</v>
      </c>
    </row>
    <row r="44" spans="1:14" ht="15.75" thickBot="1">
      <c r="A44" s="254"/>
      <c r="B44" s="21">
        <v>4</v>
      </c>
      <c r="C44" s="22">
        <v>350</v>
      </c>
      <c r="D44" s="17">
        <v>350</v>
      </c>
      <c r="E44" s="9">
        <v>0.71</v>
      </c>
      <c r="F44" s="9">
        <v>0</v>
      </c>
      <c r="G44" s="9">
        <v>0</v>
      </c>
      <c r="H44" s="9">
        <v>0</v>
      </c>
      <c r="I44" s="12" t="b">
        <v>1</v>
      </c>
      <c r="J44" s="12" t="b">
        <v>0</v>
      </c>
      <c r="K44" s="12" t="b">
        <v>1</v>
      </c>
      <c r="L44" s="12" t="b">
        <v>1</v>
      </c>
      <c r="M44" s="12" t="b">
        <v>1</v>
      </c>
      <c r="N44" s="12" t="b">
        <v>1</v>
      </c>
    </row>
    <row r="45" spans="1:14" ht="15.75" thickBot="1">
      <c r="A45" s="254"/>
      <c r="B45" s="21">
        <v>5</v>
      </c>
      <c r="C45" s="22">
        <v>416.2224903</v>
      </c>
      <c r="D45" s="17">
        <v>410</v>
      </c>
      <c r="E45" s="9">
        <v>0.43</v>
      </c>
      <c r="F45" s="9">
        <v>1.4949914E-2</v>
      </c>
      <c r="G45" s="9">
        <v>-26.077214789999999</v>
      </c>
      <c r="H45" s="9">
        <v>26.077214789999999</v>
      </c>
      <c r="I45" s="12" t="b">
        <v>1</v>
      </c>
      <c r="J45" s="12" t="b">
        <v>0</v>
      </c>
      <c r="K45" s="12" t="b">
        <v>1</v>
      </c>
      <c r="L45" s="12" t="b">
        <v>1</v>
      </c>
      <c r="M45" s="12" t="b">
        <v>1</v>
      </c>
      <c r="N45" s="12" t="b">
        <v>1</v>
      </c>
    </row>
    <row r="46" spans="1:14" ht="15.75" thickBot="1">
      <c r="A46" s="254"/>
      <c r="B46" s="21">
        <v>7</v>
      </c>
      <c r="C46" s="22">
        <v>467.19394899999998</v>
      </c>
      <c r="D46" s="17">
        <v>476</v>
      </c>
      <c r="E46" s="9">
        <v>0.27</v>
      </c>
      <c r="F46" s="9">
        <v>1.8848812E-2</v>
      </c>
      <c r="G46" s="9">
        <v>32.327981770000001</v>
      </c>
      <c r="H46" s="9">
        <v>32.327981770000001</v>
      </c>
      <c r="I46" s="12" t="b">
        <v>1</v>
      </c>
      <c r="J46" s="12" t="b">
        <v>0</v>
      </c>
      <c r="K46" s="12" t="b">
        <v>1</v>
      </c>
      <c r="L46" s="12" t="b">
        <v>1</v>
      </c>
      <c r="M46" s="12" t="b">
        <v>0</v>
      </c>
      <c r="N46" s="12" t="b">
        <v>1</v>
      </c>
    </row>
    <row r="47" spans="1:14" ht="15.75" thickBot="1">
      <c r="A47" s="255"/>
      <c r="B47" s="21">
        <v>9</v>
      </c>
      <c r="C47" s="22">
        <v>524.40747690000001</v>
      </c>
      <c r="D47" s="17">
        <v>525</v>
      </c>
      <c r="E47" s="9">
        <v>0.28999999999999998</v>
      </c>
      <c r="F47" s="9">
        <v>1.1298910000000001E-3</v>
      </c>
      <c r="G47" s="9">
        <v>1.9550008649999999</v>
      </c>
      <c r="H47" s="9">
        <v>1.9550008649999999</v>
      </c>
      <c r="I47" s="12" t="b">
        <v>1</v>
      </c>
      <c r="J47" s="12" t="b">
        <v>0</v>
      </c>
      <c r="K47" s="12" t="b">
        <v>1</v>
      </c>
      <c r="L47" s="12" t="b">
        <v>1</v>
      </c>
      <c r="M47" s="12" t="b">
        <v>1</v>
      </c>
      <c r="N47" s="12" t="b">
        <v>1</v>
      </c>
    </row>
    <row r="48" spans="1:14" ht="15.75" thickBot="1">
      <c r="A48" s="14"/>
    </row>
    <row r="49" spans="1:14" ht="15.75" thickBot="1">
      <c r="A49" s="243" t="s">
        <v>29</v>
      </c>
      <c r="B49" s="243"/>
      <c r="C49" s="243"/>
      <c r="D49" s="243"/>
      <c r="E49" s="243"/>
      <c r="F49" s="243"/>
      <c r="G49" s="243"/>
      <c r="H49" s="243"/>
      <c r="I49" s="243"/>
      <c r="J49" s="243"/>
      <c r="K49" s="243"/>
      <c r="L49" s="243"/>
      <c r="M49" s="243"/>
      <c r="N49" s="243"/>
    </row>
    <row r="50" spans="1:14" s="91" customFormat="1" ht="24.75" thickBot="1">
      <c r="A50" s="95" t="s">
        <v>146</v>
      </c>
      <c r="B50" s="95" t="s">
        <v>13</v>
      </c>
      <c r="C50" s="95" t="s">
        <v>14</v>
      </c>
      <c r="D50" s="95" t="s">
        <v>15</v>
      </c>
      <c r="E50" s="95" t="s">
        <v>16</v>
      </c>
      <c r="F50" s="95" t="s">
        <v>17</v>
      </c>
      <c r="G50" s="95" t="s">
        <v>18</v>
      </c>
      <c r="H50" s="95" t="s">
        <v>19</v>
      </c>
      <c r="I50" s="95" t="s">
        <v>20</v>
      </c>
      <c r="J50" s="95" t="s">
        <v>21</v>
      </c>
      <c r="K50" s="95" t="s">
        <v>22</v>
      </c>
      <c r="L50" s="95" t="s">
        <v>23</v>
      </c>
      <c r="M50" s="95" t="s">
        <v>24</v>
      </c>
      <c r="N50" s="95" t="s">
        <v>25</v>
      </c>
    </row>
    <row r="51" spans="1:14" ht="15.75" thickBot="1">
      <c r="A51" s="253" t="s">
        <v>26</v>
      </c>
      <c r="B51" s="23">
        <v>1</v>
      </c>
      <c r="C51" s="24">
        <v>316.02333547475558</v>
      </c>
      <c r="D51" s="18">
        <v>318</v>
      </c>
      <c r="E51" s="19">
        <v>1.2079159850000001</v>
      </c>
      <c r="F51" s="19">
        <v>6.2548059999999999E-3</v>
      </c>
      <c r="G51" s="19">
        <v>10.794807779999999</v>
      </c>
      <c r="H51" s="19">
        <v>10.794807779999999</v>
      </c>
      <c r="I51" s="15" t="b">
        <v>1</v>
      </c>
      <c r="J51" s="15" t="b">
        <v>0</v>
      </c>
      <c r="K51" s="15" t="b">
        <v>1</v>
      </c>
      <c r="L51" s="15" t="b">
        <v>1</v>
      </c>
      <c r="M51" s="15" t="b">
        <v>1</v>
      </c>
      <c r="N51" s="15" t="b">
        <v>1</v>
      </c>
    </row>
    <row r="52" spans="1:14" ht="15.75" thickBot="1">
      <c r="A52" s="254"/>
      <c r="B52" s="21">
        <v>2</v>
      </c>
      <c r="C52" s="24">
        <v>354.72420045055429</v>
      </c>
      <c r="D52" s="17">
        <v>354</v>
      </c>
      <c r="E52" s="9">
        <v>1.2460145300000001</v>
      </c>
      <c r="F52" s="9">
        <v>2.0415870000000001E-3</v>
      </c>
      <c r="G52" s="9">
        <v>-3.5380784620000001</v>
      </c>
      <c r="H52" s="9">
        <v>3.5380784620000001</v>
      </c>
      <c r="I52" s="12" t="b">
        <v>1</v>
      </c>
      <c r="J52" s="12" t="b">
        <v>0</v>
      </c>
      <c r="K52" s="12" t="b">
        <v>1</v>
      </c>
      <c r="L52" s="12" t="b">
        <v>1</v>
      </c>
      <c r="M52" s="12" t="b">
        <v>1</v>
      </c>
      <c r="N52" s="12" t="b">
        <v>1</v>
      </c>
    </row>
    <row r="53" spans="1:14" ht="15.75" thickBot="1">
      <c r="A53" s="254"/>
      <c r="B53" s="21">
        <v>3</v>
      </c>
      <c r="C53" s="24">
        <v>421.84054303945072</v>
      </c>
      <c r="D53" s="17">
        <v>416</v>
      </c>
      <c r="E53" s="9">
        <v>1.106338306</v>
      </c>
      <c r="F53" s="9">
        <v>1.3845381E-2</v>
      </c>
      <c r="G53" s="9">
        <v>-24.137076789999998</v>
      </c>
      <c r="H53" s="9">
        <v>24.137076789999998</v>
      </c>
      <c r="I53" s="12" t="b">
        <v>1</v>
      </c>
      <c r="J53" s="12" t="b">
        <v>0</v>
      </c>
      <c r="K53" s="12" t="b">
        <v>1</v>
      </c>
      <c r="L53" s="12" t="b">
        <v>1</v>
      </c>
      <c r="M53" s="12" t="b">
        <v>1</v>
      </c>
      <c r="N53" s="12" t="b">
        <v>1</v>
      </c>
    </row>
    <row r="54" spans="1:14" ht="15.75" thickBot="1">
      <c r="A54" s="254"/>
      <c r="B54" s="21">
        <v>4</v>
      </c>
      <c r="C54" s="24">
        <v>473.5</v>
      </c>
      <c r="D54" s="17">
        <v>473.5</v>
      </c>
      <c r="E54" s="9">
        <v>1.2067295259999999</v>
      </c>
      <c r="F54" s="9">
        <v>0</v>
      </c>
      <c r="G54" s="9">
        <v>0</v>
      </c>
      <c r="H54" s="9">
        <v>0</v>
      </c>
      <c r="I54" s="12" t="b">
        <v>1</v>
      </c>
      <c r="J54" s="12" t="b">
        <v>0</v>
      </c>
      <c r="K54" s="12" t="b">
        <v>1</v>
      </c>
      <c r="L54" s="12" t="b">
        <v>1</v>
      </c>
      <c r="M54" s="12" t="b">
        <v>1</v>
      </c>
      <c r="N54" s="12" t="b">
        <v>1</v>
      </c>
    </row>
    <row r="55" spans="1:14" ht="15.75" thickBot="1">
      <c r="A55" s="254"/>
      <c r="B55" s="21">
        <v>5</v>
      </c>
      <c r="C55" s="24">
        <v>531.48577987448812</v>
      </c>
      <c r="D55" s="17">
        <v>528</v>
      </c>
      <c r="E55" s="9">
        <v>1.2641558180000001</v>
      </c>
      <c r="F55" s="9">
        <v>6.5585569999999996E-3</v>
      </c>
      <c r="G55" s="9">
        <v>-11.391795330000001</v>
      </c>
      <c r="H55" s="9">
        <v>11.391795330000001</v>
      </c>
      <c r="I55" s="12" t="b">
        <v>1</v>
      </c>
      <c r="J55" s="12" t="b">
        <v>0</v>
      </c>
      <c r="K55" s="12" t="b">
        <v>1</v>
      </c>
      <c r="L55" s="12" t="b">
        <v>1</v>
      </c>
      <c r="M55" s="12" t="b">
        <v>1</v>
      </c>
      <c r="N55" s="12" t="b">
        <v>1</v>
      </c>
    </row>
    <row r="56" spans="1:14" ht="15.75" thickBot="1">
      <c r="A56" s="254"/>
      <c r="B56" s="21">
        <v>6</v>
      </c>
      <c r="C56" s="24">
        <v>531.48577987448812</v>
      </c>
      <c r="D56" s="17">
        <v>523.5</v>
      </c>
      <c r="E56" s="9">
        <v>1.165227579</v>
      </c>
      <c r="F56" s="9">
        <v>1.5025388000000001E-2</v>
      </c>
      <c r="G56" s="9">
        <v>-26.209866250000001</v>
      </c>
      <c r="H56" s="9">
        <v>26.209866250000001</v>
      </c>
      <c r="I56" s="12" t="b">
        <v>1</v>
      </c>
      <c r="J56" s="12" t="b">
        <v>0</v>
      </c>
      <c r="K56" s="12" t="b">
        <v>1</v>
      </c>
      <c r="L56" s="12" t="b">
        <v>1</v>
      </c>
      <c r="M56" s="12" t="b">
        <v>1</v>
      </c>
      <c r="N56" s="12" t="b">
        <v>1</v>
      </c>
    </row>
    <row r="57" spans="1:14" ht="15.75" thickBot="1">
      <c r="A57" s="254"/>
      <c r="B57" s="21">
        <v>7</v>
      </c>
      <c r="C57" s="24">
        <v>473.5</v>
      </c>
      <c r="D57" s="17">
        <v>472</v>
      </c>
      <c r="E57" s="9">
        <v>1.112620207</v>
      </c>
      <c r="F57" s="9">
        <v>3.1678990000000001E-3</v>
      </c>
      <c r="G57" s="9">
        <v>-5.4930793280000003</v>
      </c>
      <c r="H57" s="9">
        <v>5.4930793280000003</v>
      </c>
      <c r="I57" s="12" t="b">
        <v>1</v>
      </c>
      <c r="J57" s="12" t="b">
        <v>0</v>
      </c>
      <c r="K57" s="12" t="b">
        <v>1</v>
      </c>
      <c r="L57" s="12" t="b">
        <v>1</v>
      </c>
      <c r="M57" s="12" t="b">
        <v>1</v>
      </c>
      <c r="N57" s="12" t="b">
        <v>1</v>
      </c>
    </row>
    <row r="58" spans="1:14" ht="15.75" thickBot="1">
      <c r="A58" s="254"/>
      <c r="B58" s="21">
        <v>8</v>
      </c>
      <c r="C58" s="24">
        <v>421.84054303945072</v>
      </c>
      <c r="D58" s="17">
        <v>423</v>
      </c>
      <c r="E58" s="9">
        <v>1.24055794</v>
      </c>
      <c r="F58" s="9">
        <v>2.7485669999999999E-3</v>
      </c>
      <c r="G58" s="9">
        <v>4.7518851819999997</v>
      </c>
      <c r="H58" s="9">
        <v>4.7518851819999997</v>
      </c>
      <c r="I58" s="12" t="b">
        <v>1</v>
      </c>
      <c r="J58" s="12" t="b">
        <v>0</v>
      </c>
      <c r="K58" s="12" t="b">
        <v>1</v>
      </c>
      <c r="L58" s="12" t="b">
        <v>1</v>
      </c>
      <c r="M58" s="12" t="b">
        <v>1</v>
      </c>
      <c r="N58" s="12" t="b">
        <v>1</v>
      </c>
    </row>
    <row r="59" spans="1:14" ht="15.75" thickBot="1">
      <c r="A59" s="254"/>
      <c r="B59" s="21">
        <v>9</v>
      </c>
      <c r="C59" s="24">
        <v>354.72420045055429</v>
      </c>
      <c r="D59" s="17">
        <v>361</v>
      </c>
      <c r="E59" s="9">
        <v>1.212695407</v>
      </c>
      <c r="F59" s="9">
        <v>1.7692053999999999E-2</v>
      </c>
      <c r="G59" s="9">
        <v>30.361293700000001</v>
      </c>
      <c r="H59" s="9">
        <v>30.361293700000001</v>
      </c>
      <c r="I59" s="12" t="b">
        <v>1</v>
      </c>
      <c r="J59" s="12" t="b">
        <v>0</v>
      </c>
      <c r="K59" s="12" t="b">
        <v>1</v>
      </c>
      <c r="L59" s="12" t="b">
        <v>1</v>
      </c>
      <c r="M59" s="12" t="b">
        <v>0</v>
      </c>
      <c r="N59" s="12" t="b">
        <v>1</v>
      </c>
    </row>
    <row r="60" spans="1:14" ht="15.75" thickBot="1">
      <c r="A60" s="254"/>
      <c r="B60" s="21">
        <v>10</v>
      </c>
      <c r="C60" s="24">
        <v>316.02333547475558</v>
      </c>
      <c r="D60" s="17">
        <v>320</v>
      </c>
      <c r="E60" s="9">
        <v>1.3169150169999999</v>
      </c>
      <c r="F60" s="9">
        <v>1.2583452E-2</v>
      </c>
      <c r="G60" s="9">
        <v>21.6489753</v>
      </c>
      <c r="H60" s="9">
        <v>21.6489753</v>
      </c>
      <c r="I60" s="12" t="b">
        <v>1</v>
      </c>
      <c r="J60" s="12" t="b">
        <v>0</v>
      </c>
      <c r="K60" s="12" t="b">
        <v>1</v>
      </c>
      <c r="L60" s="12" t="b">
        <v>1</v>
      </c>
      <c r="M60" s="12" t="b">
        <v>1</v>
      </c>
      <c r="N60" s="12" t="b">
        <v>1</v>
      </c>
    </row>
    <row r="61" spans="1:14" ht="15.75" thickBot="1">
      <c r="A61" s="254"/>
      <c r="B61" s="21">
        <v>11</v>
      </c>
      <c r="C61" s="24">
        <v>265.74288993724412</v>
      </c>
      <c r="D61" s="17">
        <v>260</v>
      </c>
      <c r="E61" s="9">
        <v>1.0919689379999999</v>
      </c>
      <c r="F61" s="9">
        <v>2.16107E-2</v>
      </c>
      <c r="G61" s="9">
        <v>-37.823362930000002</v>
      </c>
      <c r="H61" s="9">
        <v>37.823362930000002</v>
      </c>
      <c r="I61" s="12" t="b">
        <v>1</v>
      </c>
      <c r="J61" s="12" t="b">
        <v>0</v>
      </c>
      <c r="K61" s="12" t="b">
        <v>1</v>
      </c>
      <c r="L61" s="12" t="b">
        <v>1</v>
      </c>
      <c r="M61" s="12" t="b">
        <v>0</v>
      </c>
      <c r="N61" s="12" t="b">
        <v>1</v>
      </c>
    </row>
    <row r="62" spans="1:14" ht="15.75" thickBot="1">
      <c r="A62" s="254"/>
      <c r="B62" s="21">
        <v>12</v>
      </c>
      <c r="C62" s="24">
        <v>236.75</v>
      </c>
      <c r="D62" s="17">
        <v>238</v>
      </c>
      <c r="E62" s="9">
        <v>1.191706723</v>
      </c>
      <c r="F62" s="9">
        <v>5.2798309999999996E-3</v>
      </c>
      <c r="G62" s="9">
        <v>9.1165774069999994</v>
      </c>
      <c r="H62" s="9">
        <v>9.1165774069999994</v>
      </c>
      <c r="I62" s="12" t="b">
        <v>1</v>
      </c>
      <c r="J62" s="12" t="b">
        <v>0</v>
      </c>
      <c r="K62" s="12" t="b">
        <v>1</v>
      </c>
      <c r="L62" s="12" t="b">
        <v>1</v>
      </c>
      <c r="M62" s="12" t="b">
        <v>1</v>
      </c>
      <c r="N62" s="12" t="b">
        <v>1</v>
      </c>
    </row>
    <row r="63" spans="1:14" ht="15.75" thickBot="1">
      <c r="A63" s="255"/>
      <c r="B63" s="21">
        <v>13</v>
      </c>
      <c r="C63" s="24">
        <v>210.9202715197253</v>
      </c>
      <c r="D63" s="17">
        <v>212.5</v>
      </c>
      <c r="E63" s="9">
        <v>1.5495439849999999</v>
      </c>
      <c r="F63" s="9">
        <v>7.4896950000000002E-3</v>
      </c>
      <c r="G63" s="9">
        <v>12.918098669999999</v>
      </c>
      <c r="H63" s="9">
        <v>12.918098669999999</v>
      </c>
      <c r="I63" s="12" t="b">
        <v>1</v>
      </c>
      <c r="J63" s="12" t="b">
        <v>0</v>
      </c>
      <c r="K63" s="12" t="b">
        <v>1</v>
      </c>
      <c r="L63" s="12" t="b">
        <v>1</v>
      </c>
      <c r="M63" s="12" t="b">
        <v>1</v>
      </c>
      <c r="N63" s="12" t="b">
        <v>1</v>
      </c>
    </row>
    <row r="64" spans="1:14" ht="15.75" thickBot="1">
      <c r="A64" s="253" t="s">
        <v>27</v>
      </c>
      <c r="B64" s="21">
        <v>1</v>
      </c>
      <c r="C64" s="24">
        <v>315.37814622168008</v>
      </c>
      <c r="D64" s="17">
        <v>318</v>
      </c>
      <c r="E64" s="9">
        <v>0.09</v>
      </c>
      <c r="F64" s="9">
        <v>8.3133649999999996E-3</v>
      </c>
      <c r="G64" s="9">
        <v>14.332886240000001</v>
      </c>
      <c r="H64" s="9">
        <v>14.332886240000001</v>
      </c>
      <c r="I64" s="12" t="b">
        <v>1</v>
      </c>
      <c r="J64" s="12" t="b">
        <v>0</v>
      </c>
      <c r="K64" s="12" t="b">
        <v>1</v>
      </c>
      <c r="L64" s="12" t="b">
        <v>1</v>
      </c>
      <c r="M64" s="12" t="b">
        <v>1</v>
      </c>
      <c r="N64" s="12" t="b">
        <v>1</v>
      </c>
    </row>
    <row r="65" spans="1:14" ht="15.75" thickBot="1">
      <c r="A65" s="254"/>
      <c r="B65" s="21">
        <v>2</v>
      </c>
      <c r="C65" s="24">
        <v>354</v>
      </c>
      <c r="D65" s="17">
        <v>354</v>
      </c>
      <c r="E65" s="9">
        <v>0.11</v>
      </c>
      <c r="F65" s="9">
        <v>0</v>
      </c>
      <c r="G65" s="9">
        <v>0</v>
      </c>
      <c r="H65" s="9">
        <v>0</v>
      </c>
      <c r="I65" s="12" t="b">
        <v>1</v>
      </c>
      <c r="J65" s="12" t="b">
        <v>0</v>
      </c>
      <c r="K65" s="12" t="b">
        <v>1</v>
      </c>
      <c r="L65" s="12" t="b">
        <v>1</v>
      </c>
      <c r="M65" s="12" t="b">
        <v>1</v>
      </c>
      <c r="N65" s="12" t="b">
        <v>1</v>
      </c>
    </row>
    <row r="66" spans="1:14" ht="15.75" thickBot="1">
      <c r="A66" s="254"/>
      <c r="B66" s="21">
        <v>3</v>
      </c>
      <c r="C66" s="24">
        <v>420.97931871096318</v>
      </c>
      <c r="D66" s="17">
        <v>417</v>
      </c>
      <c r="E66" s="9">
        <v>0.11</v>
      </c>
      <c r="F66" s="9">
        <v>9.452528E-3</v>
      </c>
      <c r="G66" s="9">
        <v>-16.44237197</v>
      </c>
      <c r="H66" s="9">
        <v>16.44237197</v>
      </c>
      <c r="I66" s="12" t="b">
        <v>1</v>
      </c>
      <c r="J66" s="12" t="b">
        <v>0</v>
      </c>
      <c r="K66" s="12" t="b">
        <v>1</v>
      </c>
      <c r="L66" s="12" t="b">
        <v>1</v>
      </c>
      <c r="M66" s="12" t="b">
        <v>1</v>
      </c>
      <c r="N66" s="12" t="b">
        <v>1</v>
      </c>
    </row>
    <row r="67" spans="1:14" ht="15.75" thickBot="1">
      <c r="A67" s="254"/>
      <c r="B67" s="21">
        <v>4</v>
      </c>
      <c r="C67" s="24">
        <v>472.53330837619211</v>
      </c>
      <c r="D67" s="17">
        <v>470</v>
      </c>
      <c r="E67" s="9">
        <v>7.0000000000000007E-2</v>
      </c>
      <c r="F67" s="9">
        <v>5.3611209999999999E-3</v>
      </c>
      <c r="G67" s="9">
        <v>-9.3063242220000006</v>
      </c>
      <c r="H67" s="9">
        <v>9.3063242220000006</v>
      </c>
      <c r="I67" s="12" t="b">
        <v>1</v>
      </c>
      <c r="J67" s="12" t="b">
        <v>0</v>
      </c>
      <c r="K67" s="12" t="b">
        <v>1</v>
      </c>
      <c r="L67" s="12" t="b">
        <v>1</v>
      </c>
      <c r="M67" s="12" t="b">
        <v>1</v>
      </c>
      <c r="N67" s="12" t="b">
        <v>1</v>
      </c>
    </row>
    <row r="68" spans="1:14" ht="15.75" thickBot="1">
      <c r="A68" s="254"/>
      <c r="B68" s="21">
        <v>5</v>
      </c>
      <c r="C68" s="24">
        <v>530.40070521434518</v>
      </c>
      <c r="D68" s="17">
        <v>527.5</v>
      </c>
      <c r="E68" s="9">
        <v>0.13</v>
      </c>
      <c r="F68" s="9">
        <v>5.4688940000000002E-3</v>
      </c>
      <c r="G68" s="9">
        <v>-9.4939197859999993</v>
      </c>
      <c r="H68" s="9">
        <v>9.4939197859999993</v>
      </c>
      <c r="I68" s="12" t="b">
        <v>1</v>
      </c>
      <c r="J68" s="12" t="b">
        <v>0</v>
      </c>
      <c r="K68" s="12" t="b">
        <v>1</v>
      </c>
      <c r="L68" s="12" t="b">
        <v>1</v>
      </c>
      <c r="M68" s="12" t="b">
        <v>1</v>
      </c>
      <c r="N68" s="12" t="b">
        <v>1</v>
      </c>
    </row>
    <row r="69" spans="1:14" ht="15.75" thickBot="1">
      <c r="A69" s="254"/>
      <c r="B69" s="21">
        <v>6</v>
      </c>
      <c r="C69" s="24">
        <v>530.40070521434518</v>
      </c>
      <c r="D69" s="17">
        <v>524</v>
      </c>
      <c r="E69" s="9">
        <v>7.0000000000000007E-2</v>
      </c>
      <c r="F69" s="9">
        <v>1.2067679E-2</v>
      </c>
      <c r="G69" s="9">
        <v>-21.01905825</v>
      </c>
      <c r="H69" s="9">
        <v>21.01905825</v>
      </c>
      <c r="I69" s="12" t="b">
        <v>1</v>
      </c>
      <c r="J69" s="12" t="b">
        <v>0</v>
      </c>
      <c r="K69" s="12" t="b">
        <v>1</v>
      </c>
      <c r="L69" s="12" t="b">
        <v>1</v>
      </c>
      <c r="M69" s="12" t="b">
        <v>1</v>
      </c>
      <c r="N69" s="12" t="b">
        <v>1</v>
      </c>
    </row>
    <row r="70" spans="1:14" ht="15.75" thickBot="1">
      <c r="A70" s="254"/>
      <c r="B70" s="21">
        <v>7</v>
      </c>
      <c r="C70" s="24">
        <v>472.53330837619211</v>
      </c>
      <c r="D70" s="17">
        <v>474</v>
      </c>
      <c r="E70" s="9">
        <v>0.09</v>
      </c>
      <c r="F70" s="9">
        <v>3.1038900000000002E-3</v>
      </c>
      <c r="G70" s="9">
        <v>5.3652385779999996</v>
      </c>
      <c r="H70" s="9">
        <v>5.3652385779999996</v>
      </c>
      <c r="I70" s="12" t="b">
        <v>1</v>
      </c>
      <c r="J70" s="12" t="b">
        <v>0</v>
      </c>
      <c r="K70" s="12" t="b">
        <v>1</v>
      </c>
      <c r="L70" s="12" t="b">
        <v>1</v>
      </c>
      <c r="M70" s="12" t="b">
        <v>1</v>
      </c>
      <c r="N70" s="12" t="b">
        <v>1</v>
      </c>
    </row>
    <row r="71" spans="1:14" ht="15.75" thickBot="1">
      <c r="A71" s="254"/>
      <c r="B71" s="21">
        <v>8</v>
      </c>
      <c r="C71" s="24">
        <v>420.97931871096318</v>
      </c>
      <c r="D71" s="17">
        <v>420</v>
      </c>
      <c r="E71" s="9">
        <v>0.18</v>
      </c>
      <c r="F71" s="9">
        <v>2.3262869999999998E-3</v>
      </c>
      <c r="G71" s="9">
        <v>-4.0320388999999999</v>
      </c>
      <c r="H71" s="9">
        <v>4.0320388999999999</v>
      </c>
      <c r="I71" s="12" t="b">
        <v>1</v>
      </c>
      <c r="J71" s="12" t="b">
        <v>0</v>
      </c>
      <c r="K71" s="12" t="b">
        <v>1</v>
      </c>
      <c r="L71" s="12" t="b">
        <v>1</v>
      </c>
      <c r="M71" s="12" t="b">
        <v>1</v>
      </c>
      <c r="N71" s="12" t="b">
        <v>1</v>
      </c>
    </row>
    <row r="72" spans="1:14" ht="15.75" thickBot="1">
      <c r="A72" s="254"/>
      <c r="B72" s="21">
        <v>9</v>
      </c>
      <c r="C72" s="24">
        <v>354</v>
      </c>
      <c r="D72" s="17">
        <v>362</v>
      </c>
      <c r="E72" s="9">
        <v>0.04</v>
      </c>
      <c r="F72" s="9">
        <v>2.259887E-2</v>
      </c>
      <c r="G72" s="9">
        <v>38.688404400000003</v>
      </c>
      <c r="H72" s="9">
        <v>38.688404400000003</v>
      </c>
      <c r="I72" s="12" t="b">
        <v>1</v>
      </c>
      <c r="J72" s="12" t="b">
        <v>0</v>
      </c>
      <c r="K72" s="12" t="b">
        <v>1</v>
      </c>
      <c r="L72" s="12" t="b">
        <v>1</v>
      </c>
      <c r="M72" s="12" t="b">
        <v>0</v>
      </c>
      <c r="N72" s="12" t="b">
        <v>1</v>
      </c>
    </row>
    <row r="73" spans="1:14" ht="15.75" thickBot="1">
      <c r="A73" s="254"/>
      <c r="B73" s="21">
        <v>10</v>
      </c>
      <c r="C73" s="24">
        <v>315.37814622168008</v>
      </c>
      <c r="D73" s="17">
        <v>326</v>
      </c>
      <c r="E73" s="9">
        <v>0.22</v>
      </c>
      <c r="F73" s="9">
        <v>3.3679739E-2</v>
      </c>
      <c r="G73" s="9">
        <v>57.347124979999997</v>
      </c>
      <c r="H73" s="9">
        <v>57.347124979999997</v>
      </c>
      <c r="I73" s="12" t="b">
        <v>1</v>
      </c>
      <c r="J73" s="12" t="b">
        <v>0</v>
      </c>
      <c r="K73" s="12" t="b">
        <v>1</v>
      </c>
      <c r="L73" s="12" t="b">
        <v>0</v>
      </c>
      <c r="M73" s="12" t="b">
        <v>0</v>
      </c>
      <c r="N73" s="12" t="b">
        <v>0</v>
      </c>
    </row>
    <row r="74" spans="1:14" ht="15.75" thickBot="1">
      <c r="A74" s="254"/>
      <c r="B74" s="21">
        <v>11</v>
      </c>
      <c r="C74" s="24">
        <v>265.20035260717259</v>
      </c>
      <c r="D74" s="17">
        <v>259</v>
      </c>
      <c r="E74" s="9">
        <v>0.06</v>
      </c>
      <c r="F74" s="9">
        <v>2.3379881000000002E-2</v>
      </c>
      <c r="G74" s="9">
        <v>-40.95671488</v>
      </c>
      <c r="H74" s="9">
        <v>40.95671488</v>
      </c>
      <c r="I74" s="12" t="b">
        <v>1</v>
      </c>
      <c r="J74" s="12" t="b">
        <v>0</v>
      </c>
      <c r="K74" s="12" t="b">
        <v>1</v>
      </c>
      <c r="L74" s="12" t="b">
        <v>0</v>
      </c>
      <c r="M74" s="12" t="b">
        <v>0</v>
      </c>
      <c r="N74" s="12" t="b">
        <v>1</v>
      </c>
    </row>
    <row r="75" spans="1:14" ht="15.75" thickBot="1">
      <c r="A75" s="254"/>
      <c r="B75" s="21">
        <v>12</v>
      </c>
      <c r="C75" s="24">
        <v>236.26665418809611</v>
      </c>
      <c r="D75" s="17">
        <v>238</v>
      </c>
      <c r="E75" s="9">
        <v>0.14000000000000001</v>
      </c>
      <c r="F75" s="9">
        <v>7.3363960000000002E-3</v>
      </c>
      <c r="G75" s="9">
        <v>12.654655869999999</v>
      </c>
      <c r="H75" s="9">
        <v>12.654655869999999</v>
      </c>
      <c r="I75" s="12" t="b">
        <v>1</v>
      </c>
      <c r="J75" s="12" t="b">
        <v>0</v>
      </c>
      <c r="K75" s="12" t="b">
        <v>1</v>
      </c>
      <c r="L75" s="12" t="b">
        <v>1</v>
      </c>
      <c r="M75" s="12" t="b">
        <v>1</v>
      </c>
      <c r="N75" s="12" t="b">
        <v>1</v>
      </c>
    </row>
    <row r="76" spans="1:14" ht="15.75" thickBot="1">
      <c r="A76" s="255"/>
      <c r="B76" s="21">
        <v>13</v>
      </c>
      <c r="C76" s="24">
        <v>210.48965935548159</v>
      </c>
      <c r="D76" s="17">
        <v>213</v>
      </c>
      <c r="E76" s="9">
        <v>0.12</v>
      </c>
      <c r="F76" s="9">
        <v>1.1926195000000001E-2</v>
      </c>
      <c r="G76" s="9">
        <v>20.52488417</v>
      </c>
      <c r="H76" s="9">
        <v>20.52488417</v>
      </c>
      <c r="I76" s="12" t="b">
        <v>1</v>
      </c>
      <c r="J76" s="12" t="b">
        <v>0</v>
      </c>
      <c r="K76" s="12" t="b">
        <v>1</v>
      </c>
      <c r="L76" s="12" t="b">
        <v>1</v>
      </c>
      <c r="M76" s="12" t="b">
        <v>1</v>
      </c>
      <c r="N76" s="12" t="b">
        <v>1</v>
      </c>
    </row>
    <row r="77" spans="1:14" ht="15.75" thickBot="1">
      <c r="A77" s="14"/>
    </row>
    <row r="78" spans="1:14" ht="15.75" thickBot="1">
      <c r="A78" s="243" t="s">
        <v>30</v>
      </c>
      <c r="B78" s="243"/>
      <c r="C78" s="243"/>
      <c r="D78" s="243"/>
      <c r="E78" s="243"/>
      <c r="F78" s="243"/>
      <c r="G78" s="243"/>
      <c r="H78" s="243"/>
      <c r="I78" s="243"/>
      <c r="J78" s="243"/>
      <c r="K78" s="243"/>
      <c r="L78" s="243"/>
      <c r="M78" s="243"/>
      <c r="N78" s="243"/>
    </row>
    <row r="79" spans="1:14" s="91" customFormat="1" ht="24.75" thickBot="1">
      <c r="A79" s="95" t="s">
        <v>146</v>
      </c>
      <c r="B79" s="95" t="s">
        <v>13</v>
      </c>
      <c r="C79" s="95" t="s">
        <v>14</v>
      </c>
      <c r="D79" s="95" t="s">
        <v>15</v>
      </c>
      <c r="E79" s="95" t="s">
        <v>16</v>
      </c>
      <c r="F79" s="95" t="s">
        <v>17</v>
      </c>
      <c r="G79" s="95" t="s">
        <v>18</v>
      </c>
      <c r="H79" s="95" t="s">
        <v>19</v>
      </c>
      <c r="I79" s="95" t="s">
        <v>20</v>
      </c>
      <c r="J79" s="95" t="s">
        <v>21</v>
      </c>
      <c r="K79" s="95" t="s">
        <v>22</v>
      </c>
      <c r="L79" s="95" t="s">
        <v>23</v>
      </c>
      <c r="M79" s="95" t="s">
        <v>24</v>
      </c>
      <c r="N79" s="95" t="s">
        <v>25</v>
      </c>
    </row>
    <row r="80" spans="1:14" ht="15.75" thickBot="1">
      <c r="A80" s="253" t="s">
        <v>26</v>
      </c>
      <c r="B80" s="23">
        <v>1</v>
      </c>
      <c r="C80" s="25">
        <v>354.17481179999999</v>
      </c>
      <c r="D80" s="18">
        <v>351</v>
      </c>
      <c r="E80" s="19">
        <v>0.91783893699999997</v>
      </c>
      <c r="F80" s="19">
        <v>8.9639679999999992E-3</v>
      </c>
      <c r="G80" s="19">
        <v>-15.58870057</v>
      </c>
      <c r="H80" s="19">
        <v>15.58870057</v>
      </c>
      <c r="I80" s="15" t="b">
        <v>1</v>
      </c>
      <c r="J80" s="15" t="b">
        <v>0</v>
      </c>
      <c r="K80" s="15" t="b">
        <v>1</v>
      </c>
      <c r="L80" s="15" t="b">
        <v>1</v>
      </c>
      <c r="M80" s="15" t="b">
        <v>1</v>
      </c>
      <c r="N80" s="15" t="b">
        <v>1</v>
      </c>
    </row>
    <row r="81" spans="1:14" ht="15.75" thickBot="1">
      <c r="A81" s="254"/>
      <c r="B81" s="21">
        <v>2</v>
      </c>
      <c r="C81" s="22">
        <v>472.7666542</v>
      </c>
      <c r="D81" s="17">
        <v>468</v>
      </c>
      <c r="E81" s="9">
        <v>0.77387245999999998</v>
      </c>
      <c r="F81" s="9">
        <v>1.0082466999999999E-2</v>
      </c>
      <c r="G81" s="9">
        <v>-17.543701429999999</v>
      </c>
      <c r="H81" s="9">
        <v>17.543701429999999</v>
      </c>
      <c r="I81" s="12" t="b">
        <v>1</v>
      </c>
      <c r="J81" s="12" t="b">
        <v>0</v>
      </c>
      <c r="K81" s="12" t="b">
        <v>1</v>
      </c>
      <c r="L81" s="12" t="b">
        <v>1</v>
      </c>
      <c r="M81" s="12" t="b">
        <v>1</v>
      </c>
      <c r="N81" s="12" t="b">
        <v>1</v>
      </c>
    </row>
    <row r="82" spans="1:14" ht="15.75" thickBot="1">
      <c r="A82" s="254"/>
      <c r="B82" s="21">
        <v>3</v>
      </c>
      <c r="C82" s="22">
        <v>354.17481179999999</v>
      </c>
      <c r="D82" s="17">
        <v>352.5</v>
      </c>
      <c r="E82" s="9">
        <v>0.81459927300000001</v>
      </c>
      <c r="F82" s="9">
        <v>4.728772E-3</v>
      </c>
      <c r="G82" s="9">
        <v>-8.2060281879999994</v>
      </c>
      <c r="H82" s="9">
        <v>8.2060281879999994</v>
      </c>
      <c r="I82" s="12" t="b">
        <v>1</v>
      </c>
      <c r="J82" s="12" t="b">
        <v>0</v>
      </c>
      <c r="K82" s="12" t="b">
        <v>1</v>
      </c>
      <c r="L82" s="12" t="b">
        <v>1</v>
      </c>
      <c r="M82" s="12" t="b">
        <v>1</v>
      </c>
      <c r="N82" s="12" t="b">
        <v>1</v>
      </c>
    </row>
    <row r="83" spans="1:14" ht="15.75" thickBot="1">
      <c r="A83" s="254"/>
      <c r="B83" s="21">
        <v>4</v>
      </c>
      <c r="C83" s="22">
        <v>354.17481179999999</v>
      </c>
      <c r="D83" s="17">
        <v>353</v>
      </c>
      <c r="E83" s="9">
        <v>2.6902592190000001</v>
      </c>
      <c r="F83" s="9">
        <v>3.3170389999999999E-3</v>
      </c>
      <c r="G83" s="9">
        <v>-5.7521170059999998</v>
      </c>
      <c r="H83" s="9">
        <v>5.7521170059999998</v>
      </c>
      <c r="I83" s="12" t="b">
        <v>1</v>
      </c>
      <c r="J83" s="12" t="b">
        <v>0</v>
      </c>
      <c r="K83" s="12" t="b">
        <v>1</v>
      </c>
      <c r="L83" s="12" t="b">
        <v>1</v>
      </c>
      <c r="M83" s="12" t="b">
        <v>1</v>
      </c>
      <c r="N83" s="12" t="b">
        <v>1</v>
      </c>
    </row>
    <row r="84" spans="1:14" ht="15.75" thickBot="1">
      <c r="A84" s="254"/>
      <c r="B84" s="21">
        <v>5</v>
      </c>
      <c r="C84" s="22">
        <v>354.17481179999999</v>
      </c>
      <c r="D84" s="17">
        <v>355</v>
      </c>
      <c r="E84" s="9">
        <v>0.90465036499999996</v>
      </c>
      <c r="F84" s="9">
        <v>2.3298889999999999E-3</v>
      </c>
      <c r="G84" s="9">
        <v>4.0288923390000004</v>
      </c>
      <c r="H84" s="9">
        <v>4.0288923390000004</v>
      </c>
      <c r="I84" s="12" t="b">
        <v>1</v>
      </c>
      <c r="J84" s="12" t="b">
        <v>0</v>
      </c>
      <c r="K84" s="12" t="b">
        <v>1</v>
      </c>
      <c r="L84" s="12" t="b">
        <v>1</v>
      </c>
      <c r="M84" s="12" t="b">
        <v>1</v>
      </c>
      <c r="N84" s="12" t="b">
        <v>1</v>
      </c>
    </row>
    <row r="85" spans="1:14" ht="15.75" thickBot="1">
      <c r="A85" s="254"/>
      <c r="B85" s="21">
        <v>6</v>
      </c>
      <c r="C85" s="22">
        <v>315.53388589999997</v>
      </c>
      <c r="D85" s="17">
        <v>318</v>
      </c>
      <c r="E85" s="9">
        <v>0.65909552299999996</v>
      </c>
      <c r="F85" s="9">
        <v>7.815687E-3</v>
      </c>
      <c r="G85" s="9">
        <v>13.478181409999999</v>
      </c>
      <c r="H85" s="9">
        <v>13.478181409999999</v>
      </c>
      <c r="I85" s="12" t="b">
        <v>1</v>
      </c>
      <c r="J85" s="12" t="b">
        <v>0</v>
      </c>
      <c r="K85" s="12" t="b">
        <v>1</v>
      </c>
      <c r="L85" s="12" t="b">
        <v>1</v>
      </c>
      <c r="M85" s="12" t="b">
        <v>1</v>
      </c>
      <c r="N85" s="12" t="b">
        <v>1</v>
      </c>
    </row>
    <row r="86" spans="1:14" ht="15.75" thickBot="1">
      <c r="A86" s="254"/>
      <c r="B86" s="21">
        <v>7</v>
      </c>
      <c r="C86" s="22">
        <v>236.3833271</v>
      </c>
      <c r="D86" s="17">
        <v>239</v>
      </c>
      <c r="E86" s="9">
        <v>0.89623677099999999</v>
      </c>
      <c r="F86" s="9">
        <v>1.1069617E-2</v>
      </c>
      <c r="G86" s="9">
        <v>19.058804649999999</v>
      </c>
      <c r="H86" s="9">
        <v>19.058804649999999</v>
      </c>
      <c r="I86" s="12" t="b">
        <v>1</v>
      </c>
      <c r="J86" s="12" t="b">
        <v>0</v>
      </c>
      <c r="K86" s="12" t="b">
        <v>1</v>
      </c>
      <c r="L86" s="12" t="b">
        <v>1</v>
      </c>
      <c r="M86" s="12" t="b">
        <v>1</v>
      </c>
      <c r="N86" s="12" t="b">
        <v>1</v>
      </c>
    </row>
    <row r="87" spans="1:14" ht="15.75" thickBot="1">
      <c r="A87" s="254"/>
      <c r="B87" s="21">
        <v>8</v>
      </c>
      <c r="C87" s="22">
        <v>236.3833271</v>
      </c>
      <c r="D87" s="17">
        <v>237</v>
      </c>
      <c r="E87" s="9">
        <v>2.3236267399999999</v>
      </c>
      <c r="F87" s="9">
        <v>2.6087829999999999E-3</v>
      </c>
      <c r="G87" s="9">
        <v>4.5105337460000001</v>
      </c>
      <c r="H87" s="9">
        <v>4.5105337460000001</v>
      </c>
      <c r="I87" s="12" t="b">
        <v>1</v>
      </c>
      <c r="J87" s="12" t="b">
        <v>0</v>
      </c>
      <c r="K87" s="12" t="b">
        <v>1</v>
      </c>
      <c r="L87" s="12" t="b">
        <v>1</v>
      </c>
      <c r="M87" s="12" t="b">
        <v>1</v>
      </c>
      <c r="N87" s="12" t="b">
        <v>1</v>
      </c>
    </row>
    <row r="88" spans="1:14" ht="15.75" thickBot="1">
      <c r="A88" s="254"/>
      <c r="B88" s="21">
        <v>9</v>
      </c>
      <c r="C88" s="22">
        <v>315.53388589999997</v>
      </c>
      <c r="D88" s="17">
        <v>318</v>
      </c>
      <c r="E88" s="9">
        <v>0.82020053999999998</v>
      </c>
      <c r="F88" s="9">
        <v>7.815687E-3</v>
      </c>
      <c r="G88" s="9">
        <v>13.478181409999999</v>
      </c>
      <c r="H88" s="9">
        <v>13.478181409999999</v>
      </c>
      <c r="I88" s="12" t="b">
        <v>1</v>
      </c>
      <c r="J88" s="12" t="b">
        <v>0</v>
      </c>
      <c r="K88" s="12" t="b">
        <v>1</v>
      </c>
      <c r="L88" s="12" t="b">
        <v>1</v>
      </c>
      <c r="M88" s="12" t="b">
        <v>1</v>
      </c>
      <c r="N88" s="12" t="b">
        <v>1</v>
      </c>
    </row>
    <row r="89" spans="1:14" ht="15.75" thickBot="1">
      <c r="A89" s="254"/>
      <c r="B89" s="21">
        <v>10</v>
      </c>
      <c r="C89" s="22">
        <v>236.3833271</v>
      </c>
      <c r="D89" s="17">
        <v>236</v>
      </c>
      <c r="E89" s="9">
        <v>0.82047002400000002</v>
      </c>
      <c r="F89" s="9">
        <v>1.6216329999999999E-3</v>
      </c>
      <c r="G89" s="9">
        <v>-2.8097056980000001</v>
      </c>
      <c r="H89" s="9">
        <v>2.8097056980000001</v>
      </c>
      <c r="I89" s="12" t="b">
        <v>1</v>
      </c>
      <c r="J89" s="12" t="b">
        <v>0</v>
      </c>
      <c r="K89" s="12" t="b">
        <v>1</v>
      </c>
      <c r="L89" s="12" t="b">
        <v>1</v>
      </c>
      <c r="M89" s="12" t="b">
        <v>1</v>
      </c>
      <c r="N89" s="12" t="b">
        <v>1</v>
      </c>
    </row>
    <row r="90" spans="1:14" ht="15.75" thickBot="1">
      <c r="A90" s="254"/>
      <c r="B90" s="21">
        <v>11</v>
      </c>
      <c r="C90" s="22">
        <v>472.7666542</v>
      </c>
      <c r="D90" s="17">
        <v>359</v>
      </c>
      <c r="E90" s="9">
        <v>0.893896146</v>
      </c>
      <c r="F90" s="9">
        <v>0.24064018300000001</v>
      </c>
      <c r="G90" s="9">
        <v>-476.57332430000002</v>
      </c>
      <c r="H90" s="9">
        <v>476.57332430000002</v>
      </c>
      <c r="I90" s="12" t="b">
        <v>1</v>
      </c>
      <c r="J90" s="12" t="b">
        <v>1</v>
      </c>
      <c r="K90" s="12" t="b">
        <v>0</v>
      </c>
      <c r="L90" s="12" t="b">
        <v>0</v>
      </c>
      <c r="M90" s="12" t="b">
        <v>0</v>
      </c>
      <c r="N90" s="12" t="b">
        <v>0</v>
      </c>
    </row>
    <row r="91" spans="1:14" ht="15.75" thickBot="1">
      <c r="A91" s="254"/>
      <c r="B91" s="21">
        <v>12</v>
      </c>
      <c r="C91" s="22">
        <v>315.53388589999997</v>
      </c>
      <c r="D91" s="17">
        <v>319</v>
      </c>
      <c r="E91" s="9">
        <v>2.6940432319999998</v>
      </c>
      <c r="F91" s="9">
        <v>1.0984918999999999E-2</v>
      </c>
      <c r="G91" s="9">
        <v>18.91377159</v>
      </c>
      <c r="H91" s="9">
        <v>18.91377159</v>
      </c>
      <c r="I91" s="12" t="b">
        <v>1</v>
      </c>
      <c r="J91" s="12" t="b">
        <v>0</v>
      </c>
      <c r="K91" s="12" t="b">
        <v>1</v>
      </c>
      <c r="L91" s="12" t="b">
        <v>1</v>
      </c>
      <c r="M91" s="12" t="b">
        <v>1</v>
      </c>
      <c r="N91" s="12" t="b">
        <v>1</v>
      </c>
    </row>
    <row r="92" spans="1:14" ht="15.75" thickBot="1">
      <c r="A92" s="254"/>
      <c r="B92" s="21">
        <v>13</v>
      </c>
      <c r="C92" s="22">
        <v>354.17481179999999</v>
      </c>
      <c r="D92" s="17">
        <v>354</v>
      </c>
      <c r="E92" s="9">
        <v>0.84037551899999996</v>
      </c>
      <c r="F92" s="9">
        <v>4.93575E-4</v>
      </c>
      <c r="G92" s="9">
        <v>-0.85470483200000003</v>
      </c>
      <c r="H92" s="9">
        <v>0.85470483200000003</v>
      </c>
      <c r="I92" s="12" t="b">
        <v>1</v>
      </c>
      <c r="J92" s="12" t="b">
        <v>0</v>
      </c>
      <c r="K92" s="12" t="b">
        <v>1</v>
      </c>
      <c r="L92" s="12" t="b">
        <v>1</v>
      </c>
      <c r="M92" s="12" t="b">
        <v>1</v>
      </c>
      <c r="N92" s="12" t="b">
        <v>1</v>
      </c>
    </row>
    <row r="93" spans="1:14" ht="15.75" thickBot="1">
      <c r="A93" s="254"/>
      <c r="B93" s="21">
        <v>14</v>
      </c>
      <c r="C93" s="22">
        <v>315.53388589999997</v>
      </c>
      <c r="D93" s="17">
        <v>645</v>
      </c>
      <c r="E93" s="9">
        <v>0.82381234000000003</v>
      </c>
      <c r="F93" s="9">
        <v>1.0441544599999999</v>
      </c>
      <c r="G93" s="9">
        <v>1237.805055</v>
      </c>
      <c r="H93" s="9">
        <v>1237.805055</v>
      </c>
      <c r="I93" s="12" t="b">
        <v>1</v>
      </c>
      <c r="J93" s="12" t="b">
        <v>1</v>
      </c>
      <c r="K93" s="12" t="b">
        <v>0</v>
      </c>
      <c r="L93" s="12" t="b">
        <v>0</v>
      </c>
      <c r="M93" s="12" t="b">
        <v>0</v>
      </c>
      <c r="N93" s="12" t="b">
        <v>0</v>
      </c>
    </row>
    <row r="94" spans="1:14" ht="15.75" thickBot="1">
      <c r="A94" s="254"/>
      <c r="B94" s="21">
        <v>15</v>
      </c>
      <c r="C94" s="22">
        <v>236.3833271</v>
      </c>
      <c r="D94" s="17">
        <v>236.5</v>
      </c>
      <c r="E94" s="9">
        <v>0.87253899499999998</v>
      </c>
      <c r="F94" s="9">
        <v>4.93575E-4</v>
      </c>
      <c r="G94" s="9">
        <v>0.854283075</v>
      </c>
      <c r="H94" s="9">
        <v>0.854283075</v>
      </c>
      <c r="I94" s="12" t="b">
        <v>1</v>
      </c>
      <c r="J94" s="12" t="b">
        <v>0</v>
      </c>
      <c r="K94" s="12" t="b">
        <v>1</v>
      </c>
      <c r="L94" s="12" t="b">
        <v>1</v>
      </c>
      <c r="M94" s="12" t="b">
        <v>1</v>
      </c>
      <c r="N94" s="12" t="b">
        <v>1</v>
      </c>
    </row>
    <row r="95" spans="1:14" ht="15.75" thickBot="1">
      <c r="A95" s="255"/>
      <c r="B95" s="21">
        <v>16</v>
      </c>
      <c r="C95" s="22">
        <v>236.3833271</v>
      </c>
      <c r="D95" s="17">
        <v>236</v>
      </c>
      <c r="E95" s="9">
        <v>1.9514677579999999</v>
      </c>
      <c r="F95" s="9">
        <v>1.6216329999999999E-3</v>
      </c>
      <c r="G95" s="9">
        <v>-2.8097056980000001</v>
      </c>
      <c r="H95" s="9">
        <v>2.8097056980000001</v>
      </c>
      <c r="I95" s="12" t="b">
        <v>1</v>
      </c>
      <c r="J95" s="12" t="b">
        <v>0</v>
      </c>
      <c r="K95" s="12" t="b">
        <v>1</v>
      </c>
      <c r="L95" s="12" t="b">
        <v>1</v>
      </c>
      <c r="M95" s="12" t="b">
        <v>1</v>
      </c>
      <c r="N95" s="12" t="b">
        <v>1</v>
      </c>
    </row>
    <row r="96" spans="1:14" ht="15.75" thickBot="1">
      <c r="A96" s="253" t="s">
        <v>27</v>
      </c>
      <c r="B96" s="21">
        <v>1</v>
      </c>
      <c r="C96" s="22">
        <v>355.09877719999997</v>
      </c>
      <c r="D96" s="17">
        <v>351</v>
      </c>
      <c r="E96" s="9">
        <v>0.15</v>
      </c>
      <c r="F96" s="9">
        <v>1.154264E-2</v>
      </c>
      <c r="G96" s="9">
        <v>-20.09923431</v>
      </c>
      <c r="H96" s="9">
        <v>20.09923431</v>
      </c>
      <c r="I96" s="12" t="b">
        <v>1</v>
      </c>
      <c r="J96" s="12" t="b">
        <v>0</v>
      </c>
      <c r="K96" s="12" t="b">
        <v>1</v>
      </c>
      <c r="L96" s="12" t="b">
        <v>1</v>
      </c>
      <c r="M96" s="12" t="b">
        <v>1</v>
      </c>
      <c r="N96" s="12" t="b">
        <v>1</v>
      </c>
    </row>
    <row r="97" spans="1:14" ht="15.75" thickBot="1">
      <c r="A97" s="254"/>
      <c r="B97" s="21">
        <v>2</v>
      </c>
      <c r="C97" s="22">
        <v>474</v>
      </c>
      <c r="D97" s="17">
        <v>467</v>
      </c>
      <c r="E97" s="9">
        <v>0.04</v>
      </c>
      <c r="F97" s="9">
        <v>1.4767931999999999E-2</v>
      </c>
      <c r="G97" s="9">
        <v>-25.75741103</v>
      </c>
      <c r="H97" s="9">
        <v>25.75741103</v>
      </c>
      <c r="I97" s="12" t="b">
        <v>1</v>
      </c>
      <c r="J97" s="12" t="b">
        <v>0</v>
      </c>
      <c r="K97" s="12" t="b">
        <v>1</v>
      </c>
      <c r="L97" s="12" t="b">
        <v>1</v>
      </c>
      <c r="M97" s="12" t="b">
        <v>1</v>
      </c>
      <c r="N97" s="12" t="b">
        <v>1</v>
      </c>
    </row>
    <row r="98" spans="1:14" ht="15.75" thickBot="1">
      <c r="A98" s="254"/>
      <c r="B98" s="21">
        <v>3</v>
      </c>
      <c r="C98" s="22">
        <v>355.09877719999997</v>
      </c>
      <c r="D98" s="17">
        <v>352</v>
      </c>
      <c r="E98" s="9">
        <v>0.12</v>
      </c>
      <c r="F98" s="9">
        <v>8.7265220000000004E-3</v>
      </c>
      <c r="G98" s="9">
        <v>-15.173956309999999</v>
      </c>
      <c r="H98" s="9">
        <v>15.173956309999999</v>
      </c>
      <c r="I98" s="12" t="b">
        <v>1</v>
      </c>
      <c r="J98" s="12" t="b">
        <v>0</v>
      </c>
      <c r="K98" s="12" t="b">
        <v>1</v>
      </c>
      <c r="L98" s="12" t="b">
        <v>1</v>
      </c>
      <c r="M98" s="12" t="b">
        <v>1</v>
      </c>
      <c r="N98" s="12" t="b">
        <v>1</v>
      </c>
    </row>
    <row r="99" spans="1:14" ht="15.75" thickBot="1">
      <c r="A99" s="254"/>
      <c r="B99" s="21">
        <v>4</v>
      </c>
      <c r="C99" s="22">
        <v>355.09877719999997</v>
      </c>
      <c r="D99" s="17">
        <v>354</v>
      </c>
      <c r="E99" s="9">
        <v>0.19</v>
      </c>
      <c r="F99" s="9">
        <v>3.0942859999999999E-3</v>
      </c>
      <c r="G99" s="9">
        <v>-5.3652385779999996</v>
      </c>
      <c r="H99" s="9">
        <v>5.3652385779999996</v>
      </c>
      <c r="I99" s="12" t="b">
        <v>1</v>
      </c>
      <c r="J99" s="12" t="b">
        <v>0</v>
      </c>
      <c r="K99" s="12" t="b">
        <v>1</v>
      </c>
      <c r="L99" s="12" t="b">
        <v>1</v>
      </c>
      <c r="M99" s="12" t="b">
        <v>1</v>
      </c>
      <c r="N99" s="12" t="b">
        <v>1</v>
      </c>
    </row>
    <row r="100" spans="1:14" ht="15.75" thickBot="1">
      <c r="A100" s="254"/>
      <c r="B100" s="21">
        <v>5</v>
      </c>
      <c r="C100" s="22">
        <v>355.09877719999997</v>
      </c>
      <c r="D100" s="17">
        <v>354</v>
      </c>
      <c r="E100" s="9">
        <v>0.14000000000000001</v>
      </c>
      <c r="F100" s="9">
        <v>3.0942859999999999E-3</v>
      </c>
      <c r="G100" s="9">
        <v>-5.3652385779999996</v>
      </c>
      <c r="H100" s="9">
        <v>5.3652385779999996</v>
      </c>
      <c r="I100" s="12" t="b">
        <v>1</v>
      </c>
      <c r="J100" s="12" t="b">
        <v>0</v>
      </c>
      <c r="K100" s="12" t="b">
        <v>1</v>
      </c>
      <c r="L100" s="12" t="b">
        <v>1</v>
      </c>
      <c r="M100" s="12" t="b">
        <v>1</v>
      </c>
      <c r="N100" s="12" t="b">
        <v>1</v>
      </c>
    </row>
    <row r="101" spans="1:14" ht="15.75" thickBot="1">
      <c r="A101" s="254"/>
      <c r="B101" s="21">
        <v>6</v>
      </c>
      <c r="C101" s="22">
        <v>316.3570454</v>
      </c>
      <c r="D101" s="17">
        <v>318</v>
      </c>
      <c r="E101" s="9">
        <v>0.15</v>
      </c>
      <c r="F101" s="9">
        <v>5.1933550000000002E-3</v>
      </c>
      <c r="G101" s="9">
        <v>8.9676476629999993</v>
      </c>
      <c r="H101" s="9">
        <v>8.9676476629999993</v>
      </c>
      <c r="I101" s="12" t="b">
        <v>1</v>
      </c>
      <c r="J101" s="12" t="b">
        <v>0</v>
      </c>
      <c r="K101" s="12" t="b">
        <v>1</v>
      </c>
      <c r="L101" s="12" t="b">
        <v>1</v>
      </c>
      <c r="M101" s="12" t="b">
        <v>1</v>
      </c>
      <c r="N101" s="12" t="b">
        <v>1</v>
      </c>
    </row>
    <row r="102" spans="1:14" ht="15.75" thickBot="1">
      <c r="A102" s="254"/>
      <c r="B102" s="21">
        <v>7</v>
      </c>
      <c r="C102" s="22">
        <v>237</v>
      </c>
      <c r="D102" s="17">
        <v>242</v>
      </c>
      <c r="E102" s="9">
        <v>0.06</v>
      </c>
      <c r="F102" s="9">
        <v>2.1097046000000001E-2</v>
      </c>
      <c r="G102" s="9">
        <v>36.143986050000002</v>
      </c>
      <c r="H102" s="9">
        <v>36.143986050000002</v>
      </c>
      <c r="I102" s="12" t="b">
        <v>1</v>
      </c>
      <c r="J102" s="12" t="b">
        <v>0</v>
      </c>
      <c r="K102" s="12" t="b">
        <v>1</v>
      </c>
      <c r="L102" s="12" t="b">
        <v>1</v>
      </c>
      <c r="M102" s="12" t="b">
        <v>0</v>
      </c>
      <c r="N102" s="12" t="b">
        <v>1</v>
      </c>
    </row>
    <row r="103" spans="1:14" ht="15.75" thickBot="1">
      <c r="A103" s="254"/>
      <c r="B103" s="21">
        <v>8</v>
      </c>
      <c r="C103" s="22">
        <v>237</v>
      </c>
      <c r="D103" s="17">
        <v>237</v>
      </c>
      <c r="E103" s="9">
        <v>0.15</v>
      </c>
      <c r="F103" s="9">
        <v>0</v>
      </c>
      <c r="G103" s="9">
        <v>0</v>
      </c>
      <c r="H103" s="9">
        <v>0</v>
      </c>
      <c r="I103" s="12" t="b">
        <v>1</v>
      </c>
      <c r="J103" s="12" t="b">
        <v>0</v>
      </c>
      <c r="K103" s="12" t="b">
        <v>1</v>
      </c>
      <c r="L103" s="12" t="b">
        <v>1</v>
      </c>
      <c r="M103" s="12" t="b">
        <v>1</v>
      </c>
      <c r="N103" s="12" t="b">
        <v>1</v>
      </c>
    </row>
    <row r="104" spans="1:14" ht="15.75" thickBot="1">
      <c r="A104" s="254"/>
      <c r="B104" s="21">
        <v>9</v>
      </c>
      <c r="C104" s="22">
        <v>316.3570454</v>
      </c>
      <c r="D104" s="17">
        <v>317</v>
      </c>
      <c r="E104" s="9">
        <v>0.15</v>
      </c>
      <c r="F104" s="9">
        <v>2.0323699999999999E-3</v>
      </c>
      <c r="G104" s="9">
        <v>3.5149374889999998</v>
      </c>
      <c r="H104" s="9">
        <v>3.5149374889999998</v>
      </c>
      <c r="I104" s="12" t="b">
        <v>1</v>
      </c>
      <c r="J104" s="12" t="b">
        <v>0</v>
      </c>
      <c r="K104" s="12" t="b">
        <v>1</v>
      </c>
      <c r="L104" s="12" t="b">
        <v>1</v>
      </c>
      <c r="M104" s="12" t="b">
        <v>1</v>
      </c>
      <c r="N104" s="12" t="b">
        <v>1</v>
      </c>
    </row>
    <row r="105" spans="1:14" ht="15.75" thickBot="1">
      <c r="A105" s="254"/>
      <c r="B105" s="21">
        <v>10</v>
      </c>
      <c r="C105" s="22">
        <v>237</v>
      </c>
      <c r="D105" s="17">
        <v>236</v>
      </c>
      <c r="E105" s="9">
        <v>0.08</v>
      </c>
      <c r="F105" s="9">
        <v>4.2194090000000004E-3</v>
      </c>
      <c r="G105" s="9">
        <v>-7.3202394440000003</v>
      </c>
      <c r="H105" s="9">
        <v>7.3202394440000003</v>
      </c>
      <c r="I105" s="12" t="b">
        <v>1</v>
      </c>
      <c r="J105" s="12" t="b">
        <v>0</v>
      </c>
      <c r="K105" s="12" t="b">
        <v>1</v>
      </c>
      <c r="L105" s="12" t="b">
        <v>1</v>
      </c>
      <c r="M105" s="12" t="b">
        <v>1</v>
      </c>
      <c r="N105" s="12" t="b">
        <v>1</v>
      </c>
    </row>
    <row r="106" spans="1:14" ht="15.75" thickBot="1">
      <c r="A106" s="254"/>
      <c r="B106" s="21">
        <v>11</v>
      </c>
      <c r="C106" s="22">
        <v>474</v>
      </c>
      <c r="D106" s="17">
        <v>359</v>
      </c>
      <c r="E106" s="9">
        <v>0.08</v>
      </c>
      <c r="F106" s="9">
        <v>0.24261603400000001</v>
      </c>
      <c r="G106" s="9">
        <v>-481.08385809999999</v>
      </c>
      <c r="H106" s="9">
        <v>481.08385809999999</v>
      </c>
      <c r="I106" s="12" t="b">
        <v>1</v>
      </c>
      <c r="J106" s="12" t="b">
        <v>1</v>
      </c>
      <c r="K106" s="12" t="b">
        <v>0</v>
      </c>
      <c r="L106" s="12" t="b">
        <v>0</v>
      </c>
      <c r="M106" s="12" t="b">
        <v>0</v>
      </c>
      <c r="N106" s="12" t="b">
        <v>0</v>
      </c>
    </row>
    <row r="107" spans="1:14" ht="15.75" thickBot="1">
      <c r="A107" s="254"/>
      <c r="B107" s="21">
        <v>12</v>
      </c>
      <c r="C107" s="22">
        <v>316.3570454</v>
      </c>
      <c r="D107" s="17">
        <v>318</v>
      </c>
      <c r="E107" s="9">
        <v>0.16</v>
      </c>
      <c r="F107" s="9">
        <v>5.1933550000000002E-3</v>
      </c>
      <c r="G107" s="9">
        <v>8.9676476629999993</v>
      </c>
      <c r="H107" s="9">
        <v>8.9676476629999993</v>
      </c>
      <c r="I107" s="12" t="b">
        <v>1</v>
      </c>
      <c r="J107" s="12" t="b">
        <v>0</v>
      </c>
      <c r="K107" s="12" t="b">
        <v>1</v>
      </c>
      <c r="L107" s="12" t="b">
        <v>1</v>
      </c>
      <c r="M107" s="12" t="b">
        <v>1</v>
      </c>
      <c r="N107" s="12" t="b">
        <v>1</v>
      </c>
    </row>
    <row r="108" spans="1:14" ht="15.75" thickBot="1">
      <c r="A108" s="254"/>
      <c r="B108" s="21">
        <v>13</v>
      </c>
      <c r="C108" s="22">
        <v>355.09877719999997</v>
      </c>
      <c r="D108" s="17">
        <v>358</v>
      </c>
      <c r="E108" s="9">
        <v>0.13</v>
      </c>
      <c r="F108" s="9">
        <v>8.1701849999999999E-3</v>
      </c>
      <c r="G108" s="9">
        <v>14.087034040000001</v>
      </c>
      <c r="H108" s="9">
        <v>14.087034040000001</v>
      </c>
      <c r="I108" s="12" t="b">
        <v>1</v>
      </c>
      <c r="J108" s="12" t="b">
        <v>0</v>
      </c>
      <c r="K108" s="12" t="b">
        <v>1</v>
      </c>
      <c r="L108" s="12" t="b">
        <v>1</v>
      </c>
      <c r="M108" s="12" t="b">
        <v>1</v>
      </c>
      <c r="N108" s="12" t="b">
        <v>1</v>
      </c>
    </row>
    <row r="109" spans="1:14" ht="15.75" thickBot="1">
      <c r="A109" s="254"/>
      <c r="B109" s="21">
        <v>14</v>
      </c>
      <c r="C109" s="22">
        <v>316.3570454</v>
      </c>
      <c r="D109" s="17">
        <v>327</v>
      </c>
      <c r="E109" s="9">
        <v>0.05</v>
      </c>
      <c r="F109" s="9">
        <v>3.3642223999999998E-2</v>
      </c>
      <c r="G109" s="9">
        <v>57.284291920000001</v>
      </c>
      <c r="H109" s="9">
        <v>57.284291920000001</v>
      </c>
      <c r="I109" s="12" t="b">
        <v>1</v>
      </c>
      <c r="J109" s="12" t="b">
        <v>0</v>
      </c>
      <c r="K109" s="12" t="b">
        <v>1</v>
      </c>
      <c r="L109" s="12" t="b">
        <v>0</v>
      </c>
      <c r="M109" s="12" t="b">
        <v>0</v>
      </c>
      <c r="N109" s="12" t="b">
        <v>0</v>
      </c>
    </row>
    <row r="110" spans="1:14" ht="15.75" thickBot="1">
      <c r="A110" s="254"/>
      <c r="B110" s="21">
        <v>15</v>
      </c>
      <c r="C110" s="22">
        <v>237</v>
      </c>
      <c r="D110" s="17">
        <v>237</v>
      </c>
      <c r="E110" s="9">
        <v>0.05</v>
      </c>
      <c r="F110" s="9">
        <v>0</v>
      </c>
      <c r="G110" s="9">
        <v>0</v>
      </c>
      <c r="H110" s="9">
        <v>0</v>
      </c>
      <c r="I110" s="12" t="b">
        <v>1</v>
      </c>
      <c r="J110" s="12" t="b">
        <v>0</v>
      </c>
      <c r="K110" s="12" t="b">
        <v>1</v>
      </c>
      <c r="L110" s="12" t="b">
        <v>1</v>
      </c>
      <c r="M110" s="12" t="b">
        <v>1</v>
      </c>
      <c r="N110" s="12" t="b">
        <v>1</v>
      </c>
    </row>
    <row r="111" spans="1:14" ht="15.75" thickBot="1">
      <c r="A111" s="255"/>
      <c r="B111" s="21">
        <v>16</v>
      </c>
      <c r="C111" s="22">
        <v>237</v>
      </c>
      <c r="D111" s="17">
        <v>237</v>
      </c>
      <c r="E111" s="9">
        <v>0.1</v>
      </c>
      <c r="F111" s="9">
        <v>0</v>
      </c>
      <c r="G111" s="9">
        <v>0</v>
      </c>
      <c r="H111" s="9">
        <v>0</v>
      </c>
      <c r="I111" s="12" t="b">
        <v>1</v>
      </c>
      <c r="J111" s="12" t="b">
        <v>0</v>
      </c>
      <c r="K111" s="12" t="b">
        <v>1</v>
      </c>
      <c r="L111" s="12" t="b">
        <v>1</v>
      </c>
      <c r="M111" s="12" t="b">
        <v>1</v>
      </c>
      <c r="N111" s="12" t="b">
        <v>1</v>
      </c>
    </row>
    <row r="112" spans="1:14" ht="15.75" thickBot="1"/>
    <row r="113" spans="1:14" ht="15.75" thickBot="1">
      <c r="A113" s="243" t="s">
        <v>31</v>
      </c>
      <c r="B113" s="243"/>
      <c r="C113" s="243"/>
      <c r="D113" s="243"/>
      <c r="E113" s="243"/>
      <c r="F113" s="243"/>
      <c r="G113" s="243"/>
      <c r="H113" s="243"/>
      <c r="I113" s="243"/>
      <c r="J113" s="243"/>
      <c r="K113" s="243"/>
      <c r="L113" s="243"/>
      <c r="M113" s="243"/>
      <c r="N113" s="243"/>
    </row>
    <row r="114" spans="1:14" s="91" customFormat="1" ht="24.75" thickBot="1">
      <c r="A114" s="95" t="s">
        <v>146</v>
      </c>
      <c r="B114" s="95" t="s">
        <v>13</v>
      </c>
      <c r="C114" s="95" t="s">
        <v>14</v>
      </c>
      <c r="D114" s="95" t="s">
        <v>15</v>
      </c>
      <c r="E114" s="95" t="s">
        <v>16</v>
      </c>
      <c r="F114" s="95" t="s">
        <v>17</v>
      </c>
      <c r="G114" s="95" t="s">
        <v>18</v>
      </c>
      <c r="H114" s="95" t="s">
        <v>19</v>
      </c>
      <c r="I114" s="95" t="s">
        <v>20</v>
      </c>
      <c r="J114" s="95" t="s">
        <v>21</v>
      </c>
      <c r="K114" s="95" t="s">
        <v>22</v>
      </c>
      <c r="L114" s="95" t="s">
        <v>23</v>
      </c>
      <c r="M114" s="95" t="s">
        <v>24</v>
      </c>
      <c r="N114" s="95" t="s">
        <v>25</v>
      </c>
    </row>
    <row r="115" spans="1:14" ht="15.75" thickBot="1">
      <c r="A115" s="253" t="s">
        <v>26</v>
      </c>
      <c r="B115" s="23">
        <v>1</v>
      </c>
      <c r="C115" s="25">
        <v>226.25535529999999</v>
      </c>
      <c r="D115" s="18">
        <v>224</v>
      </c>
      <c r="E115" s="19">
        <v>0.999299143</v>
      </c>
      <c r="F115" s="19">
        <v>9.9681849999999992E-3</v>
      </c>
      <c r="G115" s="19">
        <v>-17.343849290000001</v>
      </c>
      <c r="H115" s="19">
        <v>17.343849290000001</v>
      </c>
      <c r="I115" s="15" t="b">
        <v>1</v>
      </c>
      <c r="J115" s="15" t="b">
        <v>0</v>
      </c>
      <c r="K115" s="15" t="b">
        <v>1</v>
      </c>
      <c r="L115" s="15" t="b">
        <v>1</v>
      </c>
      <c r="M115" s="15" t="b">
        <v>1</v>
      </c>
      <c r="N115" s="15" t="b">
        <v>1</v>
      </c>
    </row>
    <row r="116" spans="1:14" ht="15.75" thickBot="1">
      <c r="A116" s="254"/>
      <c r="B116" s="21">
        <v>2</v>
      </c>
      <c r="C116" s="22">
        <v>253.96304950000001</v>
      </c>
      <c r="D116" s="17">
        <v>233</v>
      </c>
      <c r="E116" s="9">
        <v>0.30930117699999998</v>
      </c>
      <c r="F116" s="9">
        <v>8.2543698999999998E-2</v>
      </c>
      <c r="G116" s="9">
        <v>-149.14638220000001</v>
      </c>
      <c r="H116" s="9">
        <v>149.14638220000001</v>
      </c>
      <c r="I116" s="12" t="b">
        <v>1</v>
      </c>
      <c r="J116" s="12" t="b">
        <v>0</v>
      </c>
      <c r="K116" s="12" t="b">
        <v>1</v>
      </c>
      <c r="L116" s="12" t="b">
        <v>0</v>
      </c>
      <c r="M116" s="12" t="b">
        <v>0</v>
      </c>
      <c r="N116" s="12" t="b">
        <v>0</v>
      </c>
    </row>
    <row r="117" spans="1:14" ht="15.75" thickBot="1">
      <c r="A117" s="254"/>
      <c r="B117" s="21">
        <v>3</v>
      </c>
      <c r="C117" s="22">
        <v>226.25535529999999</v>
      </c>
      <c r="D117" s="17">
        <v>225</v>
      </c>
      <c r="E117" s="9">
        <v>0.26742210599999999</v>
      </c>
      <c r="F117" s="9">
        <v>5.5484000000000002E-3</v>
      </c>
      <c r="G117" s="9">
        <v>-9.6323263029999993</v>
      </c>
      <c r="H117" s="9">
        <v>9.6323263029999993</v>
      </c>
      <c r="I117" s="12" t="b">
        <v>1</v>
      </c>
      <c r="J117" s="12" t="b">
        <v>0</v>
      </c>
      <c r="K117" s="12" t="b">
        <v>1</v>
      </c>
      <c r="L117" s="12" t="b">
        <v>1</v>
      </c>
      <c r="M117" s="12" t="b">
        <v>1</v>
      </c>
      <c r="N117" s="12" t="b">
        <v>1</v>
      </c>
    </row>
    <row r="118" spans="1:14" ht="15.75" thickBot="1">
      <c r="A118" s="254"/>
      <c r="B118" s="21">
        <v>4</v>
      </c>
      <c r="C118" s="22">
        <v>253.96304950000001</v>
      </c>
      <c r="D118" s="17">
        <v>249</v>
      </c>
      <c r="E118" s="9">
        <v>0.39088668399999998</v>
      </c>
      <c r="F118" s="9">
        <v>1.9542408000000001E-2</v>
      </c>
      <c r="G118" s="9">
        <v>-34.167437280000001</v>
      </c>
      <c r="H118" s="9">
        <v>34.167437280000001</v>
      </c>
      <c r="I118" s="12" t="b">
        <v>1</v>
      </c>
      <c r="J118" s="12" t="b">
        <v>0</v>
      </c>
      <c r="K118" s="12" t="b">
        <v>1</v>
      </c>
      <c r="L118" s="12" t="b">
        <v>1</v>
      </c>
      <c r="M118" s="12" t="b">
        <v>0</v>
      </c>
      <c r="N118" s="12" t="b">
        <v>1</v>
      </c>
    </row>
    <row r="119" spans="1:14" ht="15.75" thickBot="1">
      <c r="A119" s="254"/>
      <c r="B119" s="21">
        <v>5</v>
      </c>
      <c r="C119" s="22">
        <v>302.01466540000001</v>
      </c>
      <c r="D119" s="17">
        <v>304.5</v>
      </c>
      <c r="E119" s="9">
        <v>1.053148398</v>
      </c>
      <c r="F119" s="9">
        <v>8.229185E-3</v>
      </c>
      <c r="G119" s="9">
        <v>14.188345719999999</v>
      </c>
      <c r="H119" s="9">
        <v>14.188345719999999</v>
      </c>
      <c r="I119" s="12" t="b">
        <v>1</v>
      </c>
      <c r="J119" s="12" t="b">
        <v>0</v>
      </c>
      <c r="K119" s="12" t="b">
        <v>1</v>
      </c>
      <c r="L119" s="12" t="b">
        <v>1</v>
      </c>
      <c r="M119" s="12" t="b">
        <v>1</v>
      </c>
      <c r="N119" s="12" t="b">
        <v>1</v>
      </c>
    </row>
    <row r="120" spans="1:14" ht="15.75" thickBot="1">
      <c r="A120" s="254"/>
      <c r="B120" s="21">
        <v>6</v>
      </c>
      <c r="C120" s="22">
        <v>339</v>
      </c>
      <c r="D120" s="17">
        <v>338</v>
      </c>
      <c r="E120" s="9">
        <v>0.30554701499999998</v>
      </c>
      <c r="F120" s="9">
        <v>2.9498530000000001E-3</v>
      </c>
      <c r="G120" s="9">
        <v>-5.1144322249999998</v>
      </c>
      <c r="H120" s="9">
        <v>5.1144322249999998</v>
      </c>
      <c r="I120" s="12" t="b">
        <v>1</v>
      </c>
      <c r="J120" s="12" t="b">
        <v>0</v>
      </c>
      <c r="K120" s="12" t="b">
        <v>1</v>
      </c>
      <c r="L120" s="12" t="b">
        <v>1</v>
      </c>
      <c r="M120" s="12" t="b">
        <v>1</v>
      </c>
      <c r="N120" s="12" t="b">
        <v>1</v>
      </c>
    </row>
    <row r="121" spans="1:14" ht="15.75" thickBot="1">
      <c r="A121" s="254"/>
      <c r="B121" s="21">
        <v>7</v>
      </c>
      <c r="C121" s="22">
        <v>302.01466540000001</v>
      </c>
      <c r="D121" s="17">
        <v>305</v>
      </c>
      <c r="E121" s="9">
        <v>0.229704825</v>
      </c>
      <c r="F121" s="9">
        <v>9.8847339999999992E-3</v>
      </c>
      <c r="G121" s="9">
        <v>17.028763179999999</v>
      </c>
      <c r="H121" s="9">
        <v>17.028763179999999</v>
      </c>
      <c r="I121" s="12" t="b">
        <v>1</v>
      </c>
      <c r="J121" s="12" t="b">
        <v>0</v>
      </c>
      <c r="K121" s="12" t="b">
        <v>1</v>
      </c>
      <c r="L121" s="12" t="b">
        <v>1</v>
      </c>
      <c r="M121" s="12" t="b">
        <v>1</v>
      </c>
      <c r="N121" s="12" t="b">
        <v>1</v>
      </c>
    </row>
    <row r="122" spans="1:14" ht="15.75" thickBot="1">
      <c r="A122" s="254"/>
      <c r="B122" s="21">
        <v>8</v>
      </c>
      <c r="C122" s="22">
        <v>339</v>
      </c>
      <c r="D122" s="17">
        <v>337</v>
      </c>
      <c r="E122" s="9">
        <v>0.32478045999999999</v>
      </c>
      <c r="F122" s="9">
        <v>5.8997049999999999E-3</v>
      </c>
      <c r="G122" s="9">
        <v>-10.244018349999999</v>
      </c>
      <c r="H122" s="9">
        <v>10.244018349999999</v>
      </c>
      <c r="I122" s="12" t="b">
        <v>1</v>
      </c>
      <c r="J122" s="12" t="b">
        <v>0</v>
      </c>
      <c r="K122" s="12" t="b">
        <v>1</v>
      </c>
      <c r="L122" s="12" t="b">
        <v>1</v>
      </c>
      <c r="M122" s="12" t="b">
        <v>1</v>
      </c>
      <c r="N122" s="12" t="b">
        <v>1</v>
      </c>
    </row>
    <row r="123" spans="1:14" ht="15.75" thickBot="1">
      <c r="A123" s="254"/>
      <c r="B123" s="21">
        <v>9</v>
      </c>
      <c r="C123" s="22">
        <v>380.51463439999998</v>
      </c>
      <c r="D123" s="17">
        <v>376</v>
      </c>
      <c r="E123" s="9">
        <v>0.69336313500000002</v>
      </c>
      <c r="F123" s="9">
        <v>1.1864549E-2</v>
      </c>
      <c r="G123" s="9">
        <v>-20.66313375</v>
      </c>
      <c r="H123" s="9">
        <v>20.66313375</v>
      </c>
      <c r="I123" s="12" t="b">
        <v>1</v>
      </c>
      <c r="J123" s="12" t="b">
        <v>0</v>
      </c>
      <c r="K123" s="12" t="b">
        <v>1</v>
      </c>
      <c r="L123" s="12" t="b">
        <v>1</v>
      </c>
      <c r="M123" s="12" t="b">
        <v>1</v>
      </c>
      <c r="N123" s="12" t="b">
        <v>1</v>
      </c>
    </row>
    <row r="124" spans="1:14" ht="15.75" thickBot="1">
      <c r="A124" s="254"/>
      <c r="B124" s="21">
        <v>10</v>
      </c>
      <c r="C124" s="22">
        <v>339</v>
      </c>
      <c r="D124" s="17">
        <v>334</v>
      </c>
      <c r="E124" s="9">
        <v>0.27491832999999999</v>
      </c>
      <c r="F124" s="9">
        <v>1.4749263E-2</v>
      </c>
      <c r="G124" s="9">
        <v>-25.724604790000001</v>
      </c>
      <c r="H124" s="9">
        <v>25.724604790000001</v>
      </c>
      <c r="I124" s="12" t="b">
        <v>1</v>
      </c>
      <c r="J124" s="12" t="b">
        <v>0</v>
      </c>
      <c r="K124" s="12" t="b">
        <v>1</v>
      </c>
      <c r="L124" s="12" t="b">
        <v>1</v>
      </c>
      <c r="M124" s="12" t="b">
        <v>1</v>
      </c>
      <c r="N124" s="12" t="b">
        <v>1</v>
      </c>
    </row>
    <row r="125" spans="1:14" ht="15.75" thickBot="1">
      <c r="A125" s="254"/>
      <c r="B125" s="21">
        <v>11</v>
      </c>
      <c r="C125" s="22">
        <v>380.51463439999998</v>
      </c>
      <c r="D125" s="17">
        <v>360</v>
      </c>
      <c r="E125" s="9">
        <v>0.28320553100000001</v>
      </c>
      <c r="F125" s="9">
        <v>5.3912865999999997E-2</v>
      </c>
      <c r="G125" s="9">
        <v>-95.946040170000003</v>
      </c>
      <c r="H125" s="9">
        <v>95.946040170000003</v>
      </c>
      <c r="I125" s="12" t="b">
        <v>1</v>
      </c>
      <c r="J125" s="12" t="b">
        <v>0</v>
      </c>
      <c r="K125" s="12" t="b">
        <v>1</v>
      </c>
      <c r="L125" s="12" t="b">
        <v>0</v>
      </c>
      <c r="M125" s="12" t="b">
        <v>0</v>
      </c>
      <c r="N125" s="12" t="b">
        <v>0</v>
      </c>
    </row>
    <row r="126" spans="1:14" ht="15.75" thickBot="1">
      <c r="A126" s="254"/>
      <c r="B126" s="21">
        <v>12</v>
      </c>
      <c r="C126" s="22">
        <v>302.01466540000001</v>
      </c>
      <c r="D126" s="17">
        <v>306</v>
      </c>
      <c r="E126" s="9">
        <v>0.22042914299999999</v>
      </c>
      <c r="F126" s="9">
        <v>1.3195831E-2</v>
      </c>
      <c r="G126" s="9">
        <v>22.695655469999998</v>
      </c>
      <c r="H126" s="9">
        <v>22.695655469999998</v>
      </c>
      <c r="I126" s="12" t="b">
        <v>1</v>
      </c>
      <c r="J126" s="12" t="b">
        <v>0</v>
      </c>
      <c r="K126" s="12" t="b">
        <v>1</v>
      </c>
      <c r="L126" s="12" t="b">
        <v>1</v>
      </c>
      <c r="M126" s="12" t="b">
        <v>1</v>
      </c>
      <c r="N126" s="12" t="b">
        <v>1</v>
      </c>
    </row>
    <row r="127" spans="1:14" ht="15.75" thickBot="1">
      <c r="A127" s="254"/>
      <c r="B127" s="21">
        <v>13</v>
      </c>
      <c r="C127" s="22">
        <v>253.96304950000001</v>
      </c>
      <c r="D127" s="17">
        <v>237</v>
      </c>
      <c r="E127" s="9">
        <v>0.35591704299999999</v>
      </c>
      <c r="F127" s="9">
        <v>6.6793376000000002E-2</v>
      </c>
      <c r="G127" s="9">
        <v>-119.6778571</v>
      </c>
      <c r="H127" s="9">
        <v>119.6778571</v>
      </c>
      <c r="I127" s="12" t="b">
        <v>1</v>
      </c>
      <c r="J127" s="12" t="b">
        <v>0</v>
      </c>
      <c r="K127" s="12" t="b">
        <v>1</v>
      </c>
      <c r="L127" s="12" t="b">
        <v>0</v>
      </c>
      <c r="M127" s="12" t="b">
        <v>0</v>
      </c>
      <c r="N127" s="12" t="b">
        <v>0</v>
      </c>
    </row>
    <row r="128" spans="1:14" ht="15.75" thickBot="1">
      <c r="A128" s="254"/>
      <c r="B128" s="21">
        <v>14</v>
      </c>
      <c r="C128" s="22">
        <v>226.25535529999999</v>
      </c>
      <c r="D128" s="17">
        <v>218</v>
      </c>
      <c r="E128" s="9">
        <v>1.0481513119999999</v>
      </c>
      <c r="F128" s="9">
        <v>3.6486894999999998E-2</v>
      </c>
      <c r="G128" s="9">
        <v>-64.348566030000001</v>
      </c>
      <c r="H128" s="9">
        <v>64.348566030000001</v>
      </c>
      <c r="I128" s="12" t="b">
        <v>1</v>
      </c>
      <c r="J128" s="12" t="b">
        <v>0</v>
      </c>
      <c r="K128" s="12" t="b">
        <v>1</v>
      </c>
      <c r="L128" s="12" t="b">
        <v>0</v>
      </c>
      <c r="M128" s="12" t="b">
        <v>0</v>
      </c>
      <c r="N128" s="12" t="b">
        <v>0</v>
      </c>
    </row>
    <row r="129" spans="1:14" ht="15.75" thickBot="1">
      <c r="A129" s="254"/>
      <c r="B129" s="21">
        <v>15</v>
      </c>
      <c r="C129" s="22">
        <v>253.96304950000001</v>
      </c>
      <c r="D129" s="17">
        <v>255</v>
      </c>
      <c r="E129" s="9">
        <v>0.30694149100000001</v>
      </c>
      <c r="F129" s="9">
        <v>4.0830759999999997E-3</v>
      </c>
      <c r="G129" s="9">
        <v>7.0543684669999998</v>
      </c>
      <c r="H129" s="9">
        <v>7.0543684669999998</v>
      </c>
      <c r="I129" s="12" t="b">
        <v>1</v>
      </c>
      <c r="J129" s="12" t="b">
        <v>0</v>
      </c>
      <c r="K129" s="12" t="b">
        <v>1</v>
      </c>
      <c r="L129" s="12" t="b">
        <v>1</v>
      </c>
      <c r="M129" s="12" t="b">
        <v>1</v>
      </c>
      <c r="N129" s="12" t="b">
        <v>1</v>
      </c>
    </row>
    <row r="130" spans="1:14" ht="15.75" thickBot="1">
      <c r="A130" s="254"/>
      <c r="B130" s="21">
        <v>16</v>
      </c>
      <c r="C130" s="22">
        <v>226.25535529999999</v>
      </c>
      <c r="D130" s="17">
        <v>228</v>
      </c>
      <c r="E130" s="9">
        <v>0.28918415800000002</v>
      </c>
      <c r="F130" s="9">
        <v>7.7109539999999999E-3</v>
      </c>
      <c r="G130" s="9">
        <v>13.29826123</v>
      </c>
      <c r="H130" s="9">
        <v>13.29826123</v>
      </c>
      <c r="I130" s="12" t="b">
        <v>1</v>
      </c>
      <c r="J130" s="12" t="b">
        <v>0</v>
      </c>
      <c r="K130" s="12" t="b">
        <v>1</v>
      </c>
      <c r="L130" s="12" t="b">
        <v>1</v>
      </c>
      <c r="M130" s="12" t="b">
        <v>1</v>
      </c>
      <c r="N130" s="12" t="b">
        <v>1</v>
      </c>
    </row>
    <row r="131" spans="1:14" ht="15.75" thickBot="1">
      <c r="A131" s="254"/>
      <c r="B131" s="21">
        <v>17</v>
      </c>
      <c r="C131" s="22">
        <v>253.96304950000001</v>
      </c>
      <c r="D131" s="17">
        <v>179</v>
      </c>
      <c r="E131" s="9">
        <v>0.240474786</v>
      </c>
      <c r="F131" s="9">
        <v>0.29517305599999999</v>
      </c>
      <c r="G131" s="9">
        <v>-605.590823</v>
      </c>
      <c r="H131" s="9">
        <v>605.590823</v>
      </c>
      <c r="I131" s="12" t="b">
        <v>1</v>
      </c>
      <c r="J131" s="12" t="b">
        <v>1</v>
      </c>
      <c r="K131" s="12" t="b">
        <v>0</v>
      </c>
      <c r="L131" s="12" t="b">
        <v>0</v>
      </c>
      <c r="M131" s="12" t="b">
        <v>0</v>
      </c>
      <c r="N131" s="12" t="b">
        <v>0</v>
      </c>
    </row>
    <row r="132" spans="1:14" ht="15.75" thickBot="1">
      <c r="A132" s="254"/>
      <c r="B132" s="21">
        <v>18</v>
      </c>
      <c r="C132" s="22">
        <v>302.01466540000001</v>
      </c>
      <c r="D132" s="17">
        <v>306</v>
      </c>
      <c r="E132" s="9">
        <v>1.1722808730000001</v>
      </c>
      <c r="F132" s="9">
        <v>1.3195831E-2</v>
      </c>
      <c r="G132" s="9">
        <v>22.695655469999998</v>
      </c>
      <c r="H132" s="9">
        <v>22.695655469999998</v>
      </c>
      <c r="I132" s="12" t="b">
        <v>1</v>
      </c>
      <c r="J132" s="12" t="b">
        <v>0</v>
      </c>
      <c r="K132" s="12" t="b">
        <v>1</v>
      </c>
      <c r="L132" s="12" t="b">
        <v>1</v>
      </c>
      <c r="M132" s="12" t="b">
        <v>1</v>
      </c>
      <c r="N132" s="12" t="b">
        <v>1</v>
      </c>
    </row>
    <row r="133" spans="1:14" ht="15.75" thickBot="1">
      <c r="A133" s="254"/>
      <c r="B133" s="21">
        <v>19</v>
      </c>
      <c r="C133" s="22">
        <v>339</v>
      </c>
      <c r="D133" s="17">
        <v>339</v>
      </c>
      <c r="E133" s="9">
        <v>0.29347819000000003</v>
      </c>
      <c r="F133" s="9">
        <v>0</v>
      </c>
      <c r="G133" s="9">
        <v>0</v>
      </c>
      <c r="H133" s="9">
        <v>0</v>
      </c>
      <c r="I133" s="12" t="b">
        <v>1</v>
      </c>
      <c r="J133" s="12" t="b">
        <v>0</v>
      </c>
      <c r="K133" s="12" t="b">
        <v>1</v>
      </c>
      <c r="L133" s="12" t="b">
        <v>1</v>
      </c>
      <c r="M133" s="12" t="b">
        <v>1</v>
      </c>
      <c r="N133" s="12" t="b">
        <v>1</v>
      </c>
    </row>
    <row r="134" spans="1:14" ht="15.75" thickBot="1">
      <c r="A134" s="254"/>
      <c r="B134" s="21">
        <v>20</v>
      </c>
      <c r="C134" s="22">
        <v>302.01466540000001</v>
      </c>
      <c r="D134" s="17">
        <v>307.5</v>
      </c>
      <c r="E134" s="9">
        <v>0.26337951199999998</v>
      </c>
      <c r="F134" s="9">
        <v>1.8162477E-2</v>
      </c>
      <c r="G134" s="9">
        <v>31.161364509999999</v>
      </c>
      <c r="H134" s="9">
        <v>31.161364509999999</v>
      </c>
      <c r="I134" s="12" t="b">
        <v>1</v>
      </c>
      <c r="J134" s="12" t="b">
        <v>0</v>
      </c>
      <c r="K134" s="12" t="b">
        <v>1</v>
      </c>
      <c r="L134" s="12" t="b">
        <v>1</v>
      </c>
      <c r="M134" s="12" t="b">
        <v>0</v>
      </c>
      <c r="N134" s="12" t="b">
        <v>1</v>
      </c>
    </row>
    <row r="135" spans="1:14" ht="15.75" thickBot="1">
      <c r="A135" s="254"/>
      <c r="B135" s="21">
        <v>21</v>
      </c>
      <c r="C135" s="22">
        <v>339</v>
      </c>
      <c r="D135" s="17">
        <v>340.5</v>
      </c>
      <c r="E135" s="9">
        <v>0.35257588400000001</v>
      </c>
      <c r="F135" s="9">
        <v>4.4247790000000002E-3</v>
      </c>
      <c r="G135" s="9">
        <v>7.6434298509999996</v>
      </c>
      <c r="H135" s="9">
        <v>7.6434298509999996</v>
      </c>
      <c r="I135" s="12" t="b">
        <v>1</v>
      </c>
      <c r="J135" s="12" t="b">
        <v>0</v>
      </c>
      <c r="K135" s="12" t="b">
        <v>1</v>
      </c>
      <c r="L135" s="12" t="b">
        <v>1</v>
      </c>
      <c r="M135" s="12" t="b">
        <v>1</v>
      </c>
      <c r="N135" s="12" t="b">
        <v>1</v>
      </c>
    </row>
    <row r="136" spans="1:14" ht="15.75" thickBot="1">
      <c r="A136" s="254"/>
      <c r="B136" s="21">
        <v>22</v>
      </c>
      <c r="C136" s="22">
        <v>380.51463439999998</v>
      </c>
      <c r="D136" s="17">
        <v>379</v>
      </c>
      <c r="E136" s="9">
        <v>0.26453354600000001</v>
      </c>
      <c r="F136" s="9">
        <v>3.9804890000000002E-3</v>
      </c>
      <c r="G136" s="9">
        <v>-6.9049099580000002</v>
      </c>
      <c r="H136" s="9">
        <v>6.9049099580000002</v>
      </c>
      <c r="I136" s="12" t="b">
        <v>1</v>
      </c>
      <c r="J136" s="12" t="b">
        <v>0</v>
      </c>
      <c r="K136" s="12" t="b">
        <v>1</v>
      </c>
      <c r="L136" s="12" t="b">
        <v>1</v>
      </c>
      <c r="M136" s="12" t="b">
        <v>1</v>
      </c>
      <c r="N136" s="12" t="b">
        <v>1</v>
      </c>
    </row>
    <row r="137" spans="1:14" ht="15.75" thickBot="1">
      <c r="A137" s="254"/>
      <c r="B137" s="21">
        <v>23</v>
      </c>
      <c r="C137" s="22">
        <v>339</v>
      </c>
      <c r="D137" s="17">
        <v>345</v>
      </c>
      <c r="E137" s="9">
        <v>0.32141839100000003</v>
      </c>
      <c r="F137" s="9">
        <v>1.7699115000000001E-2</v>
      </c>
      <c r="G137" s="9">
        <v>30.373306240000002</v>
      </c>
      <c r="H137" s="9">
        <v>30.373306240000002</v>
      </c>
      <c r="I137" s="12" t="b">
        <v>1</v>
      </c>
      <c r="J137" s="12" t="b">
        <v>0</v>
      </c>
      <c r="K137" s="12" t="b">
        <v>1</v>
      </c>
      <c r="L137" s="12" t="b">
        <v>1</v>
      </c>
      <c r="M137" s="12" t="b">
        <v>0</v>
      </c>
      <c r="N137" s="12" t="b">
        <v>1</v>
      </c>
    </row>
    <row r="138" spans="1:14" ht="15.75" thickBot="1">
      <c r="A138" s="254"/>
      <c r="B138" s="21">
        <v>24</v>
      </c>
      <c r="C138" s="22">
        <v>302.01466540000001</v>
      </c>
      <c r="D138" s="17">
        <v>311</v>
      </c>
      <c r="E138" s="9">
        <v>0.29655043399999997</v>
      </c>
      <c r="F138" s="9">
        <v>2.9751318999999998E-2</v>
      </c>
      <c r="G138" s="9">
        <v>50.755168390000001</v>
      </c>
      <c r="H138" s="9">
        <v>50.755168390000001</v>
      </c>
      <c r="I138" s="12" t="b">
        <v>1</v>
      </c>
      <c r="J138" s="12" t="b">
        <v>0</v>
      </c>
      <c r="K138" s="12" t="b">
        <v>1</v>
      </c>
      <c r="L138" s="12" t="b">
        <v>0</v>
      </c>
      <c r="M138" s="12" t="b">
        <v>0</v>
      </c>
      <c r="N138" s="12" t="b">
        <v>0</v>
      </c>
    </row>
    <row r="139" spans="1:14" ht="15.75" thickBot="1">
      <c r="A139" s="254"/>
      <c r="B139" s="21">
        <v>25</v>
      </c>
      <c r="C139" s="22">
        <v>253.96304950000001</v>
      </c>
      <c r="D139" s="17">
        <v>254</v>
      </c>
      <c r="E139" s="9">
        <v>0.309719776</v>
      </c>
      <c r="F139" s="9">
        <v>1.4549499999999999E-4</v>
      </c>
      <c r="G139" s="9">
        <v>0.25186836299999998</v>
      </c>
      <c r="H139" s="9">
        <v>0.25186836299999998</v>
      </c>
      <c r="I139" s="12" t="b">
        <v>1</v>
      </c>
      <c r="J139" s="12" t="b">
        <v>0</v>
      </c>
      <c r="K139" s="12" t="b">
        <v>1</v>
      </c>
      <c r="L139" s="12" t="b">
        <v>1</v>
      </c>
      <c r="M139" s="12" t="b">
        <v>1</v>
      </c>
      <c r="N139" s="12" t="b">
        <v>1</v>
      </c>
    </row>
    <row r="140" spans="1:14" ht="15.75" thickBot="1">
      <c r="A140" s="254"/>
      <c r="B140" s="21">
        <v>26</v>
      </c>
      <c r="C140" s="22">
        <v>226.25535529999999</v>
      </c>
      <c r="D140" s="17">
        <v>228</v>
      </c>
      <c r="E140" s="9">
        <v>0.30884236900000001</v>
      </c>
      <c r="F140" s="9">
        <v>7.7109539999999999E-3</v>
      </c>
      <c r="G140" s="9">
        <v>13.29826123</v>
      </c>
      <c r="H140" s="9">
        <v>13.29826123</v>
      </c>
      <c r="I140" s="12" t="b">
        <v>1</v>
      </c>
      <c r="J140" s="12" t="b">
        <v>0</v>
      </c>
      <c r="K140" s="12" t="b">
        <v>1</v>
      </c>
      <c r="L140" s="12" t="b">
        <v>1</v>
      </c>
      <c r="M140" s="12" t="b">
        <v>1</v>
      </c>
      <c r="N140" s="12" t="b">
        <v>1</v>
      </c>
    </row>
    <row r="141" spans="1:14" ht="15.75" thickBot="1">
      <c r="A141" s="254"/>
      <c r="B141" s="21">
        <v>27</v>
      </c>
      <c r="C141" s="22">
        <v>253.96304950000001</v>
      </c>
      <c r="D141" s="17">
        <v>262</v>
      </c>
      <c r="E141" s="9">
        <v>0.27551685599999998</v>
      </c>
      <c r="F141" s="9">
        <v>3.1646141000000003E-2</v>
      </c>
      <c r="G141" s="9">
        <v>53.93784608</v>
      </c>
      <c r="H141" s="9">
        <v>53.93784608</v>
      </c>
      <c r="I141" s="12" t="b">
        <v>1</v>
      </c>
      <c r="J141" s="12" t="b">
        <v>0</v>
      </c>
      <c r="K141" s="12" t="b">
        <v>1</v>
      </c>
      <c r="L141" s="12" t="b">
        <v>0</v>
      </c>
      <c r="M141" s="12" t="b">
        <v>0</v>
      </c>
      <c r="N141" s="12" t="b">
        <v>0</v>
      </c>
    </row>
    <row r="142" spans="1:14" ht="15.75" thickBot="1">
      <c r="A142" s="254"/>
      <c r="B142" s="21">
        <v>28</v>
      </c>
      <c r="C142" s="22">
        <v>302.01466540000001</v>
      </c>
      <c r="D142" s="17">
        <v>307</v>
      </c>
      <c r="E142" s="9">
        <v>1.0945108910000001</v>
      </c>
      <c r="F142" s="9">
        <v>1.6506929E-2</v>
      </c>
      <c r="G142" s="9">
        <v>28.34405868</v>
      </c>
      <c r="H142" s="9">
        <v>28.34405868</v>
      </c>
      <c r="I142" s="12" t="b">
        <v>1</v>
      </c>
      <c r="J142" s="12" t="b">
        <v>0</v>
      </c>
      <c r="K142" s="12" t="b">
        <v>1</v>
      </c>
      <c r="L142" s="12" t="b">
        <v>1</v>
      </c>
      <c r="M142" s="12" t="b">
        <v>1</v>
      </c>
      <c r="N142" s="12" t="b">
        <v>1</v>
      </c>
    </row>
    <row r="143" spans="1:14" ht="15.75" thickBot="1">
      <c r="A143" s="254"/>
      <c r="B143" s="21">
        <v>29</v>
      </c>
      <c r="C143" s="22">
        <v>339</v>
      </c>
      <c r="D143" s="17">
        <v>303</v>
      </c>
      <c r="E143" s="9">
        <v>0.36682890699999998</v>
      </c>
      <c r="F143" s="9">
        <v>0.10619468999999999</v>
      </c>
      <c r="G143" s="9">
        <v>-194.36097559999999</v>
      </c>
      <c r="H143" s="9">
        <v>194.36097559999999</v>
      </c>
      <c r="I143" s="12" t="b">
        <v>1</v>
      </c>
      <c r="J143" s="12" t="b">
        <v>0</v>
      </c>
      <c r="K143" s="12" t="b">
        <v>1</v>
      </c>
      <c r="L143" s="12" t="b">
        <v>0</v>
      </c>
      <c r="M143" s="12" t="b">
        <v>0</v>
      </c>
      <c r="N143" s="12" t="b">
        <v>0</v>
      </c>
    </row>
    <row r="144" spans="1:14" ht="15.75" thickBot="1">
      <c r="A144" s="254"/>
      <c r="B144" s="26"/>
      <c r="C144" s="22">
        <v>302.01466540000001</v>
      </c>
      <c r="D144" s="20"/>
      <c r="E144" s="10"/>
      <c r="F144" s="10"/>
      <c r="G144" s="10"/>
      <c r="H144" s="10"/>
      <c r="I144" s="12" t="b">
        <v>0</v>
      </c>
      <c r="J144" s="12" t="b">
        <v>1</v>
      </c>
      <c r="K144" s="12" t="b">
        <v>0</v>
      </c>
      <c r="L144" s="12" t="b">
        <v>0</v>
      </c>
      <c r="M144" s="12" t="b">
        <v>0</v>
      </c>
      <c r="N144" s="12" t="b">
        <v>0</v>
      </c>
    </row>
    <row r="145" spans="1:14" ht="15.75" thickBot="1">
      <c r="A145" s="255"/>
      <c r="B145" s="26"/>
      <c r="C145" s="22">
        <v>302.01466540000001</v>
      </c>
      <c r="D145" s="20"/>
      <c r="E145" s="10"/>
      <c r="F145" s="10"/>
      <c r="G145" s="10"/>
      <c r="H145" s="10"/>
      <c r="I145" s="12" t="b">
        <v>0</v>
      </c>
      <c r="J145" s="12" t="b">
        <v>1</v>
      </c>
      <c r="K145" s="12" t="b">
        <v>0</v>
      </c>
      <c r="L145" s="12" t="b">
        <v>0</v>
      </c>
      <c r="M145" s="12" t="b">
        <v>0</v>
      </c>
      <c r="N145" s="12" t="b">
        <v>0</v>
      </c>
    </row>
    <row r="146" spans="1:14" ht="15.75" thickBot="1">
      <c r="A146" s="253" t="s">
        <v>27</v>
      </c>
      <c r="B146" s="21">
        <v>1</v>
      </c>
      <c r="C146" s="22">
        <v>225.7939677</v>
      </c>
      <c r="D146" s="17">
        <v>223</v>
      </c>
      <c r="E146" s="9">
        <v>0.13</v>
      </c>
      <c r="F146" s="9">
        <v>1.237397E-2</v>
      </c>
      <c r="G146" s="9">
        <v>-21.555880040000002</v>
      </c>
      <c r="H146" s="9">
        <v>21.555880040000002</v>
      </c>
      <c r="I146" s="12" t="b">
        <v>1</v>
      </c>
      <c r="J146" s="12" t="b">
        <v>0</v>
      </c>
      <c r="K146" s="12" t="b">
        <v>1</v>
      </c>
      <c r="L146" s="12" t="b">
        <v>1</v>
      </c>
      <c r="M146" s="12" t="b">
        <v>1</v>
      </c>
      <c r="N146" s="12" t="b">
        <v>1</v>
      </c>
    </row>
    <row r="147" spans="1:14" ht="15.75" thickBot="1">
      <c r="A147" s="254"/>
      <c r="B147" s="21">
        <v>2</v>
      </c>
      <c r="C147" s="22">
        <v>253.44515949999999</v>
      </c>
      <c r="D147" s="17">
        <v>251</v>
      </c>
      <c r="E147" s="9">
        <v>6.7781902000000005E-2</v>
      </c>
      <c r="F147" s="9">
        <v>9.6476870000000003E-3</v>
      </c>
      <c r="G147" s="9">
        <v>-16.783495210000002</v>
      </c>
      <c r="H147" s="9">
        <v>16.783495210000002</v>
      </c>
      <c r="I147" s="12" t="b">
        <v>1</v>
      </c>
      <c r="J147" s="12" t="b">
        <v>0</v>
      </c>
      <c r="K147" s="12" t="b">
        <v>1</v>
      </c>
      <c r="L147" s="12" t="b">
        <v>1</v>
      </c>
      <c r="M147" s="12" t="b">
        <v>1</v>
      </c>
      <c r="N147" s="12" t="b">
        <v>1</v>
      </c>
    </row>
    <row r="148" spans="1:14" ht="15.75" thickBot="1">
      <c r="A148" s="254"/>
      <c r="B148" s="21">
        <v>3</v>
      </c>
      <c r="C148" s="22">
        <v>225.7939677</v>
      </c>
      <c r="D148" s="17">
        <v>223</v>
      </c>
      <c r="E148" s="9">
        <v>0.02</v>
      </c>
      <c r="F148" s="9">
        <v>1.237397E-2</v>
      </c>
      <c r="G148" s="9">
        <v>-21.555880040000002</v>
      </c>
      <c r="H148" s="9">
        <v>21.555880040000002</v>
      </c>
      <c r="I148" s="12" t="b">
        <v>1</v>
      </c>
      <c r="J148" s="12" t="b">
        <v>0</v>
      </c>
      <c r="K148" s="12" t="b">
        <v>1</v>
      </c>
      <c r="L148" s="12" t="b">
        <v>1</v>
      </c>
      <c r="M148" s="12" t="b">
        <v>1</v>
      </c>
      <c r="N148" s="12" t="b">
        <v>1</v>
      </c>
    </row>
    <row r="149" spans="1:14" ht="15.75" thickBot="1">
      <c r="A149" s="254"/>
      <c r="B149" s="21">
        <v>4</v>
      </c>
      <c r="C149" s="22">
        <v>253.44515949999999</v>
      </c>
      <c r="D149" s="17">
        <v>250</v>
      </c>
      <c r="E149" s="9">
        <v>0.11</v>
      </c>
      <c r="F149" s="9">
        <v>1.3593312999999999E-2</v>
      </c>
      <c r="G149" s="9">
        <v>-23.694618349999999</v>
      </c>
      <c r="H149" s="9">
        <v>23.694618349999999</v>
      </c>
      <c r="I149" s="12" t="b">
        <v>1</v>
      </c>
      <c r="J149" s="12" t="b">
        <v>0</v>
      </c>
      <c r="K149" s="12" t="b">
        <v>1</v>
      </c>
      <c r="L149" s="12" t="b">
        <v>1</v>
      </c>
      <c r="M149" s="12" t="b">
        <v>1</v>
      </c>
      <c r="N149" s="12" t="b">
        <v>1</v>
      </c>
    </row>
    <row r="150" spans="1:14" ht="15.75" thickBot="1">
      <c r="A150" s="254"/>
      <c r="B150" s="26"/>
      <c r="C150" s="22">
        <v>301.3987869</v>
      </c>
      <c r="D150" s="20"/>
      <c r="E150" s="10"/>
      <c r="F150" s="10"/>
      <c r="G150" s="10"/>
      <c r="H150" s="10"/>
      <c r="I150" s="12" t="b">
        <v>0</v>
      </c>
      <c r="J150" s="12" t="b">
        <v>1</v>
      </c>
      <c r="K150" s="12" t="b">
        <v>0</v>
      </c>
      <c r="L150" s="12" t="b">
        <v>0</v>
      </c>
      <c r="M150" s="12" t="b">
        <v>0</v>
      </c>
      <c r="N150" s="12" t="b">
        <v>0</v>
      </c>
    </row>
    <row r="151" spans="1:14" ht="15.75" thickBot="1">
      <c r="A151" s="254"/>
      <c r="B151" s="21">
        <v>6</v>
      </c>
      <c r="C151" s="22">
        <v>338.30869969999998</v>
      </c>
      <c r="D151" s="17">
        <v>338</v>
      </c>
      <c r="E151" s="9">
        <v>0.03</v>
      </c>
      <c r="F151" s="9">
        <v>9.12479E-4</v>
      </c>
      <c r="G151" s="9">
        <v>-1.580436409</v>
      </c>
      <c r="H151" s="9">
        <v>1.580436409</v>
      </c>
      <c r="I151" s="12" t="b">
        <v>1</v>
      </c>
      <c r="J151" s="12" t="b">
        <v>0</v>
      </c>
      <c r="K151" s="12" t="b">
        <v>1</v>
      </c>
      <c r="L151" s="12" t="b">
        <v>1</v>
      </c>
      <c r="M151" s="12" t="b">
        <v>1</v>
      </c>
      <c r="N151" s="12" t="b">
        <v>1</v>
      </c>
    </row>
    <row r="152" spans="1:14" ht="15.75" thickBot="1">
      <c r="A152" s="254"/>
      <c r="B152" s="21">
        <v>7</v>
      </c>
      <c r="C152" s="22">
        <v>301.3987869</v>
      </c>
      <c r="D152" s="17">
        <v>306</v>
      </c>
      <c r="E152" s="9">
        <v>0.08</v>
      </c>
      <c r="F152" s="9">
        <v>1.5266197E-2</v>
      </c>
      <c r="G152" s="9">
        <v>26.229651279999999</v>
      </c>
      <c r="H152" s="9">
        <v>26.229651279999999</v>
      </c>
      <c r="I152" s="12" t="b">
        <v>1</v>
      </c>
      <c r="J152" s="12" t="b">
        <v>0</v>
      </c>
      <c r="K152" s="12" t="b">
        <v>1</v>
      </c>
      <c r="L152" s="12" t="b">
        <v>1</v>
      </c>
      <c r="M152" s="12" t="b">
        <v>1</v>
      </c>
      <c r="N152" s="12" t="b">
        <v>1</v>
      </c>
    </row>
    <row r="153" spans="1:14" ht="15.75" thickBot="1">
      <c r="A153" s="254"/>
      <c r="B153" s="21">
        <v>8</v>
      </c>
      <c r="C153" s="22">
        <v>338.30869969999998</v>
      </c>
      <c r="D153" s="17">
        <v>338</v>
      </c>
      <c r="E153" s="9">
        <v>7.0000000000000007E-2</v>
      </c>
      <c r="F153" s="9">
        <v>9.12479E-4</v>
      </c>
      <c r="G153" s="9">
        <v>-1.580436409</v>
      </c>
      <c r="H153" s="9">
        <v>1.580436409</v>
      </c>
      <c r="I153" s="12" t="b">
        <v>1</v>
      </c>
      <c r="J153" s="12" t="b">
        <v>0</v>
      </c>
      <c r="K153" s="12" t="b">
        <v>1</v>
      </c>
      <c r="L153" s="12" t="b">
        <v>1</v>
      </c>
      <c r="M153" s="12" t="b">
        <v>1</v>
      </c>
      <c r="N153" s="12" t="b">
        <v>1</v>
      </c>
    </row>
    <row r="154" spans="1:14" ht="15.75" thickBot="1">
      <c r="A154" s="254"/>
      <c r="B154" s="21">
        <v>9</v>
      </c>
      <c r="C154" s="22">
        <v>379.738676</v>
      </c>
      <c r="D154" s="17">
        <v>376</v>
      </c>
      <c r="E154" s="9">
        <v>6.7104631999999997E-2</v>
      </c>
      <c r="F154" s="9">
        <v>9.8453919999999997E-3</v>
      </c>
      <c r="G154" s="9">
        <v>-17.129137929999999</v>
      </c>
      <c r="H154" s="9">
        <v>17.129137929999999</v>
      </c>
      <c r="I154" s="12" t="b">
        <v>1</v>
      </c>
      <c r="J154" s="12" t="b">
        <v>0</v>
      </c>
      <c r="K154" s="12" t="b">
        <v>1</v>
      </c>
      <c r="L154" s="12" t="b">
        <v>1</v>
      </c>
      <c r="M154" s="12" t="b">
        <v>1</v>
      </c>
      <c r="N154" s="12" t="b">
        <v>1</v>
      </c>
    </row>
    <row r="155" spans="1:14" ht="15.75" thickBot="1">
      <c r="A155" s="254"/>
      <c r="B155" s="21">
        <v>10</v>
      </c>
      <c r="C155" s="22">
        <v>338.30869969999998</v>
      </c>
      <c r="D155" s="17">
        <v>334</v>
      </c>
      <c r="E155" s="9">
        <v>0.05</v>
      </c>
      <c r="F155" s="9">
        <v>1.2736000000000001E-2</v>
      </c>
      <c r="G155" s="9">
        <v>-22.19060898</v>
      </c>
      <c r="H155" s="9">
        <v>22.19060898</v>
      </c>
      <c r="I155" s="12" t="b">
        <v>1</v>
      </c>
      <c r="J155" s="12" t="b">
        <v>0</v>
      </c>
      <c r="K155" s="12" t="b">
        <v>1</v>
      </c>
      <c r="L155" s="12" t="b">
        <v>1</v>
      </c>
      <c r="M155" s="12" t="b">
        <v>1</v>
      </c>
      <c r="N155" s="12" t="b">
        <v>1</v>
      </c>
    </row>
    <row r="156" spans="1:14" ht="15.75" thickBot="1">
      <c r="A156" s="254"/>
      <c r="B156" s="21">
        <v>11</v>
      </c>
      <c r="C156" s="22">
        <v>379.738676</v>
      </c>
      <c r="D156" s="17">
        <v>377</v>
      </c>
      <c r="E156" s="9">
        <v>0.1</v>
      </c>
      <c r="F156" s="9">
        <v>7.2120020000000003E-3</v>
      </c>
      <c r="G156" s="9">
        <v>-12.53090403</v>
      </c>
      <c r="H156" s="9">
        <v>12.53090403</v>
      </c>
      <c r="I156" s="12" t="b">
        <v>1</v>
      </c>
      <c r="J156" s="12" t="b">
        <v>0</v>
      </c>
      <c r="K156" s="12" t="b">
        <v>1</v>
      </c>
      <c r="L156" s="12" t="b">
        <v>1</v>
      </c>
      <c r="M156" s="12" t="b">
        <v>1</v>
      </c>
      <c r="N156" s="12" t="b">
        <v>1</v>
      </c>
    </row>
    <row r="157" spans="1:14" ht="15.75" thickBot="1">
      <c r="A157" s="254"/>
      <c r="B157" s="21">
        <v>12</v>
      </c>
      <c r="C157" s="22">
        <v>301.3987869</v>
      </c>
      <c r="D157" s="17">
        <v>308</v>
      </c>
      <c r="E157" s="9">
        <v>0.09</v>
      </c>
      <c r="F157" s="9">
        <v>2.1901923E-2</v>
      </c>
      <c r="G157" s="9">
        <v>37.508088890000003</v>
      </c>
      <c r="H157" s="9">
        <v>37.508088890000003</v>
      </c>
      <c r="I157" s="12" t="b">
        <v>1</v>
      </c>
      <c r="J157" s="12" t="b">
        <v>0</v>
      </c>
      <c r="K157" s="12" t="b">
        <v>1</v>
      </c>
      <c r="L157" s="12" t="b">
        <v>1</v>
      </c>
      <c r="M157" s="12" t="b">
        <v>0</v>
      </c>
      <c r="N157" s="12" t="b">
        <v>1</v>
      </c>
    </row>
    <row r="158" spans="1:14" ht="15.75" thickBot="1">
      <c r="A158" s="254"/>
      <c r="B158" s="26"/>
      <c r="C158" s="22">
        <v>253.44515949999999</v>
      </c>
      <c r="D158" s="20"/>
      <c r="E158" s="10"/>
      <c r="F158" s="10"/>
      <c r="G158" s="10"/>
      <c r="H158" s="10"/>
      <c r="I158" s="12" t="b">
        <v>0</v>
      </c>
      <c r="J158" s="12" t="b">
        <v>1</v>
      </c>
      <c r="K158" s="12" t="b">
        <v>0</v>
      </c>
      <c r="L158" s="12" t="b">
        <v>0</v>
      </c>
      <c r="M158" s="12" t="b">
        <v>0</v>
      </c>
      <c r="N158" s="12" t="b">
        <v>0</v>
      </c>
    </row>
    <row r="159" spans="1:14" ht="15.75" thickBot="1">
      <c r="A159" s="254"/>
      <c r="B159" s="21">
        <v>14</v>
      </c>
      <c r="C159" s="22">
        <v>225.7939677</v>
      </c>
      <c r="D159" s="17">
        <v>223</v>
      </c>
      <c r="E159" s="9">
        <v>0.05</v>
      </c>
      <c r="F159" s="9">
        <v>1.237397E-2</v>
      </c>
      <c r="G159" s="9">
        <v>-21.555880040000002</v>
      </c>
      <c r="H159" s="9">
        <v>21.555880040000002</v>
      </c>
      <c r="I159" s="12" t="b">
        <v>1</v>
      </c>
      <c r="J159" s="12" t="b">
        <v>0</v>
      </c>
      <c r="K159" s="12" t="b">
        <v>1</v>
      </c>
      <c r="L159" s="12" t="b">
        <v>1</v>
      </c>
      <c r="M159" s="12" t="b">
        <v>1</v>
      </c>
      <c r="N159" s="12" t="b">
        <v>1</v>
      </c>
    </row>
    <row r="160" spans="1:14" ht="15.75" thickBot="1">
      <c r="A160" s="254"/>
      <c r="B160" s="21">
        <v>15</v>
      </c>
      <c r="C160" s="22">
        <v>253.44515949999999</v>
      </c>
      <c r="D160" s="17">
        <v>257</v>
      </c>
      <c r="E160" s="9">
        <v>0.1</v>
      </c>
      <c r="F160" s="9">
        <v>1.4026073999999999E-2</v>
      </c>
      <c r="G160" s="9">
        <v>24.113699090000001</v>
      </c>
      <c r="H160" s="9">
        <v>24.113699090000001</v>
      </c>
      <c r="I160" s="12" t="b">
        <v>1</v>
      </c>
      <c r="J160" s="12" t="b">
        <v>0</v>
      </c>
      <c r="K160" s="12" t="b">
        <v>1</v>
      </c>
      <c r="L160" s="12" t="b">
        <v>1</v>
      </c>
      <c r="M160" s="12" t="b">
        <v>1</v>
      </c>
      <c r="N160" s="12" t="b">
        <v>1</v>
      </c>
    </row>
    <row r="161" spans="1:14" ht="15.75" thickBot="1">
      <c r="A161" s="254"/>
      <c r="B161" s="21">
        <v>16</v>
      </c>
      <c r="C161" s="22">
        <v>225.7939677</v>
      </c>
      <c r="D161" s="17">
        <v>226</v>
      </c>
      <c r="E161" s="9">
        <v>0.06</v>
      </c>
      <c r="F161" s="9">
        <v>9.12479E-4</v>
      </c>
      <c r="G161" s="9">
        <v>1.5789949510000001</v>
      </c>
      <c r="H161" s="9">
        <v>1.5789949510000001</v>
      </c>
      <c r="I161" s="12" t="b">
        <v>1</v>
      </c>
      <c r="J161" s="12" t="b">
        <v>0</v>
      </c>
      <c r="K161" s="12" t="b">
        <v>1</v>
      </c>
      <c r="L161" s="12" t="b">
        <v>1</v>
      </c>
      <c r="M161" s="12" t="b">
        <v>1</v>
      </c>
      <c r="N161" s="12" t="b">
        <v>1</v>
      </c>
    </row>
    <row r="162" spans="1:14" ht="15.75" thickBot="1">
      <c r="A162" s="254"/>
      <c r="B162" s="21">
        <v>17</v>
      </c>
      <c r="C162" s="22">
        <v>253.44515949999999</v>
      </c>
      <c r="D162" s="17">
        <v>253</v>
      </c>
      <c r="E162" s="9">
        <v>0.06</v>
      </c>
      <c r="F162" s="9">
        <v>1.756433E-3</v>
      </c>
      <c r="G162" s="9">
        <v>-3.0434703139999999</v>
      </c>
      <c r="H162" s="9">
        <v>3.0434703139999999</v>
      </c>
      <c r="I162" s="12" t="b">
        <v>1</v>
      </c>
      <c r="J162" s="12" t="b">
        <v>0</v>
      </c>
      <c r="K162" s="12" t="b">
        <v>1</v>
      </c>
      <c r="L162" s="12" t="b">
        <v>1</v>
      </c>
      <c r="M162" s="12" t="b">
        <v>1</v>
      </c>
      <c r="N162" s="12" t="b">
        <v>1</v>
      </c>
    </row>
    <row r="163" spans="1:14" ht="15.75" thickBot="1">
      <c r="A163" s="254"/>
      <c r="B163" s="21">
        <v>18</v>
      </c>
      <c r="C163" s="22">
        <v>301.3987869</v>
      </c>
      <c r="D163" s="17">
        <v>306</v>
      </c>
      <c r="E163" s="9">
        <v>0.08</v>
      </c>
      <c r="F163" s="9">
        <v>1.5266197E-2</v>
      </c>
      <c r="G163" s="9">
        <v>26.229651279999999</v>
      </c>
      <c r="H163" s="9">
        <v>26.229651279999999</v>
      </c>
      <c r="I163" s="12" t="b">
        <v>1</v>
      </c>
      <c r="J163" s="12" t="b">
        <v>0</v>
      </c>
      <c r="K163" s="12" t="b">
        <v>1</v>
      </c>
      <c r="L163" s="12" t="b">
        <v>1</v>
      </c>
      <c r="M163" s="12" t="b">
        <v>1</v>
      </c>
      <c r="N163" s="12" t="b">
        <v>1</v>
      </c>
    </row>
    <row r="164" spans="1:14" ht="15.75" thickBot="1">
      <c r="A164" s="254"/>
      <c r="B164" s="21">
        <v>19</v>
      </c>
      <c r="C164" s="22">
        <v>338.30869969999998</v>
      </c>
      <c r="D164" s="17">
        <v>337</v>
      </c>
      <c r="E164" s="9">
        <v>0.02</v>
      </c>
      <c r="F164" s="9">
        <v>3.8683599999999999E-3</v>
      </c>
      <c r="G164" s="9">
        <v>-6.7100225289999997</v>
      </c>
      <c r="H164" s="9">
        <v>6.7100225289999997</v>
      </c>
      <c r="I164" s="12" t="b">
        <v>1</v>
      </c>
      <c r="J164" s="12" t="b">
        <v>0</v>
      </c>
      <c r="K164" s="12" t="b">
        <v>1</v>
      </c>
      <c r="L164" s="12" t="b">
        <v>1</v>
      </c>
      <c r="M164" s="12" t="b">
        <v>1</v>
      </c>
      <c r="N164" s="12" t="b">
        <v>1</v>
      </c>
    </row>
    <row r="165" spans="1:14" ht="15.75" thickBot="1">
      <c r="A165" s="254"/>
      <c r="B165" s="21">
        <v>20</v>
      </c>
      <c r="C165" s="22">
        <v>301.3987869</v>
      </c>
      <c r="D165" s="17">
        <v>336</v>
      </c>
      <c r="E165" s="9">
        <v>0.02</v>
      </c>
      <c r="F165" s="9">
        <v>0.11480209800000001</v>
      </c>
      <c r="G165" s="9">
        <v>188.14514740000001</v>
      </c>
      <c r="H165" s="9">
        <v>188.14514740000001</v>
      </c>
      <c r="I165" s="12" t="b">
        <v>1</v>
      </c>
      <c r="J165" s="12" t="b">
        <v>0</v>
      </c>
      <c r="K165" s="12" t="b">
        <v>1</v>
      </c>
      <c r="L165" s="12" t="b">
        <v>0</v>
      </c>
      <c r="M165" s="12" t="b">
        <v>0</v>
      </c>
      <c r="N165" s="12" t="b">
        <v>0</v>
      </c>
    </row>
    <row r="166" spans="1:14" ht="15.75" thickBot="1">
      <c r="A166" s="254"/>
      <c r="B166" s="21">
        <v>21</v>
      </c>
      <c r="C166" s="22">
        <v>338.30869969999998</v>
      </c>
      <c r="D166" s="17">
        <v>341</v>
      </c>
      <c r="E166" s="9">
        <v>0.05</v>
      </c>
      <c r="F166" s="9">
        <v>7.9551610000000005E-3</v>
      </c>
      <c r="G166" s="9">
        <v>13.717754879999999</v>
      </c>
      <c r="H166" s="9">
        <v>13.717754879999999</v>
      </c>
      <c r="I166" s="12" t="b">
        <v>1</v>
      </c>
      <c r="J166" s="12" t="b">
        <v>0</v>
      </c>
      <c r="K166" s="12" t="b">
        <v>1</v>
      </c>
      <c r="L166" s="12" t="b">
        <v>1</v>
      </c>
      <c r="M166" s="12" t="b">
        <v>1</v>
      </c>
      <c r="N166" s="12" t="b">
        <v>1</v>
      </c>
    </row>
    <row r="167" spans="1:14" ht="15.75" thickBot="1">
      <c r="A167" s="254"/>
      <c r="B167" s="26"/>
      <c r="C167" s="22">
        <v>379.738676</v>
      </c>
      <c r="D167" s="20"/>
      <c r="E167" s="10"/>
      <c r="F167" s="10"/>
      <c r="G167" s="10"/>
      <c r="H167" s="10"/>
      <c r="I167" s="12" t="b">
        <v>0</v>
      </c>
      <c r="J167" s="12" t="b">
        <v>1</v>
      </c>
      <c r="K167" s="12" t="b">
        <v>0</v>
      </c>
      <c r="L167" s="12" t="b">
        <v>0</v>
      </c>
      <c r="M167" s="12" t="b">
        <v>0</v>
      </c>
      <c r="N167" s="12" t="b">
        <v>0</v>
      </c>
    </row>
    <row r="168" spans="1:14" ht="15.75" thickBot="1">
      <c r="A168" s="254"/>
      <c r="B168" s="21">
        <v>23</v>
      </c>
      <c r="C168" s="22">
        <v>338.30869969999998</v>
      </c>
      <c r="D168" s="17">
        <v>345</v>
      </c>
      <c r="E168" s="9">
        <v>7.0000000000000007E-2</v>
      </c>
      <c r="F168" s="9">
        <v>1.9778681999999999E-2</v>
      </c>
      <c r="G168" s="9">
        <v>33.907302049999998</v>
      </c>
      <c r="H168" s="9">
        <v>33.907302049999998</v>
      </c>
      <c r="I168" s="12" t="b">
        <v>1</v>
      </c>
      <c r="J168" s="12" t="b">
        <v>0</v>
      </c>
      <c r="K168" s="12" t="b">
        <v>1</v>
      </c>
      <c r="L168" s="12" t="b">
        <v>1</v>
      </c>
      <c r="M168" s="12" t="b">
        <v>0</v>
      </c>
      <c r="N168" s="12" t="b">
        <v>1</v>
      </c>
    </row>
    <row r="169" spans="1:14" ht="15.75" thickBot="1">
      <c r="A169" s="254"/>
      <c r="B169" s="21">
        <v>24</v>
      </c>
      <c r="C169" s="22">
        <v>301.3987869</v>
      </c>
      <c r="D169" s="17">
        <v>310</v>
      </c>
      <c r="E169" s="9">
        <v>0.05</v>
      </c>
      <c r="F169" s="9">
        <v>2.8537650000000001E-2</v>
      </c>
      <c r="G169" s="9">
        <v>48.713526379999998</v>
      </c>
      <c r="H169" s="9">
        <v>48.713526379999998</v>
      </c>
      <c r="I169" s="12" t="b">
        <v>1</v>
      </c>
      <c r="J169" s="12" t="b">
        <v>0</v>
      </c>
      <c r="K169" s="12" t="b">
        <v>1</v>
      </c>
      <c r="L169" s="12" t="b">
        <v>0</v>
      </c>
      <c r="M169" s="12" t="b">
        <v>0</v>
      </c>
      <c r="N169" s="12" t="b">
        <v>1</v>
      </c>
    </row>
    <row r="170" spans="1:14" ht="15.75" thickBot="1">
      <c r="A170" s="254"/>
      <c r="B170" s="26"/>
      <c r="C170" s="22">
        <v>253.44515949999999</v>
      </c>
      <c r="D170" s="20"/>
      <c r="E170" s="10"/>
      <c r="F170" s="10"/>
      <c r="G170" s="10"/>
      <c r="H170" s="10"/>
      <c r="I170" s="12" t="b">
        <v>0</v>
      </c>
      <c r="J170" s="12" t="b">
        <v>1</v>
      </c>
      <c r="K170" s="12" t="b">
        <v>0</v>
      </c>
      <c r="L170" s="12" t="b">
        <v>0</v>
      </c>
      <c r="M170" s="12" t="b">
        <v>0</v>
      </c>
      <c r="N170" s="12" t="b">
        <v>0</v>
      </c>
    </row>
    <row r="171" spans="1:14" ht="15.75" thickBot="1">
      <c r="A171" s="254"/>
      <c r="B171" s="26"/>
      <c r="C171" s="22">
        <v>225.7939677</v>
      </c>
      <c r="D171" s="20"/>
      <c r="E171" s="10"/>
      <c r="F171" s="10"/>
      <c r="G171" s="10"/>
      <c r="H171" s="10"/>
      <c r="I171" s="12" t="b">
        <v>0</v>
      </c>
      <c r="J171" s="12" t="b">
        <v>1</v>
      </c>
      <c r="K171" s="12" t="b">
        <v>0</v>
      </c>
      <c r="L171" s="12" t="b">
        <v>0</v>
      </c>
      <c r="M171" s="12" t="b">
        <v>0</v>
      </c>
      <c r="N171" s="12" t="b">
        <v>0</v>
      </c>
    </row>
    <row r="172" spans="1:14" ht="15.75" thickBot="1">
      <c r="A172" s="254"/>
      <c r="B172" s="21">
        <v>27</v>
      </c>
      <c r="C172" s="22">
        <v>253.44515949999999</v>
      </c>
      <c r="D172" s="17">
        <v>262</v>
      </c>
      <c r="E172" s="9">
        <v>0.04</v>
      </c>
      <c r="F172" s="9">
        <v>3.3754208000000001E-2</v>
      </c>
      <c r="G172" s="9">
        <v>57.471841900000001</v>
      </c>
      <c r="H172" s="9">
        <v>57.471841900000001</v>
      </c>
      <c r="I172" s="12" t="b">
        <v>1</v>
      </c>
      <c r="J172" s="12" t="b">
        <v>0</v>
      </c>
      <c r="K172" s="12" t="b">
        <v>1</v>
      </c>
      <c r="L172" s="12" t="b">
        <v>0</v>
      </c>
      <c r="M172" s="12" t="b">
        <v>0</v>
      </c>
      <c r="N172" s="12" t="b">
        <v>0</v>
      </c>
    </row>
    <row r="173" spans="1:14" ht="15.75" thickBot="1">
      <c r="A173" s="254"/>
      <c r="B173" s="21">
        <v>28</v>
      </c>
      <c r="C173" s="22">
        <v>301.3987869</v>
      </c>
      <c r="D173" s="17">
        <v>305</v>
      </c>
      <c r="E173" s="9">
        <v>0.08</v>
      </c>
      <c r="F173" s="9">
        <v>1.1948333E-2</v>
      </c>
      <c r="G173" s="9">
        <v>20.562758989999999</v>
      </c>
      <c r="H173" s="9">
        <v>20.562758989999999</v>
      </c>
      <c r="I173" s="12" t="b">
        <v>1</v>
      </c>
      <c r="J173" s="12" t="b">
        <v>0</v>
      </c>
      <c r="K173" s="12" t="b">
        <v>1</v>
      </c>
      <c r="L173" s="12" t="b">
        <v>1</v>
      </c>
      <c r="M173" s="12" t="b">
        <v>1</v>
      </c>
      <c r="N173" s="12" t="b">
        <v>1</v>
      </c>
    </row>
    <row r="174" spans="1:14" ht="15.75" thickBot="1">
      <c r="A174" s="254"/>
      <c r="B174" s="21">
        <v>29</v>
      </c>
      <c r="C174" s="22">
        <v>338.30869969999998</v>
      </c>
      <c r="D174" s="17">
        <v>342</v>
      </c>
      <c r="E174" s="9">
        <v>0.12</v>
      </c>
      <c r="F174" s="9">
        <v>1.0911041999999999E-2</v>
      </c>
      <c r="G174" s="9">
        <v>18.787257919999998</v>
      </c>
      <c r="H174" s="9">
        <v>18.787257919999998</v>
      </c>
      <c r="I174" s="12" t="b">
        <v>1</v>
      </c>
      <c r="J174" s="12" t="b">
        <v>0</v>
      </c>
      <c r="K174" s="12" t="b">
        <v>1</v>
      </c>
      <c r="L174" s="12" t="b">
        <v>1</v>
      </c>
      <c r="M174" s="12" t="b">
        <v>1</v>
      </c>
      <c r="N174" s="12" t="b">
        <v>1</v>
      </c>
    </row>
    <row r="175" spans="1:14" ht="15.75" thickBot="1">
      <c r="A175" s="254"/>
      <c r="B175" s="26"/>
      <c r="C175" s="22">
        <v>301.3987869</v>
      </c>
      <c r="D175" s="20"/>
      <c r="E175" s="10"/>
      <c r="F175" s="10"/>
      <c r="G175" s="10"/>
      <c r="H175" s="10"/>
      <c r="I175" s="12" t="b">
        <v>0</v>
      </c>
      <c r="J175" s="12" t="b">
        <v>1</v>
      </c>
      <c r="K175" s="12" t="b">
        <v>0</v>
      </c>
      <c r="L175" s="12" t="b">
        <v>0</v>
      </c>
      <c r="M175" s="12" t="b">
        <v>0</v>
      </c>
      <c r="N175" s="12" t="b">
        <v>0</v>
      </c>
    </row>
    <row r="176" spans="1:14" ht="15.75" thickBot="1">
      <c r="A176" s="255"/>
      <c r="B176" s="26"/>
      <c r="C176" s="22">
        <v>301.3987869</v>
      </c>
      <c r="D176" s="20"/>
      <c r="E176" s="10"/>
      <c r="F176" s="10"/>
      <c r="G176" s="10"/>
      <c r="H176" s="10"/>
      <c r="I176" s="12" t="b">
        <v>0</v>
      </c>
      <c r="J176" s="12" t="b">
        <v>1</v>
      </c>
      <c r="K176" s="12" t="b">
        <v>0</v>
      </c>
      <c r="L176" s="12" t="b">
        <v>0</v>
      </c>
      <c r="M176" s="12" t="b">
        <v>0</v>
      </c>
      <c r="N176" s="12" t="b">
        <v>0</v>
      </c>
    </row>
  </sheetData>
  <mergeCells count="15">
    <mergeCell ref="A4:A19"/>
    <mergeCell ref="A2:N2"/>
    <mergeCell ref="A96:A111"/>
    <mergeCell ref="A115:A145"/>
    <mergeCell ref="A146:A176"/>
    <mergeCell ref="A113:N113"/>
    <mergeCell ref="A20:A35"/>
    <mergeCell ref="A43:A47"/>
    <mergeCell ref="A51:A63"/>
    <mergeCell ref="A64:A76"/>
    <mergeCell ref="A78:N78"/>
    <mergeCell ref="A39:A42"/>
    <mergeCell ref="A37:N37"/>
    <mergeCell ref="A49:N49"/>
    <mergeCell ref="A80:A95"/>
  </mergeCells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B76D83-BC90-484D-944E-42F9F74FB0A2}">
  <dimension ref="A1:Z17"/>
  <sheetViews>
    <sheetView workbookViewId="0">
      <selection activeCell="A3" sqref="A3:Z17"/>
    </sheetView>
  </sheetViews>
  <sheetFormatPr defaultRowHeight="15"/>
  <cols>
    <col min="1" max="1" width="19.85546875" customWidth="1"/>
  </cols>
  <sheetData>
    <row r="1" spans="1:26" ht="15.75" thickBot="1">
      <c r="A1" s="112" t="s">
        <v>147</v>
      </c>
      <c r="B1" s="113" t="s">
        <v>148</v>
      </c>
      <c r="C1" s="112" t="s">
        <v>149</v>
      </c>
      <c r="D1" s="112" t="s">
        <v>150</v>
      </c>
      <c r="E1" s="112" t="s">
        <v>151</v>
      </c>
      <c r="F1" s="112" t="s">
        <v>152</v>
      </c>
      <c r="G1" s="112" t="s">
        <v>153</v>
      </c>
      <c r="H1" s="112" t="s">
        <v>154</v>
      </c>
      <c r="I1" s="112" t="s">
        <v>155</v>
      </c>
      <c r="J1" s="112" t="s">
        <v>156</v>
      </c>
      <c r="K1" s="112" t="s">
        <v>157</v>
      </c>
      <c r="L1" s="112" t="s">
        <v>158</v>
      </c>
      <c r="M1" s="112" t="s">
        <v>159</v>
      </c>
      <c r="N1" s="112" t="s">
        <v>160</v>
      </c>
      <c r="O1" s="112" t="s">
        <v>161</v>
      </c>
      <c r="P1" s="112" t="s">
        <v>162</v>
      </c>
      <c r="Q1" s="112" t="s">
        <v>163</v>
      </c>
      <c r="R1" s="112" t="s">
        <v>164</v>
      </c>
      <c r="S1" s="112" t="s">
        <v>165</v>
      </c>
      <c r="T1" s="112" t="s">
        <v>166</v>
      </c>
      <c r="U1" s="112" t="s">
        <v>167</v>
      </c>
      <c r="V1" s="112" t="s">
        <v>168</v>
      </c>
      <c r="W1" s="112" t="s">
        <v>169</v>
      </c>
      <c r="X1" s="112" t="s">
        <v>170</v>
      </c>
      <c r="Y1" s="112" t="s">
        <v>171</v>
      </c>
      <c r="Z1" s="112" t="s">
        <v>172</v>
      </c>
    </row>
    <row r="2" spans="1:26" s="91" customFormat="1" ht="225.75" thickBot="1">
      <c r="A2" s="192"/>
      <c r="B2" s="192"/>
      <c r="C2" s="192" t="s">
        <v>173</v>
      </c>
      <c r="D2" s="192" t="s">
        <v>174</v>
      </c>
      <c r="E2" s="192" t="s">
        <v>175</v>
      </c>
      <c r="F2" s="192" t="s">
        <v>176</v>
      </c>
      <c r="G2" s="192" t="s">
        <v>177</v>
      </c>
      <c r="H2" s="192" t="s">
        <v>178</v>
      </c>
      <c r="I2" s="192" t="s">
        <v>179</v>
      </c>
      <c r="J2" s="192" t="s">
        <v>180</v>
      </c>
      <c r="K2" s="192" t="s">
        <v>181</v>
      </c>
      <c r="L2" s="192" t="s">
        <v>182</v>
      </c>
      <c r="M2" s="192" t="s">
        <v>183</v>
      </c>
      <c r="N2" s="192" t="s">
        <v>184</v>
      </c>
      <c r="O2" s="192" t="s">
        <v>185</v>
      </c>
      <c r="P2" s="192" t="s">
        <v>186</v>
      </c>
      <c r="Q2" s="192" t="s">
        <v>187</v>
      </c>
      <c r="R2" s="192" t="s">
        <v>188</v>
      </c>
      <c r="S2" s="192" t="s">
        <v>189</v>
      </c>
      <c r="T2" s="192" t="s">
        <v>190</v>
      </c>
      <c r="U2" s="192" t="s">
        <v>191</v>
      </c>
      <c r="V2" s="192" t="s">
        <v>192</v>
      </c>
      <c r="W2" s="192" t="s">
        <v>193</v>
      </c>
      <c r="X2" s="192" t="s">
        <v>194</v>
      </c>
      <c r="Y2" s="192" t="s">
        <v>195</v>
      </c>
      <c r="Z2" s="192" t="s">
        <v>196</v>
      </c>
    </row>
    <row r="3" spans="1:26" s="91" customFormat="1" ht="15.75" thickBot="1">
      <c r="A3" s="219" t="s">
        <v>147</v>
      </c>
      <c r="B3" s="220" t="s">
        <v>148</v>
      </c>
      <c r="C3" s="219" t="s">
        <v>149</v>
      </c>
      <c r="D3" s="219" t="s">
        <v>150</v>
      </c>
      <c r="E3" s="219" t="s">
        <v>151</v>
      </c>
      <c r="F3" s="219" t="s">
        <v>152</v>
      </c>
      <c r="G3" s="219" t="s">
        <v>153</v>
      </c>
      <c r="H3" s="219" t="s">
        <v>154</v>
      </c>
      <c r="I3" s="219" t="s">
        <v>155</v>
      </c>
      <c r="J3" s="219" t="s">
        <v>156</v>
      </c>
      <c r="K3" s="219" t="s">
        <v>157</v>
      </c>
      <c r="L3" s="219" t="s">
        <v>158</v>
      </c>
      <c r="M3" s="219" t="s">
        <v>159</v>
      </c>
      <c r="N3" s="219" t="s">
        <v>160</v>
      </c>
      <c r="O3" s="219" t="s">
        <v>161</v>
      </c>
      <c r="P3" s="219" t="s">
        <v>162</v>
      </c>
      <c r="Q3" s="219" t="s">
        <v>163</v>
      </c>
      <c r="R3" s="219" t="s">
        <v>164</v>
      </c>
      <c r="S3" s="219" t="s">
        <v>165</v>
      </c>
      <c r="T3" s="219" t="s">
        <v>166</v>
      </c>
      <c r="U3" s="219" t="s">
        <v>167</v>
      </c>
      <c r="V3" s="219" t="s">
        <v>168</v>
      </c>
      <c r="W3" s="219" t="s">
        <v>169</v>
      </c>
      <c r="X3" s="219" t="s">
        <v>170</v>
      </c>
      <c r="Y3" s="219" t="s">
        <v>171</v>
      </c>
      <c r="Z3" s="219" t="s">
        <v>172</v>
      </c>
    </row>
    <row r="4" spans="1:26" ht="15.75" thickBot="1">
      <c r="A4" s="193">
        <v>45987.613442222202</v>
      </c>
      <c r="B4" s="221" t="s">
        <v>197</v>
      </c>
      <c r="C4" s="223">
        <v>41</v>
      </c>
      <c r="D4" s="223">
        <v>65</v>
      </c>
      <c r="E4" s="223">
        <v>80</v>
      </c>
      <c r="F4" s="223">
        <v>80</v>
      </c>
      <c r="G4" s="223">
        <v>91</v>
      </c>
      <c r="H4" s="223">
        <v>90</v>
      </c>
      <c r="I4" s="223">
        <v>90</v>
      </c>
      <c r="J4" s="223">
        <v>90</v>
      </c>
      <c r="K4" s="223">
        <v>81</v>
      </c>
      <c r="L4" s="223">
        <v>80</v>
      </c>
      <c r="M4" s="223">
        <v>90</v>
      </c>
      <c r="N4" s="223">
        <v>80</v>
      </c>
      <c r="O4" s="223">
        <v>80</v>
      </c>
      <c r="P4" s="223">
        <v>80</v>
      </c>
      <c r="Q4" s="223">
        <v>65</v>
      </c>
      <c r="R4" s="223">
        <v>75</v>
      </c>
      <c r="S4" s="223">
        <v>61</v>
      </c>
      <c r="T4" s="223">
        <v>91</v>
      </c>
      <c r="U4" s="223">
        <v>70</v>
      </c>
      <c r="V4" s="223">
        <v>91</v>
      </c>
      <c r="W4" s="223">
        <v>75</v>
      </c>
      <c r="X4" s="223">
        <v>66</v>
      </c>
      <c r="Y4" s="223">
        <v>80</v>
      </c>
      <c r="Z4" s="223">
        <v>80</v>
      </c>
    </row>
    <row r="5" spans="1:26" ht="15.75" thickBot="1">
      <c r="A5" s="193">
        <v>45994.579807835646</v>
      </c>
      <c r="B5" s="221" t="s">
        <v>198</v>
      </c>
      <c r="C5" s="223">
        <v>80</v>
      </c>
      <c r="D5" s="223">
        <v>85</v>
      </c>
      <c r="E5" s="223">
        <v>80</v>
      </c>
      <c r="F5" s="223">
        <v>86</v>
      </c>
      <c r="G5" s="223">
        <v>80</v>
      </c>
      <c r="H5" s="223">
        <v>90</v>
      </c>
      <c r="I5" s="223">
        <v>81</v>
      </c>
      <c r="J5" s="223">
        <v>91</v>
      </c>
      <c r="K5" s="223">
        <v>90</v>
      </c>
      <c r="L5" s="223">
        <v>84</v>
      </c>
      <c r="M5" s="223">
        <v>85</v>
      </c>
      <c r="N5" s="223">
        <v>85</v>
      </c>
      <c r="O5" s="223">
        <v>75</v>
      </c>
      <c r="P5" s="223">
        <v>80</v>
      </c>
      <c r="Q5" s="223">
        <v>80</v>
      </c>
      <c r="R5" s="223">
        <v>85</v>
      </c>
      <c r="S5" s="223">
        <v>86</v>
      </c>
      <c r="T5" s="223">
        <v>100</v>
      </c>
      <c r="U5" s="223">
        <v>85</v>
      </c>
      <c r="V5" s="223">
        <v>95</v>
      </c>
      <c r="W5" s="223">
        <v>80</v>
      </c>
      <c r="X5" s="223">
        <v>85</v>
      </c>
      <c r="Y5" s="223">
        <v>85</v>
      </c>
      <c r="Z5" s="223">
        <v>90</v>
      </c>
    </row>
    <row r="6" spans="1:26" ht="15.75" thickBot="1">
      <c r="A6" s="193">
        <v>45984.738252314812</v>
      </c>
      <c r="B6" s="221" t="s">
        <v>199</v>
      </c>
      <c r="C6" s="223">
        <v>100</v>
      </c>
      <c r="D6" s="223">
        <v>100</v>
      </c>
      <c r="E6" s="223">
        <v>100</v>
      </c>
      <c r="F6" s="223">
        <v>90</v>
      </c>
      <c r="G6" s="223">
        <v>100</v>
      </c>
      <c r="H6" s="223">
        <v>100</v>
      </c>
      <c r="I6" s="223">
        <v>100</v>
      </c>
      <c r="J6" s="223">
        <v>100</v>
      </c>
      <c r="K6" s="223">
        <v>90</v>
      </c>
      <c r="L6" s="223">
        <v>100</v>
      </c>
      <c r="M6" s="223">
        <v>100</v>
      </c>
      <c r="N6" s="223">
        <v>100</v>
      </c>
      <c r="O6" s="223">
        <v>100</v>
      </c>
      <c r="P6" s="223">
        <v>100</v>
      </c>
      <c r="Q6" s="223">
        <v>100</v>
      </c>
      <c r="R6" s="223">
        <v>100</v>
      </c>
      <c r="S6" s="223">
        <v>100</v>
      </c>
      <c r="T6" s="223">
        <v>100</v>
      </c>
      <c r="U6" s="223">
        <v>100</v>
      </c>
      <c r="V6" s="223">
        <v>100</v>
      </c>
      <c r="W6" s="223">
        <v>100</v>
      </c>
      <c r="X6" s="223">
        <v>100</v>
      </c>
      <c r="Y6" s="223">
        <v>100</v>
      </c>
      <c r="Z6" s="223">
        <v>100</v>
      </c>
    </row>
    <row r="7" spans="1:26" ht="15.75" thickBot="1">
      <c r="A7" s="193">
        <v>45989.634780219909</v>
      </c>
      <c r="B7" s="221" t="s">
        <v>200</v>
      </c>
      <c r="C7" s="223">
        <v>100</v>
      </c>
      <c r="D7" s="223">
        <v>100</v>
      </c>
      <c r="E7" s="223">
        <v>100</v>
      </c>
      <c r="F7" s="223">
        <v>100</v>
      </c>
      <c r="G7" s="223">
        <v>100</v>
      </c>
      <c r="H7" s="223">
        <v>100</v>
      </c>
      <c r="I7" s="223">
        <v>100</v>
      </c>
      <c r="J7" s="223">
        <v>100</v>
      </c>
      <c r="K7" s="223">
        <v>100</v>
      </c>
      <c r="L7" s="223">
        <v>100</v>
      </c>
      <c r="M7" s="223">
        <v>100</v>
      </c>
      <c r="N7" s="223">
        <v>100</v>
      </c>
      <c r="O7" s="223">
        <v>100</v>
      </c>
      <c r="P7" s="223">
        <v>100</v>
      </c>
      <c r="Q7" s="223">
        <v>100</v>
      </c>
      <c r="R7" s="223">
        <v>100</v>
      </c>
      <c r="S7" s="223">
        <v>100</v>
      </c>
      <c r="T7" s="223">
        <v>100</v>
      </c>
      <c r="U7" s="223">
        <v>100</v>
      </c>
      <c r="V7" s="223">
        <v>100</v>
      </c>
      <c r="W7" s="223">
        <v>100</v>
      </c>
      <c r="X7" s="223">
        <v>100</v>
      </c>
      <c r="Y7" s="223">
        <v>100</v>
      </c>
      <c r="Z7" s="223">
        <v>100</v>
      </c>
    </row>
    <row r="8" spans="1:26" ht="15.75" thickBot="1">
      <c r="A8" s="193">
        <v>45998.590341331015</v>
      </c>
      <c r="B8" s="221" t="s">
        <v>201</v>
      </c>
      <c r="C8" s="223">
        <v>90</v>
      </c>
      <c r="D8" s="223">
        <v>100</v>
      </c>
      <c r="E8" s="223">
        <v>85</v>
      </c>
      <c r="F8" s="223">
        <v>100</v>
      </c>
      <c r="G8" s="223">
        <v>90</v>
      </c>
      <c r="H8" s="223">
        <v>90</v>
      </c>
      <c r="I8" s="223">
        <v>90</v>
      </c>
      <c r="J8" s="223">
        <v>100</v>
      </c>
      <c r="K8" s="223">
        <v>90</v>
      </c>
      <c r="L8" s="223">
        <v>100</v>
      </c>
      <c r="M8" s="223">
        <v>100</v>
      </c>
      <c r="N8" s="223">
        <v>95</v>
      </c>
      <c r="O8" s="223">
        <v>80</v>
      </c>
      <c r="P8" s="223">
        <v>100</v>
      </c>
      <c r="Q8" s="223">
        <v>90</v>
      </c>
      <c r="R8" s="223">
        <v>100</v>
      </c>
      <c r="S8" s="223">
        <v>80</v>
      </c>
      <c r="T8" s="223">
        <v>100</v>
      </c>
      <c r="U8" s="223">
        <v>100</v>
      </c>
      <c r="V8" s="223">
        <v>100</v>
      </c>
      <c r="W8" s="223">
        <v>100</v>
      </c>
      <c r="X8" s="223">
        <v>90</v>
      </c>
      <c r="Y8" s="223">
        <v>85</v>
      </c>
      <c r="Z8" s="223">
        <v>100</v>
      </c>
    </row>
    <row r="9" spans="1:26" ht="15.75" thickBot="1">
      <c r="A9" s="193">
        <v>46006.687685185185</v>
      </c>
      <c r="B9" s="221" t="s">
        <v>202</v>
      </c>
      <c r="C9" s="223">
        <v>95</v>
      </c>
      <c r="D9" s="223">
        <v>100</v>
      </c>
      <c r="E9" s="223">
        <v>90</v>
      </c>
      <c r="F9" s="223">
        <v>100</v>
      </c>
      <c r="G9" s="223">
        <v>95</v>
      </c>
      <c r="H9" s="223">
        <v>90</v>
      </c>
      <c r="I9" s="223">
        <v>95</v>
      </c>
      <c r="J9" s="223">
        <v>100</v>
      </c>
      <c r="K9" s="223">
        <v>95</v>
      </c>
      <c r="L9" s="223">
        <v>100</v>
      </c>
      <c r="M9" s="223">
        <v>100</v>
      </c>
      <c r="N9" s="223">
        <v>95</v>
      </c>
      <c r="O9" s="223">
        <v>90</v>
      </c>
      <c r="P9" s="223">
        <v>100</v>
      </c>
      <c r="Q9" s="223">
        <v>95</v>
      </c>
      <c r="R9" s="223">
        <v>100</v>
      </c>
      <c r="S9" s="223">
        <v>95</v>
      </c>
      <c r="T9" s="223">
        <v>100</v>
      </c>
      <c r="U9" s="223">
        <v>100</v>
      </c>
      <c r="V9" s="223">
        <v>100</v>
      </c>
      <c r="W9" s="223">
        <v>100</v>
      </c>
      <c r="X9" s="223">
        <v>100</v>
      </c>
      <c r="Y9" s="223">
        <v>100</v>
      </c>
      <c r="Z9" s="223">
        <v>100</v>
      </c>
    </row>
    <row r="10" spans="1:26" ht="15.75" thickBot="1">
      <c r="A10" s="193">
        <v>45984.776951296299</v>
      </c>
      <c r="B10" s="221" t="s">
        <v>203</v>
      </c>
      <c r="C10" s="223">
        <v>100</v>
      </c>
      <c r="D10" s="223">
        <v>90</v>
      </c>
      <c r="E10" s="223">
        <v>100</v>
      </c>
      <c r="F10" s="223">
        <v>100</v>
      </c>
      <c r="G10" s="223">
        <v>93</v>
      </c>
      <c r="H10" s="223">
        <v>100</v>
      </c>
      <c r="I10" s="223">
        <v>100</v>
      </c>
      <c r="J10" s="223">
        <v>100</v>
      </c>
      <c r="K10" s="223">
        <v>70</v>
      </c>
      <c r="L10" s="223">
        <v>70</v>
      </c>
      <c r="M10" s="223">
        <v>100</v>
      </c>
      <c r="N10" s="223">
        <v>100</v>
      </c>
      <c r="O10" s="223">
        <v>100</v>
      </c>
      <c r="P10" s="223">
        <v>100</v>
      </c>
      <c r="Q10" s="223">
        <v>65</v>
      </c>
      <c r="R10" s="223">
        <v>100</v>
      </c>
      <c r="S10" s="223">
        <v>29</v>
      </c>
      <c r="T10" s="223">
        <v>66</v>
      </c>
      <c r="U10" s="223">
        <v>76</v>
      </c>
      <c r="V10" s="223">
        <v>87</v>
      </c>
      <c r="W10" s="223">
        <v>100</v>
      </c>
      <c r="X10" s="223">
        <v>100</v>
      </c>
      <c r="Y10" s="223">
        <v>100</v>
      </c>
      <c r="Z10" s="223">
        <v>100</v>
      </c>
    </row>
    <row r="11" spans="1:26" ht="15.75" thickBot="1">
      <c r="A11" s="193">
        <v>45994.61929318287</v>
      </c>
      <c r="B11" s="221" t="s">
        <v>204</v>
      </c>
      <c r="C11" s="223">
        <v>100</v>
      </c>
      <c r="D11" s="223">
        <v>100</v>
      </c>
      <c r="E11" s="223">
        <v>100</v>
      </c>
      <c r="F11" s="223">
        <v>100</v>
      </c>
      <c r="G11" s="223">
        <v>100</v>
      </c>
      <c r="H11" s="223">
        <v>100</v>
      </c>
      <c r="I11" s="223">
        <v>100</v>
      </c>
      <c r="J11" s="223">
        <v>100</v>
      </c>
      <c r="K11" s="223">
        <v>90</v>
      </c>
      <c r="L11" s="223">
        <v>75</v>
      </c>
      <c r="M11" s="223">
        <v>75</v>
      </c>
      <c r="N11" s="223">
        <v>76</v>
      </c>
      <c r="O11" s="223">
        <v>81</v>
      </c>
      <c r="P11" s="223">
        <v>100</v>
      </c>
      <c r="Q11" s="223">
        <v>100</v>
      </c>
      <c r="R11" s="223">
        <v>100</v>
      </c>
      <c r="S11" s="223">
        <v>40</v>
      </c>
      <c r="T11" s="223">
        <v>100</v>
      </c>
      <c r="U11" s="223">
        <v>86</v>
      </c>
      <c r="V11" s="223">
        <v>55</v>
      </c>
      <c r="W11" s="223">
        <v>100</v>
      </c>
      <c r="X11" s="223">
        <v>100</v>
      </c>
      <c r="Y11" s="223">
        <v>100</v>
      </c>
      <c r="Z11" s="223">
        <v>100</v>
      </c>
    </row>
    <row r="12" spans="1:26" ht="15.75" thickBot="1">
      <c r="A12" s="193">
        <v>45989.776493055557</v>
      </c>
      <c r="B12" s="222" t="s">
        <v>205</v>
      </c>
      <c r="C12" s="223">
        <v>90</v>
      </c>
      <c r="D12" s="223">
        <v>100</v>
      </c>
      <c r="E12" s="223">
        <v>100</v>
      </c>
      <c r="F12" s="223">
        <v>90</v>
      </c>
      <c r="G12" s="223">
        <v>100</v>
      </c>
      <c r="H12" s="223">
        <v>100</v>
      </c>
      <c r="I12" s="223">
        <v>100</v>
      </c>
      <c r="J12" s="223">
        <v>100</v>
      </c>
      <c r="K12" s="223">
        <v>100</v>
      </c>
      <c r="L12" s="223">
        <v>90</v>
      </c>
      <c r="M12" s="223">
        <v>90</v>
      </c>
      <c r="N12" s="223">
        <v>100</v>
      </c>
      <c r="O12" s="223">
        <v>100</v>
      </c>
      <c r="P12" s="223">
        <v>100</v>
      </c>
      <c r="Q12" s="223">
        <v>100</v>
      </c>
      <c r="R12" s="223">
        <v>100</v>
      </c>
      <c r="S12" s="223">
        <v>30</v>
      </c>
      <c r="T12" s="223">
        <v>100</v>
      </c>
      <c r="U12" s="223">
        <v>100</v>
      </c>
      <c r="V12" s="223">
        <v>100</v>
      </c>
      <c r="W12" s="223">
        <v>90</v>
      </c>
      <c r="X12" s="223">
        <v>100</v>
      </c>
      <c r="Y12" s="223">
        <v>90</v>
      </c>
      <c r="Z12" s="223">
        <v>100</v>
      </c>
    </row>
    <row r="13" spans="1:26" ht="15.75" thickBot="1">
      <c r="A13" s="193">
        <v>45995.658946759257</v>
      </c>
      <c r="B13" s="222" t="s">
        <v>206</v>
      </c>
      <c r="C13" s="223">
        <v>100</v>
      </c>
      <c r="D13" s="223">
        <v>100</v>
      </c>
      <c r="E13" s="223">
        <v>100</v>
      </c>
      <c r="F13" s="223">
        <v>100</v>
      </c>
      <c r="G13" s="223">
        <v>100</v>
      </c>
      <c r="H13" s="223">
        <v>100</v>
      </c>
      <c r="I13" s="223">
        <v>100</v>
      </c>
      <c r="J13" s="223">
        <v>100</v>
      </c>
      <c r="K13" s="223">
        <v>100</v>
      </c>
      <c r="L13" s="223">
        <v>100</v>
      </c>
      <c r="M13" s="223">
        <v>100</v>
      </c>
      <c r="N13" s="223">
        <v>100</v>
      </c>
      <c r="O13" s="223">
        <v>100</v>
      </c>
      <c r="P13" s="223">
        <v>100</v>
      </c>
      <c r="Q13" s="223">
        <v>100</v>
      </c>
      <c r="R13" s="223">
        <v>100</v>
      </c>
      <c r="S13" s="223">
        <v>20</v>
      </c>
      <c r="T13" s="223">
        <v>100</v>
      </c>
      <c r="U13" s="223">
        <v>100</v>
      </c>
      <c r="V13" s="223">
        <v>100</v>
      </c>
      <c r="W13" s="223">
        <v>100</v>
      </c>
      <c r="X13" s="223">
        <v>100</v>
      </c>
      <c r="Y13" s="223">
        <v>100</v>
      </c>
      <c r="Z13" s="223">
        <v>100</v>
      </c>
    </row>
    <row r="14" spans="1:26" ht="15.75" thickBot="1">
      <c r="A14" s="193">
        <v>45995.767928240741</v>
      </c>
      <c r="B14" s="222" t="s">
        <v>207</v>
      </c>
      <c r="C14" s="223">
        <v>100</v>
      </c>
      <c r="D14" s="223">
        <v>85</v>
      </c>
      <c r="E14" s="223">
        <v>90</v>
      </c>
      <c r="F14" s="223">
        <v>100</v>
      </c>
      <c r="G14" s="223">
        <v>80</v>
      </c>
      <c r="H14" s="223">
        <v>100</v>
      </c>
      <c r="I14" s="223">
        <v>100</v>
      </c>
      <c r="J14" s="223">
        <v>100</v>
      </c>
      <c r="K14" s="223">
        <v>75</v>
      </c>
      <c r="L14" s="223">
        <v>75</v>
      </c>
      <c r="M14" s="223">
        <v>100</v>
      </c>
      <c r="N14" s="223">
        <v>100</v>
      </c>
      <c r="O14" s="223">
        <v>100</v>
      </c>
      <c r="P14" s="223">
        <v>100</v>
      </c>
      <c r="Q14" s="223">
        <v>60</v>
      </c>
      <c r="R14" s="223">
        <v>100</v>
      </c>
      <c r="S14" s="223">
        <v>25</v>
      </c>
      <c r="T14" s="223">
        <v>66</v>
      </c>
      <c r="U14" s="223">
        <v>70</v>
      </c>
      <c r="V14" s="223">
        <v>75</v>
      </c>
      <c r="W14" s="223">
        <v>100</v>
      </c>
      <c r="X14" s="223">
        <v>100</v>
      </c>
      <c r="Y14" s="223">
        <v>100</v>
      </c>
      <c r="Z14" s="223">
        <v>100</v>
      </c>
    </row>
    <row r="15" spans="1:26" ht="15.75" thickBot="1">
      <c r="A15" s="193">
        <v>46002.730856481481</v>
      </c>
      <c r="B15" s="222" t="s">
        <v>208</v>
      </c>
      <c r="C15" s="223">
        <v>100</v>
      </c>
      <c r="D15" s="223">
        <v>100</v>
      </c>
      <c r="E15" s="223">
        <v>100</v>
      </c>
      <c r="F15" s="223">
        <v>100</v>
      </c>
      <c r="G15" s="223">
        <v>100</v>
      </c>
      <c r="H15" s="223">
        <v>100</v>
      </c>
      <c r="I15" s="223">
        <v>100</v>
      </c>
      <c r="J15" s="223">
        <v>100</v>
      </c>
      <c r="K15" s="223">
        <v>90</v>
      </c>
      <c r="L15" s="223">
        <v>80</v>
      </c>
      <c r="M15" s="223">
        <v>80</v>
      </c>
      <c r="N15" s="223">
        <v>90</v>
      </c>
      <c r="O15" s="223">
        <v>90</v>
      </c>
      <c r="P15" s="223">
        <v>100</v>
      </c>
      <c r="Q15" s="223">
        <v>100</v>
      </c>
      <c r="R15" s="223">
        <v>100</v>
      </c>
      <c r="S15" s="223">
        <v>50</v>
      </c>
      <c r="T15" s="223">
        <v>100</v>
      </c>
      <c r="U15" s="223">
        <v>90</v>
      </c>
      <c r="V15" s="223">
        <v>60</v>
      </c>
      <c r="W15" s="223">
        <v>100</v>
      </c>
      <c r="X15" s="223">
        <v>100</v>
      </c>
      <c r="Y15" s="223">
        <v>100</v>
      </c>
      <c r="Z15" s="223">
        <v>100</v>
      </c>
    </row>
    <row r="16" spans="1:26" ht="15.75" thickBot="1">
      <c r="A16" s="193">
        <v>45988.72415509259</v>
      </c>
      <c r="B16" s="222" t="s">
        <v>209</v>
      </c>
      <c r="C16" s="223">
        <v>50</v>
      </c>
      <c r="D16" s="223">
        <v>40</v>
      </c>
      <c r="E16" s="223">
        <v>70</v>
      </c>
      <c r="F16" s="223">
        <v>80</v>
      </c>
      <c r="G16" s="223">
        <v>90</v>
      </c>
      <c r="H16" s="223">
        <v>90</v>
      </c>
      <c r="I16" s="223">
        <v>90</v>
      </c>
      <c r="J16" s="223">
        <v>90</v>
      </c>
      <c r="K16" s="223">
        <v>70</v>
      </c>
      <c r="L16" s="223">
        <v>70</v>
      </c>
      <c r="M16" s="223">
        <v>80</v>
      </c>
      <c r="N16" s="223">
        <v>80</v>
      </c>
      <c r="O16" s="223">
        <v>90</v>
      </c>
      <c r="P16" s="223">
        <v>80</v>
      </c>
      <c r="Q16" s="223">
        <v>70</v>
      </c>
      <c r="R16" s="223">
        <v>80</v>
      </c>
      <c r="S16" s="223">
        <v>70</v>
      </c>
      <c r="T16" s="223">
        <v>90</v>
      </c>
      <c r="U16" s="223">
        <v>70</v>
      </c>
      <c r="V16" s="223">
        <v>90</v>
      </c>
      <c r="W16" s="223">
        <v>60</v>
      </c>
      <c r="X16" s="223">
        <v>70</v>
      </c>
      <c r="Y16" s="223">
        <v>90</v>
      </c>
      <c r="Z16" s="223">
        <v>100</v>
      </c>
    </row>
    <row r="17" spans="1:26" ht="15.75" thickBot="1">
      <c r="A17" s="193">
        <v>45966.835601851853</v>
      </c>
      <c r="B17" s="222" t="s">
        <v>210</v>
      </c>
      <c r="C17" s="223">
        <v>80</v>
      </c>
      <c r="D17" s="223">
        <v>80</v>
      </c>
      <c r="E17" s="223">
        <v>80</v>
      </c>
      <c r="F17" s="223">
        <v>80</v>
      </c>
      <c r="G17" s="223">
        <v>100</v>
      </c>
      <c r="H17" s="223">
        <v>90</v>
      </c>
      <c r="I17" s="223">
        <v>100</v>
      </c>
      <c r="J17" s="223">
        <v>100</v>
      </c>
      <c r="K17" s="223">
        <v>90</v>
      </c>
      <c r="L17" s="223">
        <v>90</v>
      </c>
      <c r="M17" s="223">
        <v>90</v>
      </c>
      <c r="N17" s="223">
        <v>90</v>
      </c>
      <c r="O17" s="223">
        <v>90</v>
      </c>
      <c r="P17" s="223">
        <v>80</v>
      </c>
      <c r="Q17" s="223">
        <v>80</v>
      </c>
      <c r="R17" s="223">
        <v>90</v>
      </c>
      <c r="S17" s="223">
        <v>80</v>
      </c>
      <c r="T17" s="223">
        <v>90</v>
      </c>
      <c r="U17" s="223">
        <v>70</v>
      </c>
      <c r="V17" s="223">
        <v>100</v>
      </c>
      <c r="W17" s="223">
        <v>80</v>
      </c>
      <c r="X17" s="223">
        <v>80</v>
      </c>
      <c r="Y17" s="223">
        <v>100</v>
      </c>
      <c r="Z17" s="223">
        <v>100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550348-1046-4777-AD2F-34C75F25FBEB}">
  <dimension ref="A1:AD829"/>
  <sheetViews>
    <sheetView topLeftCell="A694" workbookViewId="0">
      <selection activeCell="P719" sqref="P719"/>
    </sheetView>
  </sheetViews>
  <sheetFormatPr defaultColWidth="10.85546875" defaultRowHeight="15"/>
  <cols>
    <col min="1" max="1" width="10.85546875" style="121"/>
    <col min="2" max="2" width="20.28515625" customWidth="1"/>
    <col min="3" max="3" width="5.85546875" customWidth="1"/>
    <col min="10" max="10" width="10.85546875" style="167"/>
    <col min="16" max="16" width="10.85546875" style="167"/>
    <col min="22" max="22" width="10.85546875" style="167"/>
    <col min="29" max="29" width="19.85546875" customWidth="1"/>
  </cols>
  <sheetData>
    <row r="1" spans="1:30">
      <c r="A1" s="115"/>
      <c r="B1" s="116"/>
      <c r="C1" s="116"/>
      <c r="D1" s="257" t="s">
        <v>1790</v>
      </c>
      <c r="E1" s="258"/>
      <c r="F1" s="258"/>
      <c r="G1" s="258"/>
      <c r="H1" s="258"/>
      <c r="I1" s="258"/>
      <c r="J1" s="259"/>
      <c r="K1" s="258"/>
      <c r="L1" s="258"/>
      <c r="M1" s="258"/>
      <c r="N1" s="258"/>
      <c r="O1" s="258"/>
      <c r="P1" s="259"/>
      <c r="Q1" s="258"/>
      <c r="R1" s="258"/>
      <c r="S1" s="258"/>
      <c r="T1" s="258"/>
      <c r="U1" s="258"/>
      <c r="V1" s="259"/>
      <c r="W1" s="258"/>
      <c r="X1" s="258"/>
      <c r="Y1" s="258"/>
      <c r="Z1" s="258"/>
      <c r="AA1" s="258"/>
      <c r="AB1" s="118" t="s">
        <v>223</v>
      </c>
      <c r="AC1" s="118" t="s">
        <v>1791</v>
      </c>
    </row>
    <row r="2" spans="1:30">
      <c r="A2" s="115"/>
      <c r="B2" s="116"/>
      <c r="C2" s="116"/>
      <c r="D2" s="119">
        <v>1</v>
      </c>
      <c r="E2" s="119">
        <v>2</v>
      </c>
      <c r="F2" s="119">
        <v>3</v>
      </c>
      <c r="G2" s="257">
        <v>4</v>
      </c>
      <c r="H2" s="258"/>
      <c r="I2" s="258"/>
      <c r="J2" s="120">
        <v>5</v>
      </c>
      <c r="K2" s="119">
        <v>6</v>
      </c>
      <c r="L2" s="119">
        <v>7</v>
      </c>
      <c r="M2" s="257">
        <v>8</v>
      </c>
      <c r="N2" s="258"/>
      <c r="O2" s="258"/>
      <c r="P2" s="120">
        <v>9</v>
      </c>
      <c r="Q2" s="119">
        <v>10</v>
      </c>
      <c r="R2" s="119">
        <v>11</v>
      </c>
      <c r="S2" s="257">
        <v>12</v>
      </c>
      <c r="T2" s="258"/>
      <c r="U2" s="258"/>
      <c r="V2" s="120">
        <v>13</v>
      </c>
      <c r="W2" s="119">
        <v>14</v>
      </c>
      <c r="X2" s="119">
        <v>15</v>
      </c>
      <c r="Y2" s="257">
        <v>16</v>
      </c>
      <c r="Z2" s="258"/>
      <c r="AA2" s="258"/>
    </row>
    <row r="3" spans="1:30">
      <c r="D3" s="6">
        <v>1</v>
      </c>
      <c r="E3" s="6">
        <v>2</v>
      </c>
      <c r="F3" s="6">
        <v>3</v>
      </c>
      <c r="G3" s="122">
        <v>4</v>
      </c>
      <c r="H3" s="122">
        <v>5</v>
      </c>
      <c r="I3" s="122">
        <v>6</v>
      </c>
      <c r="J3" s="123">
        <v>7</v>
      </c>
      <c r="K3" s="6">
        <v>8</v>
      </c>
      <c r="L3" s="6">
        <v>9</v>
      </c>
      <c r="M3" s="122">
        <v>10</v>
      </c>
      <c r="N3" s="122">
        <v>11</v>
      </c>
      <c r="O3" s="122">
        <v>12</v>
      </c>
      <c r="P3" s="123">
        <v>13</v>
      </c>
      <c r="Q3" s="6">
        <v>14</v>
      </c>
      <c r="R3" s="6">
        <v>15</v>
      </c>
      <c r="S3" s="122">
        <v>16</v>
      </c>
      <c r="T3" s="122">
        <v>17</v>
      </c>
      <c r="U3" s="122">
        <v>18</v>
      </c>
      <c r="V3" s="123">
        <v>19</v>
      </c>
      <c r="W3" s="6">
        <v>20</v>
      </c>
      <c r="X3" s="6">
        <v>21</v>
      </c>
      <c r="Y3" s="122">
        <v>22</v>
      </c>
      <c r="Z3" s="122">
        <v>23</v>
      </c>
      <c r="AA3" s="122">
        <v>24</v>
      </c>
      <c r="AD3" s="124"/>
    </row>
    <row r="4" spans="1:30" s="125" customFormat="1">
      <c r="A4" s="121"/>
      <c r="B4"/>
      <c r="C4"/>
      <c r="D4" s="6"/>
      <c r="E4" s="6"/>
      <c r="F4" s="6"/>
      <c r="G4" s="6"/>
      <c r="H4" s="6"/>
      <c r="I4" s="6"/>
      <c r="J4" s="123"/>
      <c r="K4" s="6"/>
      <c r="L4" s="6"/>
      <c r="M4" s="6"/>
      <c r="N4" s="6"/>
      <c r="O4" s="6"/>
      <c r="P4" s="123"/>
      <c r="Q4" s="6"/>
      <c r="R4" s="6"/>
      <c r="S4" s="6"/>
      <c r="T4" s="6"/>
      <c r="U4" s="6"/>
      <c r="V4" s="123"/>
      <c r="W4" s="6"/>
      <c r="X4" s="6"/>
      <c r="Y4" s="6"/>
      <c r="Z4" s="6"/>
      <c r="AA4" s="6"/>
      <c r="AB4"/>
      <c r="AC4"/>
      <c r="AD4"/>
    </row>
    <row r="5" spans="1:30">
      <c r="A5" s="260" t="s">
        <v>199</v>
      </c>
      <c r="B5" s="126" t="s">
        <v>1792</v>
      </c>
      <c r="C5" s="127" t="s">
        <v>40</v>
      </c>
      <c r="D5" s="128">
        <v>0.41499999999999998</v>
      </c>
      <c r="E5" s="128">
        <v>0.41</v>
      </c>
      <c r="F5" s="128">
        <v>0.42</v>
      </c>
      <c r="G5" s="128">
        <v>0.43</v>
      </c>
      <c r="H5" s="128">
        <v>0.59</v>
      </c>
      <c r="I5" s="128">
        <v>0.42499999999999999</v>
      </c>
      <c r="J5" s="129">
        <v>0.39</v>
      </c>
      <c r="K5" s="128">
        <v>0.435</v>
      </c>
      <c r="L5" s="128">
        <v>0.44</v>
      </c>
      <c r="M5" s="128">
        <v>0.45</v>
      </c>
      <c r="N5" s="128">
        <v>0.40500000000000003</v>
      </c>
      <c r="O5" s="128">
        <v>0.42499999999999999</v>
      </c>
      <c r="P5" s="129">
        <v>0.43</v>
      </c>
      <c r="Q5" s="128">
        <v>0.41</v>
      </c>
      <c r="R5" s="128">
        <v>0.44500000000000001</v>
      </c>
      <c r="S5" s="128">
        <v>0.46500000000000002</v>
      </c>
      <c r="T5" s="128">
        <v>0.435</v>
      </c>
      <c r="U5" s="128">
        <v>0.43</v>
      </c>
      <c r="V5" s="129">
        <v>0.44500000000000001</v>
      </c>
      <c r="W5" s="128"/>
      <c r="X5" s="128"/>
      <c r="Y5" s="128"/>
      <c r="Z5" s="128"/>
      <c r="AA5" s="128"/>
      <c r="AB5" s="130">
        <f>_xlfn.STDEV.P(D5:AA5)</f>
        <v>4.0001731264473095E-2</v>
      </c>
      <c r="AC5" s="130"/>
      <c r="AD5" s="131"/>
    </row>
    <row r="6" spans="1:30">
      <c r="A6" s="260"/>
      <c r="B6" s="126"/>
      <c r="C6" s="127" t="s">
        <v>220</v>
      </c>
      <c r="D6" s="128">
        <v>0.995</v>
      </c>
      <c r="E6" s="128">
        <v>1</v>
      </c>
      <c r="F6" s="128">
        <v>0.98499999999999999</v>
      </c>
      <c r="G6" s="128">
        <v>0.99</v>
      </c>
      <c r="H6" s="128">
        <v>1.2350000000000001</v>
      </c>
      <c r="I6" s="128">
        <v>1.0049999999999999</v>
      </c>
      <c r="J6" s="129">
        <v>0.99</v>
      </c>
      <c r="K6" s="128">
        <v>1.0049999999999999</v>
      </c>
      <c r="L6" s="128">
        <v>1.04</v>
      </c>
      <c r="M6" s="128">
        <v>0.99</v>
      </c>
      <c r="N6" s="128">
        <v>0.995</v>
      </c>
      <c r="O6" s="128">
        <v>1.0149999999999999</v>
      </c>
      <c r="P6" s="129">
        <v>0.98499999999999999</v>
      </c>
      <c r="Q6" s="128">
        <v>1</v>
      </c>
      <c r="R6" s="128">
        <v>0.99</v>
      </c>
      <c r="S6" s="128">
        <v>1</v>
      </c>
      <c r="T6" s="128">
        <v>1.0049999999999999</v>
      </c>
      <c r="U6" s="128">
        <v>1.01</v>
      </c>
      <c r="V6" s="129">
        <v>1</v>
      </c>
      <c r="W6" s="128"/>
      <c r="X6" s="128"/>
      <c r="Y6" s="128"/>
      <c r="Z6" s="128"/>
      <c r="AA6" s="128"/>
      <c r="AB6" s="132">
        <f>_xlfn.STDEV.P(D6:AA6)</f>
        <v>5.3909486057470569E-2</v>
      </c>
      <c r="AC6" s="132"/>
      <c r="AD6" s="131"/>
    </row>
    <row r="7" spans="1:30">
      <c r="A7" s="260"/>
      <c r="B7" s="126"/>
      <c r="C7" s="127" t="s">
        <v>221</v>
      </c>
      <c r="D7" s="133">
        <v>0.46</v>
      </c>
      <c r="E7" s="133">
        <v>0.47</v>
      </c>
      <c r="F7" s="133">
        <v>0.46</v>
      </c>
      <c r="G7" s="133">
        <v>0.47499999999999998</v>
      </c>
      <c r="H7" s="133">
        <v>0.56499999999999995</v>
      </c>
      <c r="I7" s="128">
        <v>0.495</v>
      </c>
      <c r="J7" s="134">
        <v>0.5</v>
      </c>
      <c r="K7" s="133">
        <v>0.505</v>
      </c>
      <c r="L7" s="133">
        <v>0.42499999999999999</v>
      </c>
      <c r="M7" s="133">
        <v>0.495</v>
      </c>
      <c r="N7" s="133">
        <v>0.5</v>
      </c>
      <c r="O7" s="128">
        <v>0.51500000000000001</v>
      </c>
      <c r="P7" s="134">
        <v>0.5</v>
      </c>
      <c r="Q7" s="133">
        <v>0.52</v>
      </c>
      <c r="R7" s="133">
        <v>0.45500000000000002</v>
      </c>
      <c r="S7" s="133">
        <v>0.505</v>
      </c>
      <c r="T7" s="133">
        <v>0.51500000000000001</v>
      </c>
      <c r="U7" s="128">
        <v>0.49</v>
      </c>
      <c r="V7" s="134">
        <v>0.505</v>
      </c>
      <c r="W7" s="133"/>
      <c r="X7" s="133"/>
      <c r="Y7" s="133"/>
      <c r="Z7" s="133"/>
      <c r="AA7" s="133"/>
      <c r="AB7" s="132">
        <f>_xlfn.STDEV.P(D7:AA7)</f>
        <v>2.9530021345485335E-2</v>
      </c>
      <c r="AC7" s="135"/>
      <c r="AD7" s="131"/>
    </row>
    <row r="8" spans="1:30">
      <c r="A8" s="260"/>
      <c r="B8" s="136" t="s">
        <v>1793</v>
      </c>
      <c r="C8" s="127"/>
      <c r="D8" s="137" t="s">
        <v>1794</v>
      </c>
      <c r="E8" s="137" t="s">
        <v>1794</v>
      </c>
      <c r="F8" s="137" t="s">
        <v>1795</v>
      </c>
      <c r="G8" s="137" t="s">
        <v>1795</v>
      </c>
      <c r="H8" s="137" t="s">
        <v>1794</v>
      </c>
      <c r="I8" s="138" t="s">
        <v>1795</v>
      </c>
      <c r="J8" s="139" t="s">
        <v>1794</v>
      </c>
      <c r="K8" s="137" t="s">
        <v>1796</v>
      </c>
      <c r="L8" s="137" t="s">
        <v>1794</v>
      </c>
      <c r="M8" s="137" t="s">
        <v>1796</v>
      </c>
      <c r="N8" s="137" t="s">
        <v>1794</v>
      </c>
      <c r="O8" s="138" t="s">
        <v>1794</v>
      </c>
      <c r="P8" s="139" t="s">
        <v>1795</v>
      </c>
      <c r="Q8" s="137" t="s">
        <v>1794</v>
      </c>
      <c r="R8" s="137" t="s">
        <v>1796</v>
      </c>
      <c r="S8" s="137" t="s">
        <v>1796</v>
      </c>
      <c r="T8" s="137" t="s">
        <v>1794</v>
      </c>
      <c r="U8" s="138" t="s">
        <v>1795</v>
      </c>
      <c r="V8" s="139" t="s">
        <v>1794</v>
      </c>
      <c r="W8" s="137"/>
      <c r="X8" s="137"/>
      <c r="Y8" s="137"/>
      <c r="Z8" s="137"/>
      <c r="AA8" s="137"/>
      <c r="AB8" s="127"/>
      <c r="AC8" s="140" t="s">
        <v>1797</v>
      </c>
      <c r="AD8" s="124"/>
    </row>
    <row r="9" spans="1:30">
      <c r="A9" s="260"/>
      <c r="B9" t="s">
        <v>1798</v>
      </c>
      <c r="C9" t="s">
        <v>40</v>
      </c>
      <c r="D9" s="141">
        <v>0.48499999999999999</v>
      </c>
      <c r="E9" s="141">
        <v>0.435</v>
      </c>
      <c r="F9" s="141">
        <v>0.46</v>
      </c>
      <c r="G9" s="141">
        <v>0.48499999999999999</v>
      </c>
      <c r="H9" s="141">
        <v>0.47499999999999998</v>
      </c>
      <c r="I9" s="141">
        <v>0.46</v>
      </c>
      <c r="J9" s="142">
        <v>0.46500000000000002</v>
      </c>
      <c r="K9" s="141">
        <v>0.46500000000000002</v>
      </c>
      <c r="L9" s="141">
        <v>0.46500000000000002</v>
      </c>
      <c r="M9" s="141">
        <v>0.46</v>
      </c>
      <c r="N9" s="141">
        <v>0.46500000000000002</v>
      </c>
      <c r="O9" s="141">
        <v>0.46</v>
      </c>
      <c r="P9" s="142">
        <v>0.46500000000000002</v>
      </c>
      <c r="Q9" s="141">
        <v>0.46500000000000002</v>
      </c>
      <c r="R9" s="141">
        <v>0.46500000000000002</v>
      </c>
      <c r="S9" s="141">
        <v>0.46</v>
      </c>
      <c r="T9" s="141">
        <v>0.46500000000000002</v>
      </c>
      <c r="U9" s="141">
        <v>0.46</v>
      </c>
      <c r="V9" s="142">
        <v>0.45500000000000002</v>
      </c>
      <c r="W9" s="141">
        <v>0.46</v>
      </c>
      <c r="X9" s="141">
        <v>0.46</v>
      </c>
      <c r="Y9" s="141">
        <v>0.46</v>
      </c>
      <c r="Z9" s="141">
        <v>0.46</v>
      </c>
      <c r="AA9" s="141">
        <v>0.46</v>
      </c>
      <c r="AB9" s="143">
        <f>_xlfn.STDEV.P(D9:AA9)</f>
        <v>9.3332403269175447E-3</v>
      </c>
      <c r="AC9" s="143"/>
      <c r="AD9" s="124"/>
    </row>
    <row r="10" spans="1:30">
      <c r="A10" s="260"/>
      <c r="C10" t="s">
        <v>220</v>
      </c>
      <c r="D10" s="141">
        <v>1</v>
      </c>
      <c r="E10" s="141">
        <v>0.99</v>
      </c>
      <c r="F10" s="141">
        <v>1.0049999999999999</v>
      </c>
      <c r="G10" s="141">
        <v>1.0049999999999999</v>
      </c>
      <c r="H10" s="141">
        <v>1.0049999999999999</v>
      </c>
      <c r="I10" s="141">
        <v>1</v>
      </c>
      <c r="J10" s="142">
        <v>1</v>
      </c>
      <c r="K10" s="141">
        <v>1</v>
      </c>
      <c r="L10" s="141">
        <v>1</v>
      </c>
      <c r="M10" s="141">
        <v>1</v>
      </c>
      <c r="N10" s="141">
        <v>1.0049999999999999</v>
      </c>
      <c r="O10" s="141">
        <v>1</v>
      </c>
      <c r="P10" s="142">
        <v>1</v>
      </c>
      <c r="Q10" s="141">
        <v>1</v>
      </c>
      <c r="R10" s="141">
        <v>1</v>
      </c>
      <c r="S10" s="141">
        <v>1</v>
      </c>
      <c r="T10" s="141">
        <v>1</v>
      </c>
      <c r="U10" s="141">
        <v>1</v>
      </c>
      <c r="V10" s="142">
        <v>1</v>
      </c>
      <c r="W10" s="141">
        <v>1</v>
      </c>
      <c r="X10" s="141">
        <v>1</v>
      </c>
      <c r="Y10" s="141">
        <v>1</v>
      </c>
      <c r="Z10" s="141">
        <v>1</v>
      </c>
      <c r="AA10" s="141">
        <v>1.0049999999999999</v>
      </c>
      <c r="AB10" s="143">
        <f>_xlfn.STDEV.P(D10:AA10)</f>
        <v>2.9973947020704196E-3</v>
      </c>
      <c r="AC10" s="143"/>
      <c r="AD10" s="131"/>
    </row>
    <row r="11" spans="1:30">
      <c r="A11" s="260"/>
      <c r="C11" t="s">
        <v>221</v>
      </c>
      <c r="D11" s="144">
        <v>0.43</v>
      </c>
      <c r="E11" s="144">
        <v>0.36499999999999999</v>
      </c>
      <c r="F11" s="144">
        <v>0.42499999999999999</v>
      </c>
      <c r="G11" s="144">
        <v>0.39500000000000002</v>
      </c>
      <c r="H11" s="144">
        <v>0.39</v>
      </c>
      <c r="I11" s="141">
        <v>0.39500000000000002</v>
      </c>
      <c r="J11" s="145">
        <v>0.4</v>
      </c>
      <c r="K11" s="144">
        <v>0.39500000000000002</v>
      </c>
      <c r="L11" s="144">
        <v>0.4</v>
      </c>
      <c r="M11" s="144">
        <v>0.39500000000000002</v>
      </c>
      <c r="N11" s="144">
        <v>0.4</v>
      </c>
      <c r="O11" s="141">
        <v>0.39500000000000002</v>
      </c>
      <c r="P11" s="145">
        <v>0.4</v>
      </c>
      <c r="Q11" s="144">
        <v>0.4</v>
      </c>
      <c r="R11" s="144">
        <v>0.4</v>
      </c>
      <c r="S11" s="144">
        <v>0.39500000000000002</v>
      </c>
      <c r="T11" s="144">
        <v>0.4</v>
      </c>
      <c r="U11" s="141">
        <v>0.39500000000000002</v>
      </c>
      <c r="V11" s="145">
        <v>0.39500000000000002</v>
      </c>
      <c r="W11" s="144">
        <v>0.39500000000000002</v>
      </c>
      <c r="X11" s="144">
        <v>0.4</v>
      </c>
      <c r="Y11" s="144">
        <v>0.39500000000000002</v>
      </c>
      <c r="Z11" s="144">
        <v>0.4</v>
      </c>
      <c r="AA11" s="144">
        <v>0.39500000000000002</v>
      </c>
      <c r="AB11" s="143">
        <f>_xlfn.STDEV.P(D11:AA11)</f>
        <v>1.1255785549366744E-2</v>
      </c>
      <c r="AC11" s="146"/>
      <c r="AD11" s="131"/>
    </row>
    <row r="12" spans="1:30">
      <c r="A12" s="260"/>
      <c r="B12" s="147" t="s">
        <v>1799</v>
      </c>
      <c r="D12" s="148" t="s">
        <v>1794</v>
      </c>
      <c r="E12" s="148" t="s">
        <v>1794</v>
      </c>
      <c r="F12" s="148" t="s">
        <v>1794</v>
      </c>
      <c r="G12" s="148" t="s">
        <v>1794</v>
      </c>
      <c r="H12" s="148" t="s">
        <v>1794</v>
      </c>
      <c r="I12" s="149" t="s">
        <v>1794</v>
      </c>
      <c r="J12" s="150" t="s">
        <v>1794</v>
      </c>
      <c r="K12" s="148" t="s">
        <v>1794</v>
      </c>
      <c r="L12" s="148" t="s">
        <v>1794</v>
      </c>
      <c r="M12" s="148" t="s">
        <v>1794</v>
      </c>
      <c r="N12" s="148" t="s">
        <v>1794</v>
      </c>
      <c r="O12" s="149" t="s">
        <v>1794</v>
      </c>
      <c r="P12" s="150" t="s">
        <v>1794</v>
      </c>
      <c r="Q12" s="148" t="s">
        <v>1794</v>
      </c>
      <c r="R12" s="148" t="s">
        <v>1794</v>
      </c>
      <c r="S12" s="148" t="s">
        <v>1794</v>
      </c>
      <c r="T12" s="148" t="s">
        <v>1794</v>
      </c>
      <c r="U12" s="149" t="s">
        <v>1794</v>
      </c>
      <c r="V12" s="150" t="s">
        <v>1794</v>
      </c>
      <c r="W12" s="148" t="s">
        <v>1794</v>
      </c>
      <c r="X12" s="148" t="s">
        <v>1794</v>
      </c>
      <c r="Y12" s="148" t="s">
        <v>1794</v>
      </c>
      <c r="Z12" s="148" t="s">
        <v>1794</v>
      </c>
      <c r="AA12" s="148" t="s">
        <v>1794</v>
      </c>
      <c r="AC12" s="151" t="s">
        <v>1800</v>
      </c>
      <c r="AD12" s="131"/>
    </row>
    <row r="13" spans="1:30">
      <c r="A13" s="260"/>
      <c r="B13" t="s">
        <v>1801</v>
      </c>
      <c r="C13" t="s">
        <v>40</v>
      </c>
      <c r="D13" s="141">
        <v>0.44</v>
      </c>
      <c r="E13" s="141">
        <v>0.44</v>
      </c>
      <c r="F13" s="141">
        <v>0.45500000000000002</v>
      </c>
      <c r="G13" s="141">
        <v>0.375</v>
      </c>
      <c r="H13" s="141">
        <v>0.46</v>
      </c>
      <c r="I13" s="141">
        <v>0.4</v>
      </c>
      <c r="J13" s="142">
        <v>0.43</v>
      </c>
      <c r="K13" s="141">
        <v>0.49</v>
      </c>
      <c r="L13" s="141">
        <v>0.44</v>
      </c>
      <c r="M13" s="141">
        <v>0.44</v>
      </c>
      <c r="N13" s="141">
        <v>0.45500000000000002</v>
      </c>
      <c r="O13" s="141">
        <v>0.43</v>
      </c>
      <c r="P13" s="142">
        <v>0.43</v>
      </c>
      <c r="Q13" s="141">
        <v>0.44500000000000001</v>
      </c>
      <c r="R13" s="141">
        <v>0.43</v>
      </c>
      <c r="S13" s="141">
        <v>0.41499999999999998</v>
      </c>
      <c r="T13" s="141">
        <v>0.44</v>
      </c>
      <c r="U13" s="141">
        <v>0.42</v>
      </c>
      <c r="V13" s="142">
        <v>0.42499999999999999</v>
      </c>
      <c r="W13" s="141">
        <v>0.435</v>
      </c>
      <c r="X13" s="141">
        <v>0.52500000000000002</v>
      </c>
      <c r="Y13" s="141">
        <v>0.44500000000000001</v>
      </c>
      <c r="Z13" s="141">
        <v>0.43</v>
      </c>
      <c r="AA13" s="141">
        <v>0.435</v>
      </c>
      <c r="AB13" s="143">
        <f>_xlfn.STDEV.P(D13:AA13)</f>
        <v>2.7547307793442662E-2</v>
      </c>
      <c r="AC13" s="143"/>
      <c r="AD13" s="124"/>
    </row>
    <row r="14" spans="1:30">
      <c r="A14" s="260"/>
      <c r="C14" t="s">
        <v>220</v>
      </c>
      <c r="D14" s="141">
        <v>1.0049999999999999</v>
      </c>
      <c r="E14" s="141">
        <v>0.995</v>
      </c>
      <c r="F14" s="141">
        <v>1.0249999999999999</v>
      </c>
      <c r="G14" s="141">
        <v>0.91500000000000004</v>
      </c>
      <c r="H14" s="141">
        <v>1.0549999999999999</v>
      </c>
      <c r="I14" s="141">
        <v>0.96499999999999997</v>
      </c>
      <c r="J14" s="142">
        <v>0.995</v>
      </c>
      <c r="K14" s="141">
        <v>1.095</v>
      </c>
      <c r="L14" s="141">
        <v>1.0149999999999999</v>
      </c>
      <c r="M14" s="141">
        <v>0.98499999999999999</v>
      </c>
      <c r="N14" s="141">
        <v>1.0049999999999999</v>
      </c>
      <c r="O14" s="141">
        <v>0.995</v>
      </c>
      <c r="P14" s="142">
        <v>1.0049999999999999</v>
      </c>
      <c r="Q14" s="141">
        <v>1</v>
      </c>
      <c r="R14" s="141">
        <v>0.995</v>
      </c>
      <c r="S14" s="141">
        <v>1.0049999999999999</v>
      </c>
      <c r="T14" s="141">
        <v>1.0049999999999999</v>
      </c>
      <c r="U14" s="141">
        <v>1</v>
      </c>
      <c r="V14" s="142">
        <v>0.995</v>
      </c>
      <c r="W14" s="141">
        <v>0.97499999999999998</v>
      </c>
      <c r="X14" s="141">
        <v>1.02</v>
      </c>
      <c r="Y14" s="141">
        <v>1.0049999999999999</v>
      </c>
      <c r="Z14" s="141">
        <v>0.995</v>
      </c>
      <c r="AA14" s="141">
        <v>1.0049999999999999</v>
      </c>
      <c r="AB14" s="143">
        <f>_xlfn.STDEV.P(D14:AA14)</f>
        <v>3.0821365920773551E-2</v>
      </c>
      <c r="AC14" s="143"/>
      <c r="AD14" s="124"/>
    </row>
    <row r="15" spans="1:30" s="125" customFormat="1">
      <c r="A15" s="260"/>
      <c r="B15"/>
      <c r="C15" t="s">
        <v>221</v>
      </c>
      <c r="D15" s="144">
        <v>0.47</v>
      </c>
      <c r="E15" s="144">
        <v>0.44500000000000001</v>
      </c>
      <c r="F15" s="144">
        <v>0.55000000000000004</v>
      </c>
      <c r="G15" s="144">
        <v>0.47</v>
      </c>
      <c r="H15" s="144">
        <v>0.51</v>
      </c>
      <c r="I15" s="141">
        <v>0.48</v>
      </c>
      <c r="J15" s="145">
        <v>0.48499999999999999</v>
      </c>
      <c r="K15" s="144">
        <v>0.43</v>
      </c>
      <c r="L15" s="144">
        <v>0.5</v>
      </c>
      <c r="M15" s="144">
        <v>0.46500000000000002</v>
      </c>
      <c r="N15" s="144">
        <v>0.47</v>
      </c>
      <c r="O15" s="141">
        <v>0.495</v>
      </c>
      <c r="P15" s="145">
        <v>0.46500000000000002</v>
      </c>
      <c r="Q15" s="144">
        <v>0.48499999999999999</v>
      </c>
      <c r="R15" s="144">
        <v>0.47499999999999998</v>
      </c>
      <c r="S15" s="144">
        <v>0.48499999999999999</v>
      </c>
      <c r="T15" s="144">
        <v>0.49</v>
      </c>
      <c r="U15" s="141">
        <v>0.48499999999999999</v>
      </c>
      <c r="V15" s="145">
        <v>0.49</v>
      </c>
      <c r="W15" s="144">
        <v>0.49</v>
      </c>
      <c r="X15" s="144">
        <v>0.45500000000000002</v>
      </c>
      <c r="Y15" s="144">
        <v>0.48499999999999999</v>
      </c>
      <c r="Z15" s="144">
        <v>0.495</v>
      </c>
      <c r="AA15" s="144">
        <v>0.5</v>
      </c>
      <c r="AB15" s="143">
        <f>_xlfn.STDEV.P(D15:AA15)</f>
        <v>2.2817969283488448E-2</v>
      </c>
      <c r="AC15" s="143"/>
      <c r="AD15" s="124"/>
    </row>
    <row r="16" spans="1:30">
      <c r="A16" s="260"/>
      <c r="B16" s="147" t="s">
        <v>1802</v>
      </c>
      <c r="D16" s="148" t="s">
        <v>1795</v>
      </c>
      <c r="E16" s="148" t="s">
        <v>1796</v>
      </c>
      <c r="F16" s="148" t="s">
        <v>1796</v>
      </c>
      <c r="G16" s="148" t="s">
        <v>1803</v>
      </c>
      <c r="H16" s="148" t="s">
        <v>1796</v>
      </c>
      <c r="I16" s="149" t="s">
        <v>1794</v>
      </c>
      <c r="J16" s="150" t="s">
        <v>1803</v>
      </c>
      <c r="K16" s="148" t="s">
        <v>1794</v>
      </c>
      <c r="L16" s="148" t="s">
        <v>1794</v>
      </c>
      <c r="M16" s="148" t="s">
        <v>1794</v>
      </c>
      <c r="N16" s="148" t="s">
        <v>1794</v>
      </c>
      <c r="O16" s="149" t="s">
        <v>1794</v>
      </c>
      <c r="P16" s="150" t="s">
        <v>1795</v>
      </c>
      <c r="Q16" s="148" t="s">
        <v>1796</v>
      </c>
      <c r="R16" s="148" t="s">
        <v>1796</v>
      </c>
      <c r="S16" s="148" t="s">
        <v>1796</v>
      </c>
      <c r="T16" s="148" t="s">
        <v>1794</v>
      </c>
      <c r="U16" s="149" t="s">
        <v>1794</v>
      </c>
      <c r="V16" s="150" t="s">
        <v>1795</v>
      </c>
      <c r="W16" s="148" t="s">
        <v>1796</v>
      </c>
      <c r="X16" s="148" t="s">
        <v>1794</v>
      </c>
      <c r="Y16" s="148" t="s">
        <v>1794</v>
      </c>
      <c r="Z16" s="148" t="s">
        <v>1794</v>
      </c>
      <c r="AA16" s="148" t="s">
        <v>1794</v>
      </c>
      <c r="AC16" s="152" t="s">
        <v>1804</v>
      </c>
      <c r="AD16" s="131"/>
    </row>
    <row r="17" spans="1:30">
      <c r="A17" s="260"/>
      <c r="B17" t="s">
        <v>1805</v>
      </c>
      <c r="C17" t="s">
        <v>40</v>
      </c>
      <c r="D17" s="141">
        <v>0.4</v>
      </c>
      <c r="E17" s="141">
        <v>0.44500000000000001</v>
      </c>
      <c r="F17" s="141">
        <v>0.42499999999999999</v>
      </c>
      <c r="G17" s="141">
        <v>0.44</v>
      </c>
      <c r="H17" s="141">
        <v>0.42499999999999999</v>
      </c>
      <c r="I17" s="141">
        <v>0.43</v>
      </c>
      <c r="J17" s="142">
        <v>0.38</v>
      </c>
      <c r="K17" s="141">
        <v>0.47</v>
      </c>
      <c r="L17" s="141">
        <v>0.43</v>
      </c>
      <c r="M17" s="141">
        <v>0.42</v>
      </c>
      <c r="N17" s="141">
        <v>0.38</v>
      </c>
      <c r="O17" s="141">
        <v>0.42</v>
      </c>
      <c r="P17" s="142">
        <v>0.44500000000000001</v>
      </c>
      <c r="Q17" s="141">
        <v>0.42</v>
      </c>
      <c r="R17" s="141">
        <v>0.43</v>
      </c>
      <c r="S17" s="141">
        <v>0.45</v>
      </c>
      <c r="T17" s="141">
        <v>0.44</v>
      </c>
      <c r="U17" s="141">
        <v>0.42499999999999999</v>
      </c>
      <c r="V17" s="142">
        <v>0.44</v>
      </c>
      <c r="W17" s="141">
        <v>0.435</v>
      </c>
      <c r="X17" s="141">
        <v>0.41</v>
      </c>
      <c r="Y17" s="141">
        <v>0.41499999999999998</v>
      </c>
      <c r="Z17" s="141">
        <v>0.43</v>
      </c>
      <c r="AA17" s="141">
        <v>0.46</v>
      </c>
      <c r="AB17" s="143">
        <f>_xlfn.STDEV.P(D17:AA17)</f>
        <v>2.0865600012673704E-2</v>
      </c>
      <c r="AC17" s="143"/>
      <c r="AD17" s="131"/>
    </row>
    <row r="18" spans="1:30">
      <c r="A18" s="260"/>
      <c r="C18" t="s">
        <v>220</v>
      </c>
      <c r="D18" s="141">
        <v>1</v>
      </c>
      <c r="E18" s="141">
        <v>1</v>
      </c>
      <c r="F18" s="141">
        <v>0.995</v>
      </c>
      <c r="G18" s="141">
        <v>0.995</v>
      </c>
      <c r="H18" s="141">
        <v>0.995</v>
      </c>
      <c r="I18" s="141">
        <v>1</v>
      </c>
      <c r="J18" s="142">
        <v>0.995</v>
      </c>
      <c r="K18" s="141">
        <v>1.0349999999999999</v>
      </c>
      <c r="L18" s="141">
        <v>1.01</v>
      </c>
      <c r="M18" s="141">
        <v>0.98499999999999999</v>
      </c>
      <c r="N18" s="141">
        <v>1.02</v>
      </c>
      <c r="O18" s="141">
        <v>0.98</v>
      </c>
      <c r="P18" s="142">
        <v>1</v>
      </c>
      <c r="Q18" s="141">
        <v>0.995</v>
      </c>
      <c r="R18" s="141">
        <v>1</v>
      </c>
      <c r="S18" s="141">
        <v>0.96499999999999997</v>
      </c>
      <c r="T18" s="141">
        <v>1.0049999999999999</v>
      </c>
      <c r="U18" s="141">
        <v>0.995</v>
      </c>
      <c r="V18" s="142">
        <v>1</v>
      </c>
      <c r="W18" s="141">
        <v>1</v>
      </c>
      <c r="X18" s="141">
        <v>0.99</v>
      </c>
      <c r="Y18" s="141">
        <v>1</v>
      </c>
      <c r="Z18" s="141">
        <v>1.0049999999999999</v>
      </c>
      <c r="AA18" s="141">
        <v>1.01</v>
      </c>
      <c r="AB18" s="143">
        <f>_xlfn.STDEV.P(D18:AA18)</f>
        <v>1.282731189905178E-2</v>
      </c>
      <c r="AC18" s="143"/>
      <c r="AD18" s="131"/>
    </row>
    <row r="19" spans="1:30">
      <c r="A19" s="260"/>
      <c r="C19" t="s">
        <v>221</v>
      </c>
      <c r="D19" s="144">
        <v>0.54</v>
      </c>
      <c r="E19" s="144">
        <v>0.51500000000000001</v>
      </c>
      <c r="F19" s="144">
        <v>0.52500000000000002</v>
      </c>
      <c r="G19" s="144">
        <v>0.51500000000000001</v>
      </c>
      <c r="H19" s="144">
        <v>0.53500000000000003</v>
      </c>
      <c r="I19" s="141">
        <v>0.52500000000000002</v>
      </c>
      <c r="J19" s="145">
        <v>0.49</v>
      </c>
      <c r="K19" s="144">
        <v>0.57999999999999996</v>
      </c>
      <c r="L19" s="144">
        <v>0.49</v>
      </c>
      <c r="M19" s="144">
        <v>0.54</v>
      </c>
      <c r="N19" s="144">
        <v>0.54500000000000004</v>
      </c>
      <c r="O19" s="141">
        <v>0.52500000000000002</v>
      </c>
      <c r="P19" s="145">
        <v>0.52</v>
      </c>
      <c r="Q19" s="144">
        <v>0.53</v>
      </c>
      <c r="R19" s="144">
        <v>0.51500000000000001</v>
      </c>
      <c r="S19" s="144">
        <v>0.495</v>
      </c>
      <c r="T19" s="144">
        <v>0.48</v>
      </c>
      <c r="U19" s="141">
        <v>0.51500000000000001</v>
      </c>
      <c r="V19" s="145">
        <v>0.51500000000000001</v>
      </c>
      <c r="W19" s="144">
        <v>0.52500000000000002</v>
      </c>
      <c r="X19" s="144">
        <v>0.5</v>
      </c>
      <c r="Y19" s="144">
        <v>0.52</v>
      </c>
      <c r="Z19" s="144">
        <v>0.48</v>
      </c>
      <c r="AA19" s="144">
        <v>0.5</v>
      </c>
      <c r="AB19" s="143">
        <f>_xlfn.STDEV.P(D19:AA19)</f>
        <v>2.2220486043288981E-2</v>
      </c>
      <c r="AC19" s="143"/>
      <c r="AD19" s="124"/>
    </row>
    <row r="20" spans="1:30">
      <c r="A20" s="260"/>
      <c r="B20" s="147" t="s">
        <v>1806</v>
      </c>
      <c r="D20" s="148" t="s">
        <v>1794</v>
      </c>
      <c r="E20" s="148" t="s">
        <v>1794</v>
      </c>
      <c r="F20" s="148" t="s">
        <v>1794</v>
      </c>
      <c r="G20" s="148" t="s">
        <v>1794</v>
      </c>
      <c r="H20" s="148" t="s">
        <v>1794</v>
      </c>
      <c r="I20" s="149" t="s">
        <v>1794</v>
      </c>
      <c r="J20" s="150" t="s">
        <v>1794</v>
      </c>
      <c r="K20" s="148" t="s">
        <v>1794</v>
      </c>
      <c r="L20" s="148" t="s">
        <v>1794</v>
      </c>
      <c r="M20" s="148" t="s">
        <v>1794</v>
      </c>
      <c r="N20" s="148" t="s">
        <v>1794</v>
      </c>
      <c r="O20" s="149" t="s">
        <v>1794</v>
      </c>
      <c r="P20" s="150" t="s">
        <v>1794</v>
      </c>
      <c r="Q20" s="148" t="s">
        <v>1794</v>
      </c>
      <c r="R20" s="148" t="s">
        <v>1794</v>
      </c>
      <c r="S20" s="148" t="s">
        <v>1794</v>
      </c>
      <c r="T20" s="148" t="s">
        <v>1794</v>
      </c>
      <c r="U20" s="149" t="s">
        <v>1794</v>
      </c>
      <c r="V20" s="150" t="s">
        <v>1794</v>
      </c>
      <c r="W20" s="148" t="s">
        <v>1794</v>
      </c>
      <c r="X20" s="148" t="s">
        <v>1794</v>
      </c>
      <c r="Y20" s="148" t="s">
        <v>1794</v>
      </c>
      <c r="Z20" s="148" t="s">
        <v>1794</v>
      </c>
      <c r="AA20" s="148" t="s">
        <v>1794</v>
      </c>
      <c r="AC20" s="152" t="s">
        <v>1800</v>
      </c>
      <c r="AD20" s="124"/>
    </row>
    <row r="21" spans="1:30">
      <c r="A21" s="260"/>
      <c r="B21" t="s">
        <v>1807</v>
      </c>
      <c r="C21" t="s">
        <v>40</v>
      </c>
      <c r="D21" s="141">
        <v>0.45</v>
      </c>
      <c r="E21" s="141">
        <v>0.41499999999999998</v>
      </c>
      <c r="F21" s="141">
        <v>0.45500000000000002</v>
      </c>
      <c r="G21" s="141">
        <v>0.42499999999999999</v>
      </c>
      <c r="H21" s="141">
        <v>0.38</v>
      </c>
      <c r="I21" s="141">
        <v>0.39500000000000002</v>
      </c>
      <c r="J21" s="142">
        <v>0.47499999999999998</v>
      </c>
      <c r="K21" s="141">
        <v>0.44500000000000001</v>
      </c>
      <c r="L21" s="141">
        <v>0.38500000000000001</v>
      </c>
      <c r="M21" s="141">
        <v>0.51500000000000001</v>
      </c>
      <c r="N21" s="141">
        <v>0.42</v>
      </c>
      <c r="O21" s="141">
        <v>0.39</v>
      </c>
      <c r="P21" s="142">
        <v>0.42</v>
      </c>
      <c r="Q21" s="141">
        <v>0.42</v>
      </c>
      <c r="R21" s="141">
        <v>0.47499999999999998</v>
      </c>
      <c r="S21" s="141">
        <v>0.41499999999999998</v>
      </c>
      <c r="T21" s="141">
        <v>0.42</v>
      </c>
      <c r="U21" s="141">
        <v>0.41</v>
      </c>
      <c r="V21" s="142">
        <v>0.47499999999999998</v>
      </c>
      <c r="W21" s="141">
        <v>0.42</v>
      </c>
      <c r="X21" s="141">
        <v>0.43</v>
      </c>
      <c r="Y21" s="141">
        <v>0.38500000000000001</v>
      </c>
      <c r="Z21" s="141">
        <v>0.41</v>
      </c>
      <c r="AA21" s="141">
        <v>0.41499999999999998</v>
      </c>
      <c r="AB21" s="143">
        <f>_xlfn.STDEV.P(D21:AA21)</f>
        <v>3.2717620762111245E-2</v>
      </c>
      <c r="AC21" s="143"/>
      <c r="AD21" s="131"/>
    </row>
    <row r="22" spans="1:30">
      <c r="A22" s="260"/>
      <c r="C22" t="s">
        <v>220</v>
      </c>
      <c r="D22" s="141">
        <v>1.0049999999999999</v>
      </c>
      <c r="E22" s="141">
        <v>0.95499999999999996</v>
      </c>
      <c r="F22" s="141">
        <v>1.0449999999999999</v>
      </c>
      <c r="G22" s="141">
        <v>1.0049999999999999</v>
      </c>
      <c r="H22" s="141">
        <v>0.99</v>
      </c>
      <c r="I22" s="141">
        <v>0.995</v>
      </c>
      <c r="J22" s="142">
        <v>1.0049999999999999</v>
      </c>
      <c r="K22" s="141">
        <v>1.05</v>
      </c>
      <c r="L22" s="141">
        <v>0.97499999999999998</v>
      </c>
      <c r="M22" s="141">
        <v>1</v>
      </c>
      <c r="N22" s="141">
        <v>0.995</v>
      </c>
      <c r="O22" s="141">
        <v>0.98499999999999999</v>
      </c>
      <c r="P22" s="142">
        <v>0.99</v>
      </c>
      <c r="Q22" s="141">
        <v>0.995</v>
      </c>
      <c r="R22" s="141">
        <v>0.98499999999999999</v>
      </c>
      <c r="S22" s="141">
        <v>0.99</v>
      </c>
      <c r="T22" s="141">
        <v>1</v>
      </c>
      <c r="U22" s="141">
        <v>1.01</v>
      </c>
      <c r="V22" s="142">
        <v>1.01</v>
      </c>
      <c r="W22" s="141">
        <v>0.99</v>
      </c>
      <c r="X22" s="141">
        <v>1.01</v>
      </c>
      <c r="Y22" s="141">
        <v>0.97</v>
      </c>
      <c r="Z22" s="141">
        <v>1</v>
      </c>
      <c r="AA22" s="141">
        <v>1.01</v>
      </c>
      <c r="AB22" s="143">
        <f>_xlfn.STDEV.P(D22:AA22)</f>
        <v>1.9815774790695302E-2</v>
      </c>
      <c r="AC22" s="143"/>
      <c r="AD22" s="131"/>
    </row>
    <row r="23" spans="1:30">
      <c r="A23" s="260"/>
      <c r="C23" t="s">
        <v>221</v>
      </c>
      <c r="D23" s="144">
        <v>0.48499999999999999</v>
      </c>
      <c r="E23" s="144">
        <v>0.41499999999999998</v>
      </c>
      <c r="F23" s="144">
        <v>0.49</v>
      </c>
      <c r="G23" s="144">
        <v>0.48</v>
      </c>
      <c r="H23" s="144">
        <v>0.48499999999999999</v>
      </c>
      <c r="I23" s="141">
        <v>0.51500000000000001</v>
      </c>
      <c r="J23" s="145">
        <v>0.49</v>
      </c>
      <c r="K23" s="144">
        <v>0.46500000000000002</v>
      </c>
      <c r="L23" s="144">
        <v>0.48</v>
      </c>
      <c r="M23" s="144">
        <v>0.48499999999999999</v>
      </c>
      <c r="N23" s="144">
        <v>0.5</v>
      </c>
      <c r="O23" s="141">
        <v>0.47499999999999998</v>
      </c>
      <c r="P23" s="145">
        <v>0.52</v>
      </c>
      <c r="Q23" s="144">
        <v>0.505</v>
      </c>
      <c r="R23" s="144">
        <v>0.52</v>
      </c>
      <c r="S23" s="144">
        <v>0.5</v>
      </c>
      <c r="T23" s="144">
        <v>0.47</v>
      </c>
      <c r="U23" s="141">
        <v>0.49</v>
      </c>
      <c r="V23" s="145">
        <v>0.52</v>
      </c>
      <c r="W23" s="144">
        <v>0.435</v>
      </c>
      <c r="X23" s="144">
        <v>0.51500000000000001</v>
      </c>
      <c r="Y23" s="144">
        <v>0.495</v>
      </c>
      <c r="Z23" s="144">
        <v>0.51</v>
      </c>
      <c r="AA23" s="144">
        <v>0.51500000000000001</v>
      </c>
      <c r="AB23" s="143">
        <f>_xlfn.STDEV.P(D23:AA23)</f>
        <v>2.5495097567963934E-2</v>
      </c>
      <c r="AC23" s="143"/>
      <c r="AD23" s="131"/>
    </row>
    <row r="24" spans="1:30">
      <c r="A24" s="260"/>
      <c r="B24" s="147" t="s">
        <v>1808</v>
      </c>
      <c r="D24" s="148" t="s">
        <v>1794</v>
      </c>
      <c r="E24" s="148" t="s">
        <v>1794</v>
      </c>
      <c r="F24" s="148" t="s">
        <v>1794</v>
      </c>
      <c r="G24" s="148" t="s">
        <v>1794</v>
      </c>
      <c r="H24" s="148" t="s">
        <v>1794</v>
      </c>
      <c r="I24" s="149" t="s">
        <v>1794</v>
      </c>
      <c r="J24" s="150" t="s">
        <v>1794</v>
      </c>
      <c r="K24" s="148" t="s">
        <v>1794</v>
      </c>
      <c r="L24" s="148" t="s">
        <v>1794</v>
      </c>
      <c r="M24" s="148" t="s">
        <v>1794</v>
      </c>
      <c r="N24" s="148" t="s">
        <v>1794</v>
      </c>
      <c r="O24" s="149" t="s">
        <v>1794</v>
      </c>
      <c r="P24" s="150" t="s">
        <v>1794</v>
      </c>
      <c r="Q24" s="148" t="s">
        <v>1794</v>
      </c>
      <c r="R24" s="148" t="s">
        <v>1794</v>
      </c>
      <c r="S24" s="148" t="s">
        <v>1794</v>
      </c>
      <c r="T24" s="148" t="s">
        <v>1794</v>
      </c>
      <c r="U24" s="149" t="s">
        <v>1794</v>
      </c>
      <c r="V24" s="150" t="s">
        <v>1794</v>
      </c>
      <c r="W24" s="148" t="s">
        <v>1794</v>
      </c>
      <c r="X24" s="148" t="s">
        <v>1794</v>
      </c>
      <c r="Y24" s="148" t="s">
        <v>1794</v>
      </c>
      <c r="Z24" s="148" t="s">
        <v>1794</v>
      </c>
      <c r="AA24" s="148" t="s">
        <v>1794</v>
      </c>
      <c r="AC24" s="152" t="s">
        <v>1800</v>
      </c>
      <c r="AD24" s="124"/>
    </row>
    <row r="25" spans="1:30">
      <c r="A25" s="260"/>
      <c r="B25" s="153" t="s">
        <v>1809</v>
      </c>
      <c r="C25" s="153" t="s">
        <v>40</v>
      </c>
      <c r="D25" s="154">
        <v>0.42</v>
      </c>
      <c r="E25" s="154">
        <v>0.435</v>
      </c>
      <c r="F25" s="154">
        <v>0.44</v>
      </c>
      <c r="G25" s="154">
        <v>0.48499999999999999</v>
      </c>
      <c r="H25" s="154">
        <v>0.27</v>
      </c>
      <c r="I25" s="154">
        <v>0.40500000000000003</v>
      </c>
      <c r="J25" s="155">
        <v>0.4</v>
      </c>
      <c r="K25" s="154">
        <v>0.46</v>
      </c>
      <c r="L25" s="154">
        <v>0.47</v>
      </c>
      <c r="M25" s="154">
        <v>0.48</v>
      </c>
      <c r="N25" s="154">
        <v>0.42499999999999999</v>
      </c>
      <c r="O25" s="154">
        <v>0.42</v>
      </c>
      <c r="P25" s="155">
        <v>0.41499999999999998</v>
      </c>
      <c r="Q25" s="154">
        <v>0.41499999999999998</v>
      </c>
      <c r="R25" s="154">
        <v>0.40500000000000003</v>
      </c>
      <c r="S25" s="154">
        <v>0.44500000000000001</v>
      </c>
      <c r="T25" s="154">
        <v>0.44</v>
      </c>
      <c r="U25" s="154">
        <v>0.42499999999999999</v>
      </c>
      <c r="V25" s="155">
        <v>0.47499999999999998</v>
      </c>
      <c r="W25" s="154">
        <v>0.375</v>
      </c>
      <c r="X25" s="154">
        <v>0.41</v>
      </c>
      <c r="Y25" s="154">
        <v>0.51500000000000001</v>
      </c>
      <c r="Z25" s="154">
        <v>0.42499999999999999</v>
      </c>
      <c r="AA25" s="154">
        <v>0.45</v>
      </c>
      <c r="AB25" s="156">
        <f>_xlfn.STDEV.P(D25:AA25)</f>
        <v>4.5650677705811937E-2</v>
      </c>
      <c r="AC25" s="156"/>
      <c r="AD25" s="124"/>
    </row>
    <row r="26" spans="1:30" s="125" customFormat="1">
      <c r="A26" s="260"/>
      <c r="B26" s="153"/>
      <c r="C26" s="153" t="s">
        <v>220</v>
      </c>
      <c r="D26" s="154">
        <v>1.0049999999999999</v>
      </c>
      <c r="E26" s="154">
        <v>1</v>
      </c>
      <c r="F26" s="154">
        <v>1.07</v>
      </c>
      <c r="G26" s="154">
        <v>0.995</v>
      </c>
      <c r="H26" s="154">
        <v>0.755</v>
      </c>
      <c r="I26" s="154">
        <v>1.01</v>
      </c>
      <c r="J26" s="155">
        <v>0.97</v>
      </c>
      <c r="K26" s="154">
        <v>1.1000000000000001</v>
      </c>
      <c r="L26" s="154">
        <v>1.01</v>
      </c>
      <c r="M26" s="154">
        <v>1</v>
      </c>
      <c r="N26" s="154">
        <v>0.99</v>
      </c>
      <c r="O26" s="154">
        <v>0.995</v>
      </c>
      <c r="P26" s="155">
        <v>1.02</v>
      </c>
      <c r="Q26" s="154">
        <v>1</v>
      </c>
      <c r="R26" s="154">
        <v>0.995</v>
      </c>
      <c r="S26" s="154">
        <v>1</v>
      </c>
      <c r="T26" s="154">
        <v>0.995</v>
      </c>
      <c r="U26" s="154">
        <v>0.995</v>
      </c>
      <c r="V26" s="155">
        <v>1.0049999999999999</v>
      </c>
      <c r="W26" s="154">
        <v>0.97499999999999998</v>
      </c>
      <c r="X26" s="154">
        <v>1.0249999999999999</v>
      </c>
      <c r="Y26" s="154">
        <v>1.0049999999999999</v>
      </c>
      <c r="Z26" s="154">
        <v>1.01</v>
      </c>
      <c r="AA26" s="154">
        <v>1.02</v>
      </c>
      <c r="AB26" s="156">
        <f>_xlfn.STDEV.P(D26:AA26)</f>
        <v>5.7136152570465892E-2</v>
      </c>
      <c r="AC26" s="156"/>
      <c r="AD26" s="124"/>
    </row>
    <row r="27" spans="1:30">
      <c r="A27" s="260"/>
      <c r="B27" s="153"/>
      <c r="C27" s="153" t="s">
        <v>221</v>
      </c>
      <c r="D27" s="157">
        <v>0.48</v>
      </c>
      <c r="E27" s="157">
        <v>0.47</v>
      </c>
      <c r="F27" s="157">
        <v>0.46500000000000002</v>
      </c>
      <c r="G27" s="157">
        <v>0.49</v>
      </c>
      <c r="H27" s="157">
        <v>0.55000000000000004</v>
      </c>
      <c r="I27" s="154">
        <v>0.505</v>
      </c>
      <c r="J27" s="158">
        <v>0.51500000000000001</v>
      </c>
      <c r="K27" s="157">
        <v>0.505</v>
      </c>
      <c r="L27" s="157">
        <v>0.52</v>
      </c>
      <c r="M27" s="157">
        <v>0.49</v>
      </c>
      <c r="N27" s="157">
        <v>0.495</v>
      </c>
      <c r="O27" s="154">
        <v>0.5</v>
      </c>
      <c r="P27" s="158">
        <v>0.51</v>
      </c>
      <c r="Q27" s="157">
        <v>0.5</v>
      </c>
      <c r="R27" s="157">
        <v>0.48499999999999999</v>
      </c>
      <c r="S27" s="157">
        <v>0.495</v>
      </c>
      <c r="T27" s="157">
        <v>0.54</v>
      </c>
      <c r="U27" s="154">
        <v>0.51</v>
      </c>
      <c r="V27" s="158">
        <v>0.55500000000000005</v>
      </c>
      <c r="W27" s="157">
        <v>0.42</v>
      </c>
      <c r="X27" s="157">
        <v>0.51</v>
      </c>
      <c r="Y27" s="157">
        <v>0.47</v>
      </c>
      <c r="Z27" s="157">
        <v>0.51</v>
      </c>
      <c r="AA27" s="157">
        <v>0.51500000000000001</v>
      </c>
      <c r="AB27" s="156">
        <f>_xlfn.STDEV.P(D27:AA27)</f>
        <v>2.7931432662066522E-2</v>
      </c>
      <c r="AC27" s="156"/>
      <c r="AD27" s="131"/>
    </row>
    <row r="28" spans="1:30">
      <c r="A28" s="260"/>
      <c r="B28" s="159" t="s">
        <v>1810</v>
      </c>
      <c r="C28" s="153"/>
      <c r="D28" s="160" t="s">
        <v>1794</v>
      </c>
      <c r="E28" s="160" t="s">
        <v>1794</v>
      </c>
      <c r="F28" s="160" t="s">
        <v>1794</v>
      </c>
      <c r="G28" s="160" t="s">
        <v>1794</v>
      </c>
      <c r="H28" s="160" t="s">
        <v>1794</v>
      </c>
      <c r="I28" s="161" t="s">
        <v>1794</v>
      </c>
      <c r="J28" s="162" t="s">
        <v>1794</v>
      </c>
      <c r="K28" s="160" t="s">
        <v>1794</v>
      </c>
      <c r="L28" s="160" t="s">
        <v>1794</v>
      </c>
      <c r="M28" s="160" t="s">
        <v>1794</v>
      </c>
      <c r="N28" s="160" t="s">
        <v>1794</v>
      </c>
      <c r="O28" s="161" t="s">
        <v>1794</v>
      </c>
      <c r="P28" s="162" t="s">
        <v>1794</v>
      </c>
      <c r="Q28" s="160" t="s">
        <v>1794</v>
      </c>
      <c r="R28" s="160" t="s">
        <v>1794</v>
      </c>
      <c r="S28" s="160" t="s">
        <v>1794</v>
      </c>
      <c r="T28" s="160" t="s">
        <v>1794</v>
      </c>
      <c r="U28" s="161" t="s">
        <v>1794</v>
      </c>
      <c r="V28" s="162" t="s">
        <v>1794</v>
      </c>
      <c r="W28" s="160" t="s">
        <v>1794</v>
      </c>
      <c r="X28" s="160" t="s">
        <v>1794</v>
      </c>
      <c r="Y28" s="160" t="s">
        <v>1794</v>
      </c>
      <c r="Z28" s="160" t="s">
        <v>1794</v>
      </c>
      <c r="AA28" s="160" t="s">
        <v>1794</v>
      </c>
      <c r="AB28" s="153"/>
      <c r="AC28" s="163" t="s">
        <v>1800</v>
      </c>
      <c r="AD28" s="131"/>
    </row>
    <row r="29" spans="1:30">
      <c r="A29" s="260"/>
      <c r="B29" t="s">
        <v>1811</v>
      </c>
      <c r="C29" t="s">
        <v>40</v>
      </c>
      <c r="D29" s="141">
        <v>0.435</v>
      </c>
      <c r="E29" s="141">
        <v>0.53</v>
      </c>
      <c r="F29" s="141">
        <v>0.43</v>
      </c>
      <c r="G29" s="141">
        <v>0.45500000000000002</v>
      </c>
      <c r="H29" s="141">
        <v>0.42</v>
      </c>
      <c r="I29" s="141">
        <v>0.41</v>
      </c>
      <c r="J29" s="142">
        <v>0.435</v>
      </c>
      <c r="K29" s="141">
        <v>0.435</v>
      </c>
      <c r="L29" s="141">
        <v>0.46</v>
      </c>
      <c r="M29" s="141">
        <v>0.52500000000000002</v>
      </c>
      <c r="N29" s="141">
        <v>0.41499999999999998</v>
      </c>
      <c r="O29" s="141">
        <v>0.4</v>
      </c>
      <c r="P29" s="142">
        <v>0.41</v>
      </c>
      <c r="Q29" s="141">
        <v>0.44</v>
      </c>
      <c r="R29" s="141">
        <v>0.42499999999999999</v>
      </c>
      <c r="S29" s="141">
        <v>0.45</v>
      </c>
      <c r="T29" s="141">
        <v>0.44</v>
      </c>
      <c r="U29" s="141">
        <v>0.42499999999999999</v>
      </c>
      <c r="V29" s="142">
        <v>0.43</v>
      </c>
      <c r="W29" s="141">
        <v>0.6</v>
      </c>
      <c r="X29" s="141">
        <v>0.45</v>
      </c>
      <c r="Y29" s="141">
        <v>0.435</v>
      </c>
      <c r="Z29" s="141">
        <v>0.5</v>
      </c>
      <c r="AA29" s="141">
        <v>0.41499999999999998</v>
      </c>
      <c r="AB29" s="143">
        <f>_xlfn.STDEV.P(D29:AA29)</f>
        <v>4.5328660911171222E-2</v>
      </c>
      <c r="AC29" s="143"/>
      <c r="AD29" s="131"/>
    </row>
    <row r="30" spans="1:30">
      <c r="A30" s="260"/>
      <c r="C30" t="s">
        <v>220</v>
      </c>
      <c r="D30" s="141">
        <v>1.0049999999999999</v>
      </c>
      <c r="E30" s="141">
        <v>1.155</v>
      </c>
      <c r="F30" s="141">
        <v>1</v>
      </c>
      <c r="G30" s="141">
        <v>0.99</v>
      </c>
      <c r="H30" s="141">
        <v>1.0249999999999999</v>
      </c>
      <c r="I30" s="141">
        <v>0.96499999999999997</v>
      </c>
      <c r="J30" s="142">
        <v>1.0449999999999999</v>
      </c>
      <c r="K30" s="141">
        <v>1.0249999999999999</v>
      </c>
      <c r="L30" s="141">
        <v>1.03</v>
      </c>
      <c r="M30" s="141">
        <v>1</v>
      </c>
      <c r="N30" s="141">
        <v>1.0049999999999999</v>
      </c>
      <c r="O30" s="141">
        <v>1.03</v>
      </c>
      <c r="P30" s="142">
        <v>1.02</v>
      </c>
      <c r="Q30" s="141">
        <v>1.0049999999999999</v>
      </c>
      <c r="R30" s="141">
        <v>1.0349999999999999</v>
      </c>
      <c r="S30" s="141">
        <v>1</v>
      </c>
      <c r="T30" s="141">
        <v>0.995</v>
      </c>
      <c r="U30" s="141">
        <v>0.995</v>
      </c>
      <c r="V30" s="142">
        <v>1</v>
      </c>
      <c r="W30" s="141">
        <v>1.2350000000000001</v>
      </c>
      <c r="X30" s="141">
        <v>0.99</v>
      </c>
      <c r="Y30" s="141">
        <v>0.995</v>
      </c>
      <c r="Z30" s="141">
        <v>0.99</v>
      </c>
      <c r="AA30" s="141">
        <v>1.0149999999999999</v>
      </c>
      <c r="AB30" s="143">
        <f>_xlfn.STDEV.P(D30:AA30)</f>
        <v>5.5993241159586031E-2</v>
      </c>
      <c r="AC30" s="143"/>
      <c r="AD30" s="124"/>
    </row>
    <row r="31" spans="1:30">
      <c r="A31" s="260"/>
      <c r="C31" t="s">
        <v>221</v>
      </c>
      <c r="D31" s="144">
        <v>0.44500000000000001</v>
      </c>
      <c r="E31" s="144">
        <v>0.47</v>
      </c>
      <c r="F31" s="144">
        <v>0.49</v>
      </c>
      <c r="G31" s="144">
        <v>0.45</v>
      </c>
      <c r="H31" s="144">
        <v>0.5</v>
      </c>
      <c r="I31" s="141">
        <v>0.5</v>
      </c>
      <c r="J31" s="145">
        <v>0.505</v>
      </c>
      <c r="K31" s="144">
        <v>0.52</v>
      </c>
      <c r="L31" s="144">
        <v>0.52500000000000002</v>
      </c>
      <c r="M31" s="144">
        <v>0.45500000000000002</v>
      </c>
      <c r="N31" s="144">
        <v>0.51500000000000001</v>
      </c>
      <c r="O31" s="141">
        <v>0.52500000000000002</v>
      </c>
      <c r="P31" s="145">
        <v>0.48499999999999999</v>
      </c>
      <c r="Q31" s="144">
        <v>0.49</v>
      </c>
      <c r="R31" s="144">
        <v>0.53</v>
      </c>
      <c r="S31" s="144">
        <v>0.47499999999999998</v>
      </c>
      <c r="T31" s="144">
        <v>0.495</v>
      </c>
      <c r="U31" s="141">
        <v>0.51</v>
      </c>
      <c r="V31" s="145">
        <v>0.44500000000000001</v>
      </c>
      <c r="W31" s="144">
        <v>0.46</v>
      </c>
      <c r="X31" s="144">
        <v>0.505</v>
      </c>
      <c r="Y31" s="144">
        <v>0.47499999999999998</v>
      </c>
      <c r="Z31" s="144">
        <v>0.505</v>
      </c>
      <c r="AA31" s="144">
        <v>0.51</v>
      </c>
      <c r="AB31" s="143">
        <f>_xlfn.STDEV.P(D31:AA31)</f>
        <v>2.5738232208569072E-2</v>
      </c>
      <c r="AC31" s="146"/>
      <c r="AD31" s="124"/>
    </row>
    <row r="32" spans="1:30">
      <c r="A32" s="260"/>
      <c r="B32" s="147" t="s">
        <v>1812</v>
      </c>
      <c r="D32" s="148" t="s">
        <v>1794</v>
      </c>
      <c r="E32" s="148" t="s">
        <v>1794</v>
      </c>
      <c r="F32" s="148" t="s">
        <v>1794</v>
      </c>
      <c r="G32" s="148" t="s">
        <v>1794</v>
      </c>
      <c r="H32" s="148" t="s">
        <v>1794</v>
      </c>
      <c r="I32" s="149" t="s">
        <v>1794</v>
      </c>
      <c r="J32" s="150" t="s">
        <v>1794</v>
      </c>
      <c r="K32" s="148" t="s">
        <v>1794</v>
      </c>
      <c r="L32" s="148" t="s">
        <v>1794</v>
      </c>
      <c r="M32" s="148" t="s">
        <v>1794</v>
      </c>
      <c r="N32" s="148" t="s">
        <v>1794</v>
      </c>
      <c r="O32" s="149" t="s">
        <v>1794</v>
      </c>
      <c r="P32" s="150" t="s">
        <v>1794</v>
      </c>
      <c r="Q32" s="148" t="s">
        <v>1794</v>
      </c>
      <c r="R32" s="148" t="s">
        <v>1794</v>
      </c>
      <c r="S32" s="148" t="s">
        <v>1794</v>
      </c>
      <c r="T32" s="148" t="s">
        <v>1794</v>
      </c>
      <c r="U32" s="149" t="s">
        <v>1794</v>
      </c>
      <c r="V32" s="150" t="s">
        <v>1794</v>
      </c>
      <c r="W32" s="148" t="s">
        <v>1794</v>
      </c>
      <c r="X32" s="148" t="s">
        <v>1794</v>
      </c>
      <c r="Y32" s="148" t="s">
        <v>1794</v>
      </c>
      <c r="Z32" s="148" t="s">
        <v>1794</v>
      </c>
      <c r="AA32" s="148" t="s">
        <v>1794</v>
      </c>
      <c r="AC32" s="151" t="s">
        <v>1800</v>
      </c>
      <c r="AD32" s="131"/>
    </row>
    <row r="33" spans="1:30">
      <c r="A33" s="260"/>
      <c r="B33" s="153" t="s">
        <v>1813</v>
      </c>
      <c r="C33" s="153" t="s">
        <v>40</v>
      </c>
      <c r="D33" s="154">
        <v>0.45500000000000002</v>
      </c>
      <c r="E33" s="154">
        <v>0.45500000000000002</v>
      </c>
      <c r="F33" s="154">
        <v>0.51</v>
      </c>
      <c r="G33" s="154">
        <v>0.64</v>
      </c>
      <c r="H33" s="154">
        <v>0.54</v>
      </c>
      <c r="I33" s="154">
        <v>0.44</v>
      </c>
      <c r="J33" s="155">
        <v>0.28499999999999998</v>
      </c>
      <c r="K33" s="154">
        <v>0.42</v>
      </c>
      <c r="L33" s="154">
        <v>0.46</v>
      </c>
      <c r="M33" s="154">
        <v>0.52500000000000002</v>
      </c>
      <c r="N33" s="154">
        <v>0.42499999999999999</v>
      </c>
      <c r="O33" s="154">
        <v>0.45</v>
      </c>
      <c r="P33" s="155">
        <v>0.45500000000000002</v>
      </c>
      <c r="Q33" s="154">
        <v>0.44500000000000001</v>
      </c>
      <c r="R33" s="154">
        <v>0.435</v>
      </c>
      <c r="S33" s="154">
        <v>0.435</v>
      </c>
      <c r="T33" s="154">
        <v>0.44</v>
      </c>
      <c r="U33" s="154">
        <v>0.44</v>
      </c>
      <c r="V33" s="155">
        <v>0.44500000000000001</v>
      </c>
      <c r="W33" s="154">
        <v>0.435</v>
      </c>
      <c r="X33" s="154">
        <v>0.44</v>
      </c>
      <c r="Y33" s="154">
        <v>0.4</v>
      </c>
      <c r="Z33" s="154">
        <v>0.435</v>
      </c>
      <c r="AA33" s="154">
        <v>0.43</v>
      </c>
      <c r="AB33" s="156">
        <f>_xlfn.STDEV.P(D33:AA33)</f>
        <v>6.0046278448839079E-2</v>
      </c>
      <c r="AC33" s="156"/>
      <c r="AD33" s="131"/>
    </row>
    <row r="34" spans="1:30">
      <c r="A34" s="260"/>
      <c r="B34" s="153"/>
      <c r="C34" s="153" t="s">
        <v>220</v>
      </c>
      <c r="D34" s="154">
        <v>1.0049999999999999</v>
      </c>
      <c r="E34" s="154">
        <v>1.0049999999999999</v>
      </c>
      <c r="F34" s="154">
        <v>1.02</v>
      </c>
      <c r="G34" s="154">
        <v>1.2549999999999999</v>
      </c>
      <c r="H34" s="154">
        <v>1.2</v>
      </c>
      <c r="I34" s="154">
        <v>1.02</v>
      </c>
      <c r="J34" s="155">
        <v>0.69499999999999995</v>
      </c>
      <c r="K34" s="154">
        <v>0.98</v>
      </c>
      <c r="L34" s="154">
        <v>0.98499999999999999</v>
      </c>
      <c r="M34" s="154">
        <v>0.995</v>
      </c>
      <c r="N34" s="154">
        <v>0.98499999999999999</v>
      </c>
      <c r="O34" s="154">
        <v>1.0049999999999999</v>
      </c>
      <c r="P34" s="155">
        <v>1.0049999999999999</v>
      </c>
      <c r="Q34" s="154">
        <v>1.0049999999999999</v>
      </c>
      <c r="R34" s="154">
        <v>1</v>
      </c>
      <c r="S34" s="154">
        <v>1.0049999999999999</v>
      </c>
      <c r="T34" s="154">
        <v>0.995</v>
      </c>
      <c r="U34" s="154">
        <v>0.995</v>
      </c>
      <c r="V34" s="155">
        <v>1.01</v>
      </c>
      <c r="W34" s="154">
        <v>1.0149999999999999</v>
      </c>
      <c r="X34" s="154">
        <v>1.02</v>
      </c>
      <c r="Y34" s="154">
        <v>1.0249999999999999</v>
      </c>
      <c r="Z34" s="154">
        <v>0.98</v>
      </c>
      <c r="AA34" s="154">
        <v>0.97499999999999998</v>
      </c>
      <c r="AB34" s="156">
        <f>_xlfn.STDEV.P(D34:AA34)</f>
        <v>9.150364291473137E-2</v>
      </c>
      <c r="AC34" s="156"/>
      <c r="AD34" s="131"/>
    </row>
    <row r="35" spans="1:30">
      <c r="A35" s="260"/>
      <c r="B35" s="153"/>
      <c r="C35" s="153" t="s">
        <v>221</v>
      </c>
      <c r="D35" s="157">
        <v>0.51500000000000001</v>
      </c>
      <c r="E35" s="157">
        <v>0.51500000000000001</v>
      </c>
      <c r="F35" s="157">
        <v>0.505</v>
      </c>
      <c r="G35" s="157">
        <v>0.60499999999999998</v>
      </c>
      <c r="H35" s="157">
        <v>0.58499999999999996</v>
      </c>
      <c r="I35" s="154">
        <v>0.52500000000000002</v>
      </c>
      <c r="J35" s="158">
        <v>0.59499999999999997</v>
      </c>
      <c r="K35" s="157">
        <v>0.505</v>
      </c>
      <c r="L35" s="157">
        <v>0.56000000000000005</v>
      </c>
      <c r="M35" s="157">
        <v>0.49</v>
      </c>
      <c r="N35" s="157">
        <v>0.52500000000000002</v>
      </c>
      <c r="O35" s="154">
        <v>0.51</v>
      </c>
      <c r="P35" s="158">
        <v>0.54</v>
      </c>
      <c r="Q35" s="157">
        <v>0.51</v>
      </c>
      <c r="R35" s="157">
        <v>0.49</v>
      </c>
      <c r="S35" s="157">
        <v>0.51</v>
      </c>
      <c r="T35" s="157">
        <v>0.51</v>
      </c>
      <c r="U35" s="154">
        <v>0.505</v>
      </c>
      <c r="V35" s="158">
        <v>0.53500000000000003</v>
      </c>
      <c r="W35" s="157">
        <v>0.49</v>
      </c>
      <c r="X35" s="157">
        <v>0.5</v>
      </c>
      <c r="Y35" s="157">
        <v>0.51</v>
      </c>
      <c r="Z35" s="157">
        <v>0.505</v>
      </c>
      <c r="AA35" s="157">
        <v>0.495</v>
      </c>
      <c r="AB35" s="156">
        <f>_xlfn.STDEV.P(D35:AA35)</f>
        <v>3.1884530165722826E-2</v>
      </c>
      <c r="AC35" s="164"/>
      <c r="AD35" s="124"/>
    </row>
    <row r="36" spans="1:30">
      <c r="A36" s="260"/>
      <c r="B36" s="159" t="s">
        <v>1814</v>
      </c>
      <c r="C36" s="153"/>
      <c r="D36" s="160" t="s">
        <v>1794</v>
      </c>
      <c r="E36" s="160" t="s">
        <v>1794</v>
      </c>
      <c r="F36" s="160" t="s">
        <v>1794</v>
      </c>
      <c r="G36" s="160" t="s">
        <v>1794</v>
      </c>
      <c r="H36" s="160" t="s">
        <v>1794</v>
      </c>
      <c r="I36" s="161" t="s">
        <v>1794</v>
      </c>
      <c r="J36" s="162" t="s">
        <v>1794</v>
      </c>
      <c r="K36" s="160" t="s">
        <v>1794</v>
      </c>
      <c r="L36" s="160" t="s">
        <v>1794</v>
      </c>
      <c r="M36" s="160" t="s">
        <v>1794</v>
      </c>
      <c r="N36" s="160" t="s">
        <v>1794</v>
      </c>
      <c r="O36" s="161" t="s">
        <v>1794</v>
      </c>
      <c r="P36" s="162" t="s">
        <v>1794</v>
      </c>
      <c r="Q36" s="160" t="s">
        <v>1794</v>
      </c>
      <c r="R36" s="160" t="s">
        <v>1794</v>
      </c>
      <c r="S36" s="160" t="s">
        <v>1794</v>
      </c>
      <c r="T36" s="160" t="s">
        <v>1794</v>
      </c>
      <c r="U36" s="161" t="s">
        <v>1794</v>
      </c>
      <c r="V36" s="162" t="s">
        <v>1794</v>
      </c>
      <c r="W36" s="160" t="s">
        <v>1794</v>
      </c>
      <c r="X36" s="160" t="s">
        <v>1794</v>
      </c>
      <c r="Y36" s="160" t="s">
        <v>1794</v>
      </c>
      <c r="Z36" s="160" t="s">
        <v>1794</v>
      </c>
      <c r="AA36" s="160" t="s">
        <v>1794</v>
      </c>
      <c r="AB36" s="153"/>
      <c r="AC36" s="165" t="s">
        <v>1800</v>
      </c>
      <c r="AD36" s="124"/>
    </row>
    <row r="37" spans="1:30" s="125" customFormat="1">
      <c r="A37" s="260"/>
      <c r="B37" t="s">
        <v>1815</v>
      </c>
      <c r="C37" t="s">
        <v>40</v>
      </c>
      <c r="D37" s="141">
        <v>0.44</v>
      </c>
      <c r="E37" s="141">
        <v>0.45</v>
      </c>
      <c r="F37" s="141">
        <v>0.42499999999999999</v>
      </c>
      <c r="G37" s="141">
        <v>0.38500000000000001</v>
      </c>
      <c r="H37" s="141">
        <v>0.43</v>
      </c>
      <c r="I37" s="141">
        <v>0.41499999999999998</v>
      </c>
      <c r="J37" s="142">
        <v>0.41499999999999998</v>
      </c>
      <c r="K37" s="141">
        <v>0.315</v>
      </c>
      <c r="L37" s="141">
        <v>0.39500000000000002</v>
      </c>
      <c r="M37" s="141">
        <v>0.435</v>
      </c>
      <c r="N37" s="141">
        <v>0.41499999999999998</v>
      </c>
      <c r="O37" s="141">
        <v>0.42</v>
      </c>
      <c r="P37" s="142">
        <v>0.41499999999999998</v>
      </c>
      <c r="Q37" s="141">
        <v>0.43</v>
      </c>
      <c r="R37" s="141">
        <v>0.4</v>
      </c>
      <c r="S37" s="141">
        <v>0.45500000000000002</v>
      </c>
      <c r="T37" s="141">
        <v>0.45500000000000002</v>
      </c>
      <c r="U37" s="141">
        <v>0.44</v>
      </c>
      <c r="V37" s="142">
        <v>0.44</v>
      </c>
      <c r="W37" s="141">
        <v>0.61499999999999999</v>
      </c>
      <c r="X37" s="141">
        <v>0.45500000000000002</v>
      </c>
      <c r="Y37" s="141">
        <v>0.44</v>
      </c>
      <c r="Z37" s="141">
        <v>0.42</v>
      </c>
      <c r="AA37" s="141">
        <v>0.45</v>
      </c>
      <c r="AB37" s="143">
        <f>_xlfn.STDEV.P(D37:AA37)</f>
        <v>4.8207000845889747E-2</v>
      </c>
      <c r="AC37" s="143"/>
      <c r="AD37" s="166"/>
    </row>
    <row r="38" spans="1:30">
      <c r="A38" s="260"/>
      <c r="C38" t="s">
        <v>220</v>
      </c>
      <c r="D38" s="141">
        <v>0.995</v>
      </c>
      <c r="E38" s="141">
        <v>1.0149999999999999</v>
      </c>
      <c r="F38" s="141">
        <v>1.0049999999999999</v>
      </c>
      <c r="G38" s="141">
        <v>0.93</v>
      </c>
      <c r="H38" s="141">
        <v>1.0049999999999999</v>
      </c>
      <c r="I38" s="141">
        <v>0.99</v>
      </c>
      <c r="J38" s="142">
        <v>1.0149999999999999</v>
      </c>
      <c r="K38" s="141">
        <v>0.83499999999999996</v>
      </c>
      <c r="L38" s="141">
        <v>0.98</v>
      </c>
      <c r="M38" s="141">
        <v>0.995</v>
      </c>
      <c r="N38" s="141">
        <v>1.01</v>
      </c>
      <c r="O38" s="141">
        <v>1.01</v>
      </c>
      <c r="P38" s="142">
        <v>1</v>
      </c>
      <c r="Q38" s="141">
        <v>0.98499999999999999</v>
      </c>
      <c r="R38" s="141">
        <v>1.03</v>
      </c>
      <c r="S38" s="141">
        <v>0.995</v>
      </c>
      <c r="T38" s="141">
        <v>1</v>
      </c>
      <c r="U38" s="141">
        <v>0.995</v>
      </c>
      <c r="V38" s="142">
        <v>1</v>
      </c>
      <c r="W38" s="141">
        <v>1.2350000000000001</v>
      </c>
      <c r="X38" s="141">
        <v>0.98499999999999999</v>
      </c>
      <c r="Y38" s="141">
        <v>0.98499999999999999</v>
      </c>
      <c r="Z38" s="141">
        <v>1</v>
      </c>
      <c r="AA38" s="141">
        <v>1.01</v>
      </c>
      <c r="AB38" s="143">
        <f>_xlfn.STDEV.P(D38:AA38)</f>
        <v>6.1347357431994501E-2</v>
      </c>
      <c r="AC38" s="143"/>
      <c r="AD38" s="131"/>
    </row>
    <row r="39" spans="1:30">
      <c r="A39" s="260"/>
      <c r="C39" t="s">
        <v>221</v>
      </c>
      <c r="D39" s="144">
        <v>0.49</v>
      </c>
      <c r="E39" s="144">
        <v>0.48</v>
      </c>
      <c r="F39" s="144">
        <v>0.51</v>
      </c>
      <c r="G39" s="144">
        <v>0.54</v>
      </c>
      <c r="H39" s="144">
        <v>0.495</v>
      </c>
      <c r="I39" s="141">
        <v>0.5</v>
      </c>
      <c r="J39" s="145">
        <v>0.505</v>
      </c>
      <c r="K39" s="144">
        <v>0.5</v>
      </c>
      <c r="L39" s="144">
        <v>0.5</v>
      </c>
      <c r="M39" s="144">
        <v>0.51</v>
      </c>
      <c r="N39" s="144">
        <v>0.51</v>
      </c>
      <c r="O39" s="141">
        <v>0.505</v>
      </c>
      <c r="P39" s="145">
        <v>0.49</v>
      </c>
      <c r="Q39" s="144">
        <v>0.51</v>
      </c>
      <c r="R39" s="144">
        <v>0.51</v>
      </c>
      <c r="S39" s="144">
        <v>0.51</v>
      </c>
      <c r="T39" s="144">
        <v>0.505</v>
      </c>
      <c r="U39" s="141">
        <v>0.495</v>
      </c>
      <c r="V39" s="145">
        <v>0.47499999999999998</v>
      </c>
      <c r="W39" s="144">
        <v>0.54</v>
      </c>
      <c r="X39" s="144">
        <v>0.5</v>
      </c>
      <c r="Y39" s="144">
        <v>0.48</v>
      </c>
      <c r="Z39" s="144">
        <v>0.5</v>
      </c>
      <c r="AA39" s="144">
        <v>0.505</v>
      </c>
      <c r="AB39" s="143">
        <f>_xlfn.STDEV.P(D39:AA39)</f>
        <v>1.4998553170963611E-2</v>
      </c>
      <c r="AC39" s="146"/>
      <c r="AD39" s="131"/>
    </row>
    <row r="40" spans="1:30">
      <c r="A40" s="260"/>
      <c r="B40" s="147" t="s">
        <v>1816</v>
      </c>
      <c r="D40" s="148" t="s">
        <v>1794</v>
      </c>
      <c r="E40" s="148" t="s">
        <v>1794</v>
      </c>
      <c r="F40" s="148" t="s">
        <v>1794</v>
      </c>
      <c r="G40" s="148" t="s">
        <v>1794</v>
      </c>
      <c r="H40" s="148" t="s">
        <v>1794</v>
      </c>
      <c r="I40" s="149" t="s">
        <v>1794</v>
      </c>
      <c r="J40" s="150" t="s">
        <v>1794</v>
      </c>
      <c r="K40" s="148" t="s">
        <v>1794</v>
      </c>
      <c r="L40" s="148" t="s">
        <v>1794</v>
      </c>
      <c r="M40" s="148" t="s">
        <v>1794</v>
      </c>
      <c r="N40" s="148" t="s">
        <v>1794</v>
      </c>
      <c r="O40" s="149" t="s">
        <v>1794</v>
      </c>
      <c r="P40" s="150" t="s">
        <v>1794</v>
      </c>
      <c r="Q40" s="148" t="s">
        <v>1794</v>
      </c>
      <c r="R40" s="148" t="s">
        <v>1794</v>
      </c>
      <c r="S40" s="148" t="s">
        <v>1794</v>
      </c>
      <c r="T40" s="148" t="s">
        <v>1794</v>
      </c>
      <c r="U40" s="149" t="s">
        <v>1794</v>
      </c>
      <c r="V40" s="150" t="s">
        <v>1794</v>
      </c>
      <c r="W40" s="148" t="s">
        <v>1794</v>
      </c>
      <c r="X40" s="148" t="s">
        <v>1794</v>
      </c>
      <c r="Y40" s="148" t="s">
        <v>1794</v>
      </c>
      <c r="Z40" s="148" t="s">
        <v>1794</v>
      </c>
      <c r="AA40" s="148" t="s">
        <v>1794</v>
      </c>
      <c r="AC40" s="151" t="s">
        <v>1800</v>
      </c>
      <c r="AD40" s="131"/>
    </row>
    <row r="41" spans="1:30">
      <c r="A41" s="260"/>
      <c r="AD41" s="124"/>
    </row>
    <row r="42" spans="1:30">
      <c r="A42" s="260" t="s">
        <v>200</v>
      </c>
      <c r="B42" s="163" t="s">
        <v>1817</v>
      </c>
      <c r="C42" s="153" t="s">
        <v>40</v>
      </c>
      <c r="D42" s="154">
        <v>0.45500000000000002</v>
      </c>
      <c r="E42" s="154">
        <v>0.22</v>
      </c>
      <c r="F42" s="154">
        <v>0.45</v>
      </c>
      <c r="G42" s="154">
        <v>0.44500000000000001</v>
      </c>
      <c r="H42" s="154">
        <v>0.27</v>
      </c>
      <c r="I42" s="154">
        <v>0.42499999999999999</v>
      </c>
      <c r="J42" s="155">
        <v>0.43</v>
      </c>
      <c r="K42" s="154">
        <v>0.435</v>
      </c>
      <c r="L42" s="154">
        <v>0.29499999999999998</v>
      </c>
      <c r="M42" s="154">
        <v>0.42</v>
      </c>
      <c r="N42" s="154">
        <v>0.44500000000000001</v>
      </c>
      <c r="O42" s="154">
        <v>0.43</v>
      </c>
      <c r="P42" s="155">
        <v>0.42499999999999999</v>
      </c>
      <c r="Q42" s="154">
        <v>0.435</v>
      </c>
      <c r="R42" s="154">
        <v>0.47</v>
      </c>
      <c r="S42" s="154">
        <v>0.44</v>
      </c>
      <c r="T42" s="154">
        <v>0.43</v>
      </c>
      <c r="U42" s="154">
        <v>0.435</v>
      </c>
      <c r="V42" s="155">
        <v>0.44</v>
      </c>
      <c r="W42" s="154">
        <v>0.44</v>
      </c>
      <c r="X42" s="154">
        <v>0.44500000000000001</v>
      </c>
      <c r="Y42" s="154">
        <v>0.36499999999999999</v>
      </c>
      <c r="Z42" s="154">
        <v>0.46</v>
      </c>
      <c r="AA42" s="154">
        <v>0.44</v>
      </c>
      <c r="AB42" s="156">
        <f>_xlfn.STDEV.P(D42:AA42)</f>
        <v>6.1615617947075686E-2</v>
      </c>
      <c r="AC42" s="156"/>
      <c r="AD42" s="124"/>
    </row>
    <row r="43" spans="1:30">
      <c r="A43" s="260"/>
      <c r="B43" s="163"/>
      <c r="C43" s="153" t="s">
        <v>220</v>
      </c>
      <c r="D43" s="154">
        <v>1.0049999999999999</v>
      </c>
      <c r="E43" s="154">
        <v>0.76</v>
      </c>
      <c r="F43" s="154">
        <v>1.0049999999999999</v>
      </c>
      <c r="G43" s="154">
        <v>1</v>
      </c>
      <c r="H43" s="154">
        <v>0.82499999999999996</v>
      </c>
      <c r="I43" s="154">
        <v>0.995</v>
      </c>
      <c r="J43" s="155">
        <v>0.995</v>
      </c>
      <c r="K43" s="154">
        <v>0.99</v>
      </c>
      <c r="L43" s="154">
        <v>0.82499999999999996</v>
      </c>
      <c r="M43" s="154">
        <v>1.0149999999999999</v>
      </c>
      <c r="N43" s="154">
        <v>0.99</v>
      </c>
      <c r="O43" s="154">
        <v>0.98</v>
      </c>
      <c r="P43" s="155">
        <v>0.99</v>
      </c>
      <c r="Q43" s="154">
        <v>1.0049999999999999</v>
      </c>
      <c r="R43" s="154">
        <v>0.99</v>
      </c>
      <c r="S43" s="154">
        <v>1</v>
      </c>
      <c r="T43" s="154">
        <v>0.97499999999999998</v>
      </c>
      <c r="U43" s="154">
        <v>1.0049999999999999</v>
      </c>
      <c r="V43" s="155">
        <v>1</v>
      </c>
      <c r="W43" s="154">
        <v>1</v>
      </c>
      <c r="X43" s="154">
        <v>1.01</v>
      </c>
      <c r="Y43" s="154">
        <v>0.92500000000000004</v>
      </c>
      <c r="Z43" s="154">
        <v>1.0149999999999999</v>
      </c>
      <c r="AA43" s="154">
        <v>0.995</v>
      </c>
      <c r="AB43" s="156">
        <f>_xlfn.STDEV.P(D43:AA43)</f>
        <v>6.6431551552456336E-2</v>
      </c>
      <c r="AC43" s="156"/>
      <c r="AD43" s="131"/>
    </row>
    <row r="44" spans="1:30">
      <c r="A44" s="260"/>
      <c r="B44" s="163"/>
      <c r="C44" s="153" t="s">
        <v>221</v>
      </c>
      <c r="D44" s="157">
        <v>0.505</v>
      </c>
      <c r="E44" s="157">
        <v>0.54500000000000004</v>
      </c>
      <c r="F44" s="157">
        <v>0.52500000000000002</v>
      </c>
      <c r="G44" s="157">
        <v>0.53</v>
      </c>
      <c r="H44" s="157">
        <v>0.55000000000000004</v>
      </c>
      <c r="I44" s="154">
        <v>0.53</v>
      </c>
      <c r="J44" s="158">
        <v>0.53</v>
      </c>
      <c r="K44" s="157">
        <v>0.52</v>
      </c>
      <c r="L44" s="157">
        <v>0.48</v>
      </c>
      <c r="M44" s="157">
        <v>0.52500000000000002</v>
      </c>
      <c r="N44" s="157">
        <v>0.52500000000000002</v>
      </c>
      <c r="O44" s="154">
        <v>0.5</v>
      </c>
      <c r="P44" s="158">
        <v>0.51500000000000001</v>
      </c>
      <c r="Q44" s="157">
        <v>0.51500000000000001</v>
      </c>
      <c r="R44" s="157">
        <v>0.42</v>
      </c>
      <c r="S44" s="157">
        <v>0.495</v>
      </c>
      <c r="T44" s="157">
        <v>0.495</v>
      </c>
      <c r="U44" s="154">
        <v>0.52500000000000002</v>
      </c>
      <c r="V44" s="158">
        <v>0.51</v>
      </c>
      <c r="W44" s="157">
        <v>0.505</v>
      </c>
      <c r="X44" s="157">
        <v>0.505</v>
      </c>
      <c r="Y44" s="157">
        <v>0.45</v>
      </c>
      <c r="Z44" s="157">
        <v>0.51500000000000001</v>
      </c>
      <c r="AA44" s="157">
        <v>0.505</v>
      </c>
      <c r="AB44" s="156">
        <f>_xlfn.STDEV.P(D44:AA44)</f>
        <v>2.7638539919628342E-2</v>
      </c>
      <c r="AC44" s="164"/>
      <c r="AD44" s="131"/>
    </row>
    <row r="45" spans="1:30">
      <c r="A45" s="260"/>
      <c r="B45" s="168" t="s">
        <v>1818</v>
      </c>
      <c r="C45" s="153"/>
      <c r="D45" s="160" t="s">
        <v>1794</v>
      </c>
      <c r="E45" s="160" t="s">
        <v>1794</v>
      </c>
      <c r="F45" s="160" t="s">
        <v>1794</v>
      </c>
      <c r="G45" s="160" t="s">
        <v>1794</v>
      </c>
      <c r="H45" s="160" t="s">
        <v>1794</v>
      </c>
      <c r="I45" s="161" t="s">
        <v>1794</v>
      </c>
      <c r="J45" s="162" t="s">
        <v>1794</v>
      </c>
      <c r="K45" s="160" t="s">
        <v>1794</v>
      </c>
      <c r="L45" s="160" t="s">
        <v>1794</v>
      </c>
      <c r="M45" s="160" t="s">
        <v>1794</v>
      </c>
      <c r="N45" s="160" t="s">
        <v>1794</v>
      </c>
      <c r="O45" s="161" t="s">
        <v>1794</v>
      </c>
      <c r="P45" s="162" t="s">
        <v>1794</v>
      </c>
      <c r="Q45" s="160" t="s">
        <v>1794</v>
      </c>
      <c r="R45" s="160" t="s">
        <v>1794</v>
      </c>
      <c r="S45" s="160" t="s">
        <v>1794</v>
      </c>
      <c r="T45" s="160" t="s">
        <v>1794</v>
      </c>
      <c r="U45" s="161" t="s">
        <v>1794</v>
      </c>
      <c r="V45" s="162" t="s">
        <v>1794</v>
      </c>
      <c r="W45" s="160" t="s">
        <v>1794</v>
      </c>
      <c r="X45" s="160" t="s">
        <v>1794</v>
      </c>
      <c r="Y45" s="160" t="s">
        <v>1794</v>
      </c>
      <c r="Z45" s="160" t="s">
        <v>1794</v>
      </c>
      <c r="AA45" s="160" t="s">
        <v>1794</v>
      </c>
      <c r="AB45" s="153"/>
      <c r="AC45" s="165" t="s">
        <v>1800</v>
      </c>
      <c r="AD45" s="131"/>
    </row>
    <row r="46" spans="1:30">
      <c r="A46" s="260"/>
      <c r="B46" s="126" t="s">
        <v>1819</v>
      </c>
      <c r="C46" s="127" t="s">
        <v>40</v>
      </c>
      <c r="D46" s="128">
        <v>0.505</v>
      </c>
      <c r="E46" s="128">
        <v>0.48499999999999999</v>
      </c>
      <c r="F46" s="128">
        <v>0.44</v>
      </c>
      <c r="G46" s="128">
        <v>0.37</v>
      </c>
      <c r="H46" s="128">
        <v>0.41</v>
      </c>
      <c r="I46" s="128">
        <v>0.43</v>
      </c>
      <c r="J46" s="129">
        <v>0.44500000000000001</v>
      </c>
      <c r="K46" s="128">
        <v>0.61</v>
      </c>
      <c r="L46" s="128">
        <v>0.42</v>
      </c>
      <c r="M46" s="128">
        <v>0.42499999999999999</v>
      </c>
      <c r="N46" s="128">
        <v>0.45500000000000002</v>
      </c>
      <c r="O46" s="128">
        <v>0.44</v>
      </c>
      <c r="P46" s="129">
        <v>0.42</v>
      </c>
      <c r="Q46" s="128">
        <v>0.44</v>
      </c>
      <c r="R46" s="128">
        <v>0.45500000000000002</v>
      </c>
      <c r="S46" s="128">
        <v>0.44500000000000001</v>
      </c>
      <c r="T46" s="128">
        <v>0.46</v>
      </c>
      <c r="U46" s="128">
        <v>0.45500000000000002</v>
      </c>
      <c r="V46" s="129">
        <v>0.43</v>
      </c>
      <c r="W46" s="128">
        <v>0.745</v>
      </c>
      <c r="X46" s="128">
        <v>0.45500000000000002</v>
      </c>
      <c r="Y46" s="128">
        <v>0.435</v>
      </c>
      <c r="Z46" s="128">
        <v>0.44500000000000001</v>
      </c>
      <c r="AA46" s="128">
        <v>0.435</v>
      </c>
      <c r="AB46" s="132">
        <f>_xlfn.STDEV.P(D46:AA46)</f>
        <v>7.2576288885098733E-2</v>
      </c>
      <c r="AC46" s="132"/>
      <c r="AD46" s="124"/>
    </row>
    <row r="47" spans="1:30">
      <c r="A47" s="260"/>
      <c r="B47" s="126"/>
      <c r="C47" s="127" t="s">
        <v>220</v>
      </c>
      <c r="D47" s="128">
        <v>1.02</v>
      </c>
      <c r="E47" s="128">
        <v>1.03</v>
      </c>
      <c r="F47" s="128">
        <v>1.0049999999999999</v>
      </c>
      <c r="G47" s="128">
        <v>0.98</v>
      </c>
      <c r="H47" s="128">
        <v>0.98</v>
      </c>
      <c r="I47" s="128">
        <v>0.98499999999999999</v>
      </c>
      <c r="J47" s="129">
        <v>1.01</v>
      </c>
      <c r="K47" s="128">
        <v>1.17</v>
      </c>
      <c r="L47" s="128">
        <v>1.01</v>
      </c>
      <c r="M47" s="128">
        <v>1.0449999999999999</v>
      </c>
      <c r="N47" s="128">
        <v>0.98499999999999999</v>
      </c>
      <c r="O47" s="128">
        <v>1.0249999999999999</v>
      </c>
      <c r="P47" s="129">
        <v>1.01</v>
      </c>
      <c r="Q47" s="128">
        <v>1</v>
      </c>
      <c r="R47" s="128">
        <v>1.0649999999999999</v>
      </c>
      <c r="S47" s="128">
        <v>1.02</v>
      </c>
      <c r="T47" s="128">
        <v>1.01</v>
      </c>
      <c r="U47" s="128">
        <v>1.0049999999999999</v>
      </c>
      <c r="V47" s="129">
        <v>1</v>
      </c>
      <c r="W47" s="128">
        <v>1.2649999999999999</v>
      </c>
      <c r="X47" s="128">
        <v>0.98499999999999999</v>
      </c>
      <c r="Y47" s="128">
        <v>0.98</v>
      </c>
      <c r="Z47" s="128">
        <v>1.0149999999999999</v>
      </c>
      <c r="AA47" s="128">
        <v>0.99</v>
      </c>
      <c r="AB47" s="132">
        <f>_xlfn.STDEV.P(D47:AA47)</f>
        <v>6.3194749694012439E-2</v>
      </c>
      <c r="AC47" s="132"/>
      <c r="AD47" s="124"/>
    </row>
    <row r="48" spans="1:30" s="125" customFormat="1">
      <c r="A48" s="260"/>
      <c r="B48" s="126"/>
      <c r="C48" s="127" t="s">
        <v>221</v>
      </c>
      <c r="D48" s="133">
        <v>0.48499999999999999</v>
      </c>
      <c r="E48" s="133">
        <v>0.49</v>
      </c>
      <c r="F48" s="133">
        <v>0.505</v>
      </c>
      <c r="G48" s="133">
        <v>0.45500000000000002</v>
      </c>
      <c r="H48" s="133">
        <v>0.51500000000000001</v>
      </c>
      <c r="I48" s="128">
        <v>0.48499999999999999</v>
      </c>
      <c r="J48" s="134">
        <v>0.51500000000000001</v>
      </c>
      <c r="K48" s="133">
        <v>0.505</v>
      </c>
      <c r="L48" s="133">
        <v>0.51</v>
      </c>
      <c r="M48" s="133">
        <v>0.48499999999999999</v>
      </c>
      <c r="N48" s="133">
        <v>0.48499999999999999</v>
      </c>
      <c r="O48" s="128">
        <v>0.505</v>
      </c>
      <c r="P48" s="134">
        <v>0.54</v>
      </c>
      <c r="Q48" s="133">
        <v>0.51</v>
      </c>
      <c r="R48" s="133">
        <v>0.505</v>
      </c>
      <c r="S48" s="133">
        <v>0.52500000000000002</v>
      </c>
      <c r="T48" s="133">
        <v>0.48</v>
      </c>
      <c r="U48" s="128">
        <v>0.49</v>
      </c>
      <c r="V48" s="134">
        <v>0.5</v>
      </c>
      <c r="W48" s="133">
        <v>0.59</v>
      </c>
      <c r="X48" s="133">
        <v>0.505</v>
      </c>
      <c r="Y48" s="133">
        <v>0.51</v>
      </c>
      <c r="Z48" s="133">
        <v>0.495</v>
      </c>
      <c r="AA48" s="133">
        <v>0.49</v>
      </c>
      <c r="AB48" s="132">
        <f>_xlfn.STDEV.P(D48:AA48)</f>
        <v>2.4650332429581732E-2</v>
      </c>
      <c r="AC48" s="135"/>
      <c r="AD48" s="166"/>
    </row>
    <row r="49" spans="1:30">
      <c r="A49" s="260"/>
      <c r="B49" s="136" t="s">
        <v>1820</v>
      </c>
      <c r="C49" s="127"/>
      <c r="D49" s="137" t="s">
        <v>1803</v>
      </c>
      <c r="E49" s="137" t="s">
        <v>1795</v>
      </c>
      <c r="F49" s="137" t="s">
        <v>1803</v>
      </c>
      <c r="G49" s="137" t="s">
        <v>1794</v>
      </c>
      <c r="H49" s="137" t="s">
        <v>1794</v>
      </c>
      <c r="I49" s="138" t="s">
        <v>1803</v>
      </c>
      <c r="J49" s="139" t="s">
        <v>1796</v>
      </c>
      <c r="K49" s="137" t="s">
        <v>1795</v>
      </c>
      <c r="L49" s="137" t="s">
        <v>1796</v>
      </c>
      <c r="M49" s="137" t="s">
        <v>1794</v>
      </c>
      <c r="N49" s="137" t="s">
        <v>1794</v>
      </c>
      <c r="O49" s="138" t="s">
        <v>1796</v>
      </c>
      <c r="P49" s="139" t="s">
        <v>1795</v>
      </c>
      <c r="Q49" s="137" t="s">
        <v>1795</v>
      </c>
      <c r="R49" s="137" t="s">
        <v>1796</v>
      </c>
      <c r="S49" s="137" t="s">
        <v>1796</v>
      </c>
      <c r="T49" s="137" t="s">
        <v>1795</v>
      </c>
      <c r="U49" s="138" t="s">
        <v>1795</v>
      </c>
      <c r="V49" s="139" t="s">
        <v>1803</v>
      </c>
      <c r="W49" s="137" t="s">
        <v>1795</v>
      </c>
      <c r="X49" s="137" t="s">
        <v>1795</v>
      </c>
      <c r="Y49" s="137" t="s">
        <v>1794</v>
      </c>
      <c r="Z49" s="137" t="s">
        <v>1794</v>
      </c>
      <c r="AA49" s="137" t="s">
        <v>1794</v>
      </c>
      <c r="AB49" s="127"/>
      <c r="AC49" s="140" t="s">
        <v>1821</v>
      </c>
      <c r="AD49" s="131"/>
    </row>
    <row r="50" spans="1:30">
      <c r="A50" s="260"/>
      <c r="B50" t="s">
        <v>1801</v>
      </c>
      <c r="C50" t="s">
        <v>40</v>
      </c>
      <c r="D50" s="141">
        <v>0.40500000000000003</v>
      </c>
      <c r="E50" s="141">
        <v>0.46</v>
      </c>
      <c r="F50" s="141">
        <v>0.5</v>
      </c>
      <c r="G50" s="141">
        <v>0.4</v>
      </c>
      <c r="H50" s="141">
        <v>0.435</v>
      </c>
      <c r="I50" s="141">
        <v>0.495</v>
      </c>
      <c r="J50" s="142">
        <v>0.45500000000000002</v>
      </c>
      <c r="K50" s="141">
        <v>0.505</v>
      </c>
      <c r="L50" s="141">
        <v>0.45500000000000002</v>
      </c>
      <c r="M50" s="141">
        <v>0.45500000000000002</v>
      </c>
      <c r="N50" s="141">
        <v>0.46</v>
      </c>
      <c r="O50" s="141">
        <v>0.36499999999999999</v>
      </c>
      <c r="P50" s="142">
        <v>0.46</v>
      </c>
      <c r="Q50" s="141">
        <v>0.48499999999999999</v>
      </c>
      <c r="R50" s="141">
        <v>0.48</v>
      </c>
      <c r="S50" s="141">
        <v>0.48499999999999999</v>
      </c>
      <c r="T50" s="141">
        <v>0.49</v>
      </c>
      <c r="U50" s="141">
        <v>0.48</v>
      </c>
      <c r="V50" s="142">
        <v>0.44</v>
      </c>
      <c r="W50" s="141">
        <v>0.495</v>
      </c>
      <c r="X50" s="141">
        <v>0.47499999999999998</v>
      </c>
      <c r="Y50" s="141">
        <v>0.46500000000000002</v>
      </c>
      <c r="Z50" s="141">
        <v>0.44500000000000001</v>
      </c>
      <c r="AA50" s="141">
        <v>0.47</v>
      </c>
      <c r="AB50" s="143">
        <f>_xlfn.STDEV.P(D50:AA50)</f>
        <v>3.3124344857252977E-2</v>
      </c>
      <c r="AC50" s="143"/>
      <c r="AD50" s="131"/>
    </row>
    <row r="51" spans="1:30">
      <c r="A51" s="260"/>
      <c r="C51" t="s">
        <v>220</v>
      </c>
      <c r="D51" s="141">
        <v>1.0149999999999999</v>
      </c>
      <c r="E51" s="141">
        <v>1.04</v>
      </c>
      <c r="F51" s="141">
        <v>0.85</v>
      </c>
      <c r="G51" s="141">
        <v>1.085</v>
      </c>
      <c r="H51" s="141">
        <v>0.95499999999999996</v>
      </c>
      <c r="I51" s="141">
        <v>0.995</v>
      </c>
      <c r="J51" s="142">
        <v>0.98499999999999999</v>
      </c>
      <c r="K51" s="141">
        <v>1.01</v>
      </c>
      <c r="L51" s="141">
        <v>1.0049999999999999</v>
      </c>
      <c r="M51" s="141">
        <v>1</v>
      </c>
      <c r="N51" s="141">
        <v>0.99</v>
      </c>
      <c r="O51" s="141">
        <v>0.98</v>
      </c>
      <c r="P51" s="142">
        <v>1.0049999999999999</v>
      </c>
      <c r="Q51" s="141">
        <v>1.0049999999999999</v>
      </c>
      <c r="R51" s="141">
        <v>1.0049999999999999</v>
      </c>
      <c r="S51" s="141">
        <v>1</v>
      </c>
      <c r="T51" s="141">
        <v>1.01</v>
      </c>
      <c r="U51" s="141">
        <v>1.0149999999999999</v>
      </c>
      <c r="V51" s="142">
        <v>0.99</v>
      </c>
      <c r="W51" s="141">
        <v>1</v>
      </c>
      <c r="X51" s="141">
        <v>1</v>
      </c>
      <c r="Y51" s="141">
        <v>1.0049999999999999</v>
      </c>
      <c r="Z51" s="141">
        <v>1.0049999999999999</v>
      </c>
      <c r="AA51" s="141">
        <v>1.0049999999999999</v>
      </c>
      <c r="AB51" s="143">
        <f>_xlfn.STDEV.P(D51:AA51)</f>
        <v>3.815572532399298E-2</v>
      </c>
      <c r="AC51" s="143"/>
      <c r="AD51" s="131"/>
    </row>
    <row r="52" spans="1:30">
      <c r="A52" s="260"/>
      <c r="C52" t="s">
        <v>221</v>
      </c>
      <c r="D52" s="144">
        <v>0.49</v>
      </c>
      <c r="E52" s="144">
        <v>0.46500000000000002</v>
      </c>
      <c r="F52" s="144">
        <v>0.37</v>
      </c>
      <c r="G52" s="144">
        <v>0.65500000000000003</v>
      </c>
      <c r="H52" s="144">
        <v>0.435</v>
      </c>
      <c r="I52" s="141">
        <v>0.54</v>
      </c>
      <c r="J52" s="145">
        <v>0.48499999999999999</v>
      </c>
      <c r="K52" s="144">
        <v>0.54500000000000004</v>
      </c>
      <c r="L52" s="144">
        <v>0.46500000000000002</v>
      </c>
      <c r="M52" s="144">
        <v>0.40500000000000003</v>
      </c>
      <c r="N52" s="144">
        <v>0.70499999999999996</v>
      </c>
      <c r="O52" s="141">
        <v>0.70499999999999996</v>
      </c>
      <c r="P52" s="145">
        <v>0.43</v>
      </c>
      <c r="Q52" s="144">
        <v>0.41499999999999998</v>
      </c>
      <c r="R52" s="144">
        <v>0.41499999999999998</v>
      </c>
      <c r="S52" s="144">
        <v>0.375</v>
      </c>
      <c r="T52" s="144">
        <v>0.47499999999999998</v>
      </c>
      <c r="U52" s="141">
        <v>0.42499999999999999</v>
      </c>
      <c r="V52" s="145">
        <v>0.40500000000000003</v>
      </c>
      <c r="W52" s="144">
        <v>0.42</v>
      </c>
      <c r="X52" s="144">
        <v>0.42499999999999999</v>
      </c>
      <c r="Y52" s="144">
        <v>0.43</v>
      </c>
      <c r="Z52" s="144">
        <v>0.44</v>
      </c>
      <c r="AA52" s="144">
        <v>0.46500000000000002</v>
      </c>
      <c r="AB52" s="143">
        <f>_xlfn.STDEV.P(D52:AA52)</f>
        <v>9.1484430597051108E-2</v>
      </c>
      <c r="AC52" s="146"/>
      <c r="AD52" s="124"/>
    </row>
    <row r="53" spans="1:30">
      <c r="A53" s="260"/>
      <c r="B53" s="147" t="s">
        <v>1802</v>
      </c>
      <c r="D53" s="148" t="s">
        <v>1794</v>
      </c>
      <c r="E53" s="148" t="s">
        <v>1794</v>
      </c>
      <c r="F53" s="148" t="s">
        <v>1794</v>
      </c>
      <c r="G53" s="148" t="s">
        <v>1794</v>
      </c>
      <c r="H53" s="148" t="s">
        <v>1794</v>
      </c>
      <c r="I53" s="149" t="s">
        <v>1794</v>
      </c>
      <c r="J53" s="150" t="s">
        <v>1795</v>
      </c>
      <c r="K53" s="148" t="s">
        <v>1796</v>
      </c>
      <c r="L53" s="148" t="s">
        <v>1794</v>
      </c>
      <c r="M53" s="148" t="s">
        <v>1794</v>
      </c>
      <c r="N53" s="148" t="s">
        <v>1794</v>
      </c>
      <c r="O53" s="149" t="s">
        <v>1794</v>
      </c>
      <c r="P53" s="150" t="s">
        <v>1794</v>
      </c>
      <c r="Q53" s="148" t="s">
        <v>1794</v>
      </c>
      <c r="R53" s="148" t="s">
        <v>1794</v>
      </c>
      <c r="S53" s="148" t="s">
        <v>1794</v>
      </c>
      <c r="T53" s="148" t="s">
        <v>1794</v>
      </c>
      <c r="U53" s="149" t="s">
        <v>1794</v>
      </c>
      <c r="V53" s="150" t="s">
        <v>1794</v>
      </c>
      <c r="W53" s="148" t="s">
        <v>1794</v>
      </c>
      <c r="X53" s="148" t="s">
        <v>1794</v>
      </c>
      <c r="Y53" s="148" t="s">
        <v>1794</v>
      </c>
      <c r="Z53" s="148" t="s">
        <v>1794</v>
      </c>
      <c r="AA53" s="148" t="s">
        <v>1794</v>
      </c>
      <c r="AC53" s="151" t="s">
        <v>1822</v>
      </c>
      <c r="AD53" s="124"/>
    </row>
    <row r="54" spans="1:30">
      <c r="A54" s="260"/>
      <c r="B54" t="s">
        <v>1805</v>
      </c>
      <c r="C54" t="s">
        <v>40</v>
      </c>
      <c r="D54" s="141">
        <v>0.435</v>
      </c>
      <c r="E54" s="141">
        <v>0.44</v>
      </c>
      <c r="F54" s="141">
        <v>0.48</v>
      </c>
      <c r="G54" s="141">
        <v>0.33500000000000002</v>
      </c>
      <c r="H54" s="141">
        <v>0.315</v>
      </c>
      <c r="I54" s="141">
        <v>0.41</v>
      </c>
      <c r="J54" s="142">
        <v>0.42499999999999999</v>
      </c>
      <c r="K54" s="141">
        <v>0.39</v>
      </c>
      <c r="L54" s="141">
        <v>0.42499999999999999</v>
      </c>
      <c r="M54" s="141">
        <v>0.42</v>
      </c>
      <c r="N54" s="141">
        <v>0.42</v>
      </c>
      <c r="O54" s="141">
        <v>0.42</v>
      </c>
      <c r="P54" s="142">
        <v>0.42499999999999999</v>
      </c>
      <c r="Q54" s="141">
        <v>0.44500000000000001</v>
      </c>
      <c r="R54" s="141">
        <v>0.41499999999999998</v>
      </c>
      <c r="S54" s="141">
        <v>0.42499999999999999</v>
      </c>
      <c r="T54" s="141">
        <v>0.45</v>
      </c>
      <c r="U54" s="141">
        <v>0.42</v>
      </c>
      <c r="V54" s="142">
        <v>0.5</v>
      </c>
      <c r="W54" s="141">
        <v>0.33500000000000002</v>
      </c>
      <c r="X54" s="141">
        <v>0.44500000000000001</v>
      </c>
      <c r="Y54" s="141">
        <v>0.44500000000000001</v>
      </c>
      <c r="Z54" s="141">
        <v>0.41499999999999998</v>
      </c>
      <c r="AA54" s="141">
        <v>0.42</v>
      </c>
      <c r="AB54" s="143">
        <f>_xlfn.STDEV.P(D54:AA54)</f>
        <v>4.0824297469630608E-2</v>
      </c>
      <c r="AC54" s="143"/>
      <c r="AD54" s="131"/>
    </row>
    <row r="55" spans="1:30">
      <c r="A55" s="260"/>
      <c r="C55" t="s">
        <v>220</v>
      </c>
      <c r="D55" s="141">
        <v>1</v>
      </c>
      <c r="E55" s="141">
        <v>1</v>
      </c>
      <c r="F55" s="141">
        <v>1</v>
      </c>
      <c r="G55" s="141">
        <v>0.90500000000000003</v>
      </c>
      <c r="H55" s="141">
        <v>0.92</v>
      </c>
      <c r="I55" s="141">
        <v>1</v>
      </c>
      <c r="J55" s="142">
        <v>1.0049999999999999</v>
      </c>
      <c r="K55" s="141">
        <v>1.0449999999999999</v>
      </c>
      <c r="L55" s="141">
        <v>0.98499999999999999</v>
      </c>
      <c r="M55" s="141">
        <v>1.03</v>
      </c>
      <c r="N55" s="141">
        <v>0.99</v>
      </c>
      <c r="O55" s="141">
        <v>1.0049999999999999</v>
      </c>
      <c r="P55" s="142">
        <v>1.0049999999999999</v>
      </c>
      <c r="Q55" s="141">
        <v>1</v>
      </c>
      <c r="R55" s="141">
        <v>0.97</v>
      </c>
      <c r="S55" s="141">
        <v>0.995</v>
      </c>
      <c r="T55" s="141">
        <v>1.0049999999999999</v>
      </c>
      <c r="U55" s="141">
        <v>0.99</v>
      </c>
      <c r="V55" s="142">
        <v>1</v>
      </c>
      <c r="W55" s="141">
        <v>0.92</v>
      </c>
      <c r="X55" s="141">
        <v>1.0349999999999999</v>
      </c>
      <c r="Y55" s="141">
        <v>0.98499999999999999</v>
      </c>
      <c r="Z55" s="141">
        <v>1.01</v>
      </c>
      <c r="AA55" s="141">
        <v>1.0149999999999999</v>
      </c>
      <c r="AB55" s="143">
        <f>_xlfn.STDEV.P(D55:AA55)</f>
        <v>3.3259684262214824E-2</v>
      </c>
      <c r="AC55" s="143"/>
      <c r="AD55" s="131"/>
    </row>
    <row r="56" spans="1:30">
      <c r="A56" s="260"/>
      <c r="C56" t="s">
        <v>221</v>
      </c>
      <c r="D56" s="144">
        <v>0.45</v>
      </c>
      <c r="E56" s="144">
        <v>0.45</v>
      </c>
      <c r="F56" s="144">
        <v>0.49</v>
      </c>
      <c r="G56" s="144">
        <v>0.47499999999999998</v>
      </c>
      <c r="H56" s="144">
        <v>0.49</v>
      </c>
      <c r="I56" s="141">
        <v>0.51</v>
      </c>
      <c r="J56" s="145">
        <v>0.51</v>
      </c>
      <c r="K56" s="144">
        <v>0.48</v>
      </c>
      <c r="L56" s="144">
        <v>0.505</v>
      </c>
      <c r="M56" s="144">
        <v>0.49</v>
      </c>
      <c r="N56" s="144">
        <v>0.51500000000000001</v>
      </c>
      <c r="O56" s="141">
        <v>0.51500000000000001</v>
      </c>
      <c r="P56" s="145">
        <v>0.48</v>
      </c>
      <c r="Q56" s="144">
        <v>0.505</v>
      </c>
      <c r="R56" s="144">
        <v>0.48499999999999999</v>
      </c>
      <c r="S56" s="144">
        <v>0.495</v>
      </c>
      <c r="T56" s="144">
        <v>0.55000000000000004</v>
      </c>
      <c r="U56" s="141">
        <v>0.51</v>
      </c>
      <c r="V56" s="145">
        <v>0.55000000000000004</v>
      </c>
      <c r="W56" s="144">
        <v>0.495</v>
      </c>
      <c r="X56" s="144">
        <v>0.49</v>
      </c>
      <c r="Y56" s="144">
        <v>0.49</v>
      </c>
      <c r="Z56" s="144">
        <v>0.51</v>
      </c>
      <c r="AA56" s="144">
        <v>0.505</v>
      </c>
      <c r="AB56" s="143">
        <f>_xlfn.STDEV.P(D56:AA56)</f>
        <v>2.3272800946359879E-2</v>
      </c>
      <c r="AC56" s="146"/>
      <c r="AD56" s="131"/>
    </row>
    <row r="57" spans="1:30">
      <c r="A57" s="260"/>
      <c r="B57" s="147" t="s">
        <v>1806</v>
      </c>
      <c r="D57" s="148" t="s">
        <v>1795</v>
      </c>
      <c r="E57" s="148" t="s">
        <v>1796</v>
      </c>
      <c r="F57" s="148" t="s">
        <v>1796</v>
      </c>
      <c r="G57" s="148" t="s">
        <v>1803</v>
      </c>
      <c r="H57" s="148" t="s">
        <v>1794</v>
      </c>
      <c r="I57" s="149" t="s">
        <v>1796</v>
      </c>
      <c r="J57" s="150" t="s">
        <v>1803</v>
      </c>
      <c r="K57" s="148" t="s">
        <v>1795</v>
      </c>
      <c r="L57" s="148" t="s">
        <v>1803</v>
      </c>
      <c r="M57" s="148" t="s">
        <v>1794</v>
      </c>
      <c r="N57" s="148" t="s">
        <v>1794</v>
      </c>
      <c r="O57" s="149" t="s">
        <v>1796</v>
      </c>
      <c r="P57" s="150" t="s">
        <v>1795</v>
      </c>
      <c r="Q57" s="148" t="s">
        <v>1795</v>
      </c>
      <c r="R57" s="148" t="s">
        <v>1796</v>
      </c>
      <c r="S57" s="148" t="s">
        <v>1796</v>
      </c>
      <c r="T57" s="148" t="s">
        <v>1795</v>
      </c>
      <c r="U57" s="149" t="s">
        <v>1795</v>
      </c>
      <c r="V57" s="150" t="s">
        <v>1803</v>
      </c>
      <c r="W57" s="148" t="s">
        <v>1795</v>
      </c>
      <c r="X57" s="148" t="s">
        <v>1794</v>
      </c>
      <c r="Y57" s="148" t="s">
        <v>1794</v>
      </c>
      <c r="Z57" s="148" t="s">
        <v>1794</v>
      </c>
      <c r="AA57" s="148" t="s">
        <v>1794</v>
      </c>
      <c r="AC57" s="151" t="s">
        <v>1823</v>
      </c>
      <c r="AD57" s="124"/>
    </row>
    <row r="58" spans="1:30">
      <c r="A58" s="260"/>
      <c r="B58" t="s">
        <v>1807</v>
      </c>
      <c r="C58" t="s">
        <v>40</v>
      </c>
      <c r="D58" s="141">
        <v>0.49</v>
      </c>
      <c r="E58" s="141">
        <v>0.49</v>
      </c>
      <c r="F58" s="141">
        <v>0.49</v>
      </c>
      <c r="G58" s="141">
        <v>0.495</v>
      </c>
      <c r="H58" s="141">
        <v>0.49</v>
      </c>
      <c r="I58" s="141">
        <v>0.495</v>
      </c>
      <c r="J58" s="142">
        <v>0.49</v>
      </c>
      <c r="K58" s="141">
        <v>0.48499999999999999</v>
      </c>
      <c r="L58" s="141">
        <v>0.49</v>
      </c>
      <c r="M58" s="141">
        <v>0.49</v>
      </c>
      <c r="N58" s="141">
        <v>0.48499999999999999</v>
      </c>
      <c r="O58" s="141">
        <v>0.49</v>
      </c>
      <c r="P58" s="142">
        <v>0.495</v>
      </c>
      <c r="Q58" s="141">
        <v>0.495</v>
      </c>
      <c r="R58" s="141">
        <v>0.5</v>
      </c>
      <c r="S58" s="141">
        <v>0.49</v>
      </c>
      <c r="T58" s="141">
        <v>0.495</v>
      </c>
      <c r="U58" s="141">
        <v>0.54</v>
      </c>
      <c r="V58" s="142">
        <v>0.44</v>
      </c>
      <c r="W58" s="141">
        <v>0.54500000000000004</v>
      </c>
      <c r="X58" s="141">
        <v>0.47499999999999998</v>
      </c>
      <c r="Y58" s="141">
        <v>0.45500000000000002</v>
      </c>
      <c r="Z58" s="141">
        <v>0.46</v>
      </c>
      <c r="AA58" s="141">
        <v>0.4</v>
      </c>
      <c r="AB58" s="143">
        <f>_xlfn.STDEV.P(D58:AA58)</f>
        <v>2.7698149757700425E-2</v>
      </c>
      <c r="AC58" s="143"/>
      <c r="AD58" s="124"/>
    </row>
    <row r="59" spans="1:30" s="125" customFormat="1">
      <c r="A59" s="260"/>
      <c r="B59"/>
      <c r="C59" t="s">
        <v>220</v>
      </c>
      <c r="D59" s="141">
        <v>0.96</v>
      </c>
      <c r="E59" s="141">
        <v>0.96</v>
      </c>
      <c r="F59" s="141">
        <v>0.96</v>
      </c>
      <c r="G59" s="141">
        <v>0.96499999999999997</v>
      </c>
      <c r="H59" s="141">
        <v>0.96</v>
      </c>
      <c r="I59" s="141">
        <v>0.96</v>
      </c>
      <c r="J59" s="142">
        <v>0.96</v>
      </c>
      <c r="K59" s="141">
        <v>0.96</v>
      </c>
      <c r="L59" s="141">
        <v>0.96</v>
      </c>
      <c r="M59" s="141">
        <v>0.96</v>
      </c>
      <c r="N59" s="141">
        <v>0.96</v>
      </c>
      <c r="O59" s="141">
        <v>0.96499999999999997</v>
      </c>
      <c r="P59" s="142">
        <v>0.97</v>
      </c>
      <c r="Q59" s="141">
        <v>0.97</v>
      </c>
      <c r="R59" s="141">
        <v>0.96499999999999997</v>
      </c>
      <c r="S59" s="141">
        <v>0.97</v>
      </c>
      <c r="T59" s="141">
        <v>0.96499999999999997</v>
      </c>
      <c r="U59" s="141">
        <v>0.91</v>
      </c>
      <c r="V59" s="142">
        <v>1</v>
      </c>
      <c r="W59" s="141">
        <v>0.96</v>
      </c>
      <c r="X59" s="141">
        <v>0.995</v>
      </c>
      <c r="Y59" s="141">
        <v>1.0149999999999999</v>
      </c>
      <c r="Z59" s="141">
        <v>1.0049999999999999</v>
      </c>
      <c r="AA59" s="141">
        <v>0.995</v>
      </c>
      <c r="AB59" s="143">
        <f>_xlfn.STDEV.P(D59:AA59)</f>
        <v>2.0577597041442894E-2</v>
      </c>
      <c r="AC59" s="143"/>
      <c r="AD59" s="166"/>
    </row>
    <row r="60" spans="1:30">
      <c r="A60" s="260"/>
      <c r="C60" t="s">
        <v>221</v>
      </c>
      <c r="D60" s="144">
        <v>0.26</v>
      </c>
      <c r="E60" s="144">
        <v>0.26</v>
      </c>
      <c r="F60" s="144">
        <v>0.255</v>
      </c>
      <c r="G60" s="144">
        <v>0.26</v>
      </c>
      <c r="H60" s="144">
        <v>0.26500000000000001</v>
      </c>
      <c r="I60" s="141">
        <v>0.26</v>
      </c>
      <c r="J60" s="145">
        <v>0.26</v>
      </c>
      <c r="K60" s="144">
        <v>0.255</v>
      </c>
      <c r="L60" s="144">
        <v>0.26</v>
      </c>
      <c r="M60" s="144">
        <v>0.255</v>
      </c>
      <c r="N60" s="144">
        <v>0.26</v>
      </c>
      <c r="O60" s="141">
        <v>0.27</v>
      </c>
      <c r="P60" s="145">
        <v>0.27500000000000002</v>
      </c>
      <c r="Q60" s="144">
        <v>0.27500000000000002</v>
      </c>
      <c r="R60" s="144">
        <v>0.27</v>
      </c>
      <c r="S60" s="144">
        <v>0.27500000000000002</v>
      </c>
      <c r="T60" s="144">
        <v>0.26</v>
      </c>
      <c r="U60" s="141">
        <v>0.125</v>
      </c>
      <c r="V60" s="145">
        <v>0.63500000000000001</v>
      </c>
      <c r="W60" s="144">
        <v>0.35499999999999998</v>
      </c>
      <c r="X60" s="144">
        <v>0.48</v>
      </c>
      <c r="Y60" s="144">
        <v>0.49</v>
      </c>
      <c r="Z60" s="144">
        <v>0.54500000000000004</v>
      </c>
      <c r="AA60" s="144">
        <v>0.52</v>
      </c>
      <c r="AB60" s="143">
        <f>_xlfn.STDEV.P(D60:AA60)</f>
        <v>0.11885722498256292</v>
      </c>
      <c r="AC60" s="146"/>
      <c r="AD60" s="131"/>
    </row>
    <row r="61" spans="1:30">
      <c r="A61" s="260"/>
      <c r="B61" s="147" t="s">
        <v>1808</v>
      </c>
      <c r="D61" s="148" t="s">
        <v>1794</v>
      </c>
      <c r="E61" s="148" t="s">
        <v>1794</v>
      </c>
      <c r="F61" s="148" t="s">
        <v>1794</v>
      </c>
      <c r="G61" s="148" t="s">
        <v>1794</v>
      </c>
      <c r="H61" s="148" t="s">
        <v>1794</v>
      </c>
      <c r="I61" s="149" t="s">
        <v>1794</v>
      </c>
      <c r="J61" s="150" t="s">
        <v>1794</v>
      </c>
      <c r="K61" s="148" t="s">
        <v>1794</v>
      </c>
      <c r="L61" s="148" t="s">
        <v>1794</v>
      </c>
      <c r="M61" s="148" t="s">
        <v>1794</v>
      </c>
      <c r="N61" s="148" t="s">
        <v>1794</v>
      </c>
      <c r="O61" s="149" t="s">
        <v>1794</v>
      </c>
      <c r="P61" s="150" t="s">
        <v>1794</v>
      </c>
      <c r="Q61" s="148" t="s">
        <v>1794</v>
      </c>
      <c r="R61" s="148" t="s">
        <v>1794</v>
      </c>
      <c r="S61" s="148" t="s">
        <v>1794</v>
      </c>
      <c r="T61" s="148" t="s">
        <v>1796</v>
      </c>
      <c r="U61" s="149" t="s">
        <v>1794</v>
      </c>
      <c r="V61" s="150" t="s">
        <v>1794</v>
      </c>
      <c r="W61" s="148" t="s">
        <v>1795</v>
      </c>
      <c r="X61" s="148" t="s">
        <v>1796</v>
      </c>
      <c r="Y61" s="148" t="s">
        <v>1796</v>
      </c>
      <c r="Z61" s="148" t="s">
        <v>1796</v>
      </c>
      <c r="AA61" s="148" t="s">
        <v>1796</v>
      </c>
      <c r="AC61" s="151" t="s">
        <v>1824</v>
      </c>
      <c r="AD61" s="131"/>
    </row>
    <row r="62" spans="1:30">
      <c r="A62" s="260"/>
      <c r="B62" t="s">
        <v>1809</v>
      </c>
      <c r="C62" t="s">
        <v>40</v>
      </c>
      <c r="D62" s="141">
        <v>0.45500000000000002</v>
      </c>
      <c r="E62" s="141">
        <v>0.46500000000000002</v>
      </c>
      <c r="F62" s="141">
        <v>0.47</v>
      </c>
      <c r="G62" s="141">
        <v>0.47</v>
      </c>
      <c r="H62" s="141">
        <v>0.46500000000000002</v>
      </c>
      <c r="I62" s="141">
        <v>0.48499999999999999</v>
      </c>
      <c r="J62" s="142">
        <v>0.5</v>
      </c>
      <c r="K62" s="141">
        <v>0.42499999999999999</v>
      </c>
      <c r="L62" s="141">
        <v>0.39</v>
      </c>
      <c r="M62" s="141">
        <v>0.51500000000000001</v>
      </c>
      <c r="N62" s="141">
        <v>0.44500000000000001</v>
      </c>
      <c r="O62" s="141">
        <v>0.435</v>
      </c>
      <c r="P62" s="142">
        <v>0.44</v>
      </c>
      <c r="Q62" s="141">
        <v>0.44</v>
      </c>
      <c r="R62" s="141">
        <v>0.41499999999999998</v>
      </c>
      <c r="S62" s="141">
        <v>0.43</v>
      </c>
      <c r="T62" s="141">
        <v>0.43</v>
      </c>
      <c r="U62" s="141">
        <v>0.48499999999999999</v>
      </c>
      <c r="V62" s="142">
        <v>0.45500000000000002</v>
      </c>
      <c r="W62" s="141">
        <v>0.45500000000000002</v>
      </c>
      <c r="X62" s="141">
        <v>0.47</v>
      </c>
      <c r="Y62" s="141">
        <v>0.46500000000000002</v>
      </c>
      <c r="Z62" s="141">
        <v>0.47</v>
      </c>
      <c r="AA62" s="141">
        <v>0.45500000000000002</v>
      </c>
      <c r="AB62" s="143">
        <f>_xlfn.STDEV.P(D62:AA62)</f>
        <v>2.7038424304846043E-2</v>
      </c>
      <c r="AC62" s="143"/>
      <c r="AD62" s="131"/>
    </row>
    <row r="63" spans="1:30">
      <c r="A63" s="260"/>
      <c r="C63" t="s">
        <v>220</v>
      </c>
      <c r="D63" s="141">
        <v>1.01</v>
      </c>
      <c r="E63" s="141">
        <v>1.01</v>
      </c>
      <c r="F63" s="141">
        <v>1.01</v>
      </c>
      <c r="G63" s="141">
        <v>1.0049999999999999</v>
      </c>
      <c r="H63" s="141">
        <v>1.0049999999999999</v>
      </c>
      <c r="I63" s="141">
        <v>1.01</v>
      </c>
      <c r="J63" s="142">
        <v>1.01</v>
      </c>
      <c r="K63" s="141">
        <v>1</v>
      </c>
      <c r="L63" s="141">
        <v>0.995</v>
      </c>
      <c r="M63" s="141">
        <v>1.0149999999999999</v>
      </c>
      <c r="N63" s="141">
        <v>1</v>
      </c>
      <c r="O63" s="141">
        <v>1.0049999999999999</v>
      </c>
      <c r="P63" s="142">
        <v>1.0049999999999999</v>
      </c>
      <c r="Q63" s="141">
        <v>1</v>
      </c>
      <c r="R63" s="141">
        <v>0.995</v>
      </c>
      <c r="S63" s="141">
        <v>1.01</v>
      </c>
      <c r="T63" s="141">
        <v>1.01</v>
      </c>
      <c r="U63" s="141">
        <v>1.01</v>
      </c>
      <c r="V63" s="142">
        <v>1.01</v>
      </c>
      <c r="W63" s="141">
        <v>1.0049999999999999</v>
      </c>
      <c r="X63" s="141">
        <v>1.0049999999999999</v>
      </c>
      <c r="Y63" s="141">
        <v>1.01</v>
      </c>
      <c r="Z63" s="141">
        <v>1.01</v>
      </c>
      <c r="AA63" s="141">
        <v>1.0049999999999999</v>
      </c>
      <c r="AB63" s="143">
        <f>_xlfn.STDEV.P(D63:AA63)</f>
        <v>5.0518148554092304E-3</v>
      </c>
      <c r="AC63" s="143"/>
      <c r="AD63" s="124"/>
    </row>
    <row r="64" spans="1:30">
      <c r="A64" s="260"/>
      <c r="C64" t="s">
        <v>221</v>
      </c>
      <c r="D64" s="144">
        <v>0.46500000000000002</v>
      </c>
      <c r="E64" s="144">
        <v>0.46500000000000002</v>
      </c>
      <c r="F64" s="144">
        <v>0.48499999999999999</v>
      </c>
      <c r="G64" s="144">
        <v>0.42</v>
      </c>
      <c r="H64" s="144">
        <v>0.46</v>
      </c>
      <c r="I64" s="141">
        <v>0.48499999999999999</v>
      </c>
      <c r="J64" s="145">
        <v>0.495</v>
      </c>
      <c r="K64" s="144">
        <v>0.44500000000000001</v>
      </c>
      <c r="L64" s="144">
        <v>0.40500000000000003</v>
      </c>
      <c r="M64" s="144">
        <v>0.44</v>
      </c>
      <c r="N64" s="144">
        <v>0.46500000000000002</v>
      </c>
      <c r="O64" s="141">
        <v>0.46</v>
      </c>
      <c r="P64" s="145">
        <v>0.44</v>
      </c>
      <c r="Q64" s="144">
        <v>0.45500000000000002</v>
      </c>
      <c r="R64" s="144">
        <v>0.42</v>
      </c>
      <c r="S64" s="144">
        <v>0.44500000000000001</v>
      </c>
      <c r="T64" s="144">
        <v>0.57999999999999996</v>
      </c>
      <c r="U64" s="141">
        <v>0.52500000000000002</v>
      </c>
      <c r="V64" s="145">
        <v>0.51500000000000001</v>
      </c>
      <c r="W64" s="144">
        <v>0.495</v>
      </c>
      <c r="X64" s="144">
        <v>0.45</v>
      </c>
      <c r="Y64" s="144">
        <v>0.44</v>
      </c>
      <c r="Z64" s="144">
        <v>0.48499999999999999</v>
      </c>
      <c r="AA64" s="144">
        <v>0.47</v>
      </c>
      <c r="AB64" s="143">
        <f>_xlfn.STDEV.P(D64:AA64)</f>
        <v>3.7050547304399634E-2</v>
      </c>
      <c r="AC64" s="146"/>
      <c r="AD64" s="124"/>
    </row>
    <row r="65" spans="1:30">
      <c r="A65" s="260"/>
      <c r="B65" s="147" t="s">
        <v>1810</v>
      </c>
      <c r="D65" s="148" t="s">
        <v>1794</v>
      </c>
      <c r="E65" s="148" t="s">
        <v>1794</v>
      </c>
      <c r="F65" s="148" t="s">
        <v>1794</v>
      </c>
      <c r="G65" s="148" t="s">
        <v>1794</v>
      </c>
      <c r="H65" s="148" t="s">
        <v>1794</v>
      </c>
      <c r="I65" s="149" t="s">
        <v>1794</v>
      </c>
      <c r="J65" s="150" t="s">
        <v>1794</v>
      </c>
      <c r="K65" s="148" t="s">
        <v>1794</v>
      </c>
      <c r="L65" s="148" t="s">
        <v>1794</v>
      </c>
      <c r="M65" s="148" t="s">
        <v>1794</v>
      </c>
      <c r="N65" s="148" t="s">
        <v>1794</v>
      </c>
      <c r="O65" s="149" t="s">
        <v>1794</v>
      </c>
      <c r="P65" s="150" t="s">
        <v>1794</v>
      </c>
      <c r="Q65" s="148" t="s">
        <v>1794</v>
      </c>
      <c r="R65" s="148" t="s">
        <v>1794</v>
      </c>
      <c r="S65" s="148" t="s">
        <v>1794</v>
      </c>
      <c r="T65" s="148" t="s">
        <v>1794</v>
      </c>
      <c r="U65" s="149" t="s">
        <v>1794</v>
      </c>
      <c r="V65" s="150" t="s">
        <v>1794</v>
      </c>
      <c r="W65" s="148" t="s">
        <v>1794</v>
      </c>
      <c r="X65" s="148" t="s">
        <v>1794</v>
      </c>
      <c r="Y65" s="148" t="s">
        <v>1794</v>
      </c>
      <c r="Z65" s="148" t="s">
        <v>1794</v>
      </c>
      <c r="AA65" s="148" t="s">
        <v>1794</v>
      </c>
      <c r="AC65" s="151" t="s">
        <v>1800</v>
      </c>
      <c r="AD65" s="131"/>
    </row>
    <row r="66" spans="1:30">
      <c r="A66" s="260"/>
      <c r="B66" t="s">
        <v>1811</v>
      </c>
      <c r="C66" t="s">
        <v>40</v>
      </c>
      <c r="D66" s="141">
        <v>0.46</v>
      </c>
      <c r="E66" s="141">
        <v>0.435</v>
      </c>
      <c r="F66" s="141">
        <v>0.44</v>
      </c>
      <c r="G66" s="141">
        <v>0.22</v>
      </c>
      <c r="H66" s="141">
        <v>0.44</v>
      </c>
      <c r="I66" s="141">
        <v>0.41</v>
      </c>
      <c r="J66" s="142">
        <v>0.505</v>
      </c>
      <c r="K66" s="141">
        <v>0.42499999999999999</v>
      </c>
      <c r="L66" s="141">
        <v>0.42</v>
      </c>
      <c r="M66" s="141">
        <v>0.46</v>
      </c>
      <c r="N66" s="141">
        <v>0.41499999999999998</v>
      </c>
      <c r="O66" s="141">
        <v>0.41499999999999998</v>
      </c>
      <c r="P66" s="142">
        <v>0.42499999999999999</v>
      </c>
      <c r="Q66" s="141">
        <v>0.44500000000000001</v>
      </c>
      <c r="R66" s="141">
        <v>0.435</v>
      </c>
      <c r="S66" s="141">
        <v>0.435</v>
      </c>
      <c r="T66" s="141">
        <v>0.47499999999999998</v>
      </c>
      <c r="U66" s="141">
        <v>0.42499999999999999</v>
      </c>
      <c r="V66" s="142">
        <v>0.44</v>
      </c>
      <c r="W66" s="141">
        <v>0.6</v>
      </c>
      <c r="X66" s="141">
        <v>0.47</v>
      </c>
      <c r="Y66" s="141">
        <v>0.42499999999999999</v>
      </c>
      <c r="Z66" s="141">
        <v>0.42499999999999999</v>
      </c>
      <c r="AA66" s="141">
        <v>0.435</v>
      </c>
      <c r="AB66" s="143">
        <f>_xlfn.STDEV.P(D66:AA66)</f>
        <v>5.9400944623989267E-2</v>
      </c>
      <c r="AC66" s="143"/>
      <c r="AD66" s="131"/>
    </row>
    <row r="67" spans="1:30">
      <c r="A67" s="260"/>
      <c r="C67" t="s">
        <v>220</v>
      </c>
      <c r="D67" s="141">
        <v>1.0049999999999999</v>
      </c>
      <c r="E67" s="141">
        <v>0.97499999999999998</v>
      </c>
      <c r="F67" s="141">
        <v>0.995</v>
      </c>
      <c r="G67" s="141">
        <v>0.93500000000000005</v>
      </c>
      <c r="H67" s="141">
        <v>0.99</v>
      </c>
      <c r="I67" s="141">
        <v>0.96</v>
      </c>
      <c r="J67" s="142">
        <v>1.08</v>
      </c>
      <c r="K67" s="141">
        <v>0.99</v>
      </c>
      <c r="L67" s="141">
        <v>0.995</v>
      </c>
      <c r="M67" s="141">
        <v>0.96499999999999997</v>
      </c>
      <c r="N67" s="141">
        <v>0.99</v>
      </c>
      <c r="O67" s="141">
        <v>0.995</v>
      </c>
      <c r="P67" s="142">
        <v>0.99</v>
      </c>
      <c r="Q67" s="141">
        <v>1.0049999999999999</v>
      </c>
      <c r="R67" s="141">
        <v>0.96</v>
      </c>
      <c r="S67" s="141">
        <v>1</v>
      </c>
      <c r="T67" s="141">
        <v>0.98</v>
      </c>
      <c r="U67" s="141">
        <v>0.995</v>
      </c>
      <c r="V67" s="142">
        <v>1.0049999999999999</v>
      </c>
      <c r="W67" s="141">
        <v>1.1599999999999999</v>
      </c>
      <c r="X67" s="141">
        <v>0.98</v>
      </c>
      <c r="Y67" s="141">
        <v>0.99</v>
      </c>
      <c r="Z67" s="141">
        <v>0.995</v>
      </c>
      <c r="AA67" s="141">
        <v>1</v>
      </c>
      <c r="AB67" s="143">
        <f>_xlfn.STDEV.P(D67:AA67)</f>
        <v>4.2130233766527116E-2</v>
      </c>
      <c r="AC67" s="143"/>
      <c r="AD67" s="131"/>
    </row>
    <row r="68" spans="1:30">
      <c r="A68" s="260"/>
      <c r="C68" t="s">
        <v>221</v>
      </c>
      <c r="D68" s="144">
        <v>0.48</v>
      </c>
      <c r="E68" s="144">
        <v>0.5</v>
      </c>
      <c r="F68" s="144">
        <v>0.51</v>
      </c>
      <c r="G68" s="144">
        <v>0.49</v>
      </c>
      <c r="H68" s="144">
        <v>0.52</v>
      </c>
      <c r="I68" s="141">
        <v>0.51</v>
      </c>
      <c r="J68" s="145">
        <v>0.53</v>
      </c>
      <c r="K68" s="144">
        <v>0.54</v>
      </c>
      <c r="L68" s="144">
        <v>0.53</v>
      </c>
      <c r="M68" s="144">
        <v>0.52500000000000002</v>
      </c>
      <c r="N68" s="144">
        <v>0.52500000000000002</v>
      </c>
      <c r="O68" s="141">
        <v>0.52</v>
      </c>
      <c r="P68" s="145">
        <v>0.53</v>
      </c>
      <c r="Q68" s="144">
        <v>0.47</v>
      </c>
      <c r="R68" s="144">
        <v>0.46500000000000002</v>
      </c>
      <c r="S68" s="144">
        <v>0.505</v>
      </c>
      <c r="T68" s="144">
        <v>0.31</v>
      </c>
      <c r="U68" s="141">
        <v>0.5</v>
      </c>
      <c r="V68" s="145">
        <v>0.51500000000000001</v>
      </c>
      <c r="W68" s="144">
        <v>0.52500000000000002</v>
      </c>
      <c r="X68" s="144">
        <v>0.51500000000000001</v>
      </c>
      <c r="Y68" s="144">
        <v>0.51</v>
      </c>
      <c r="Z68" s="144">
        <v>0.51500000000000001</v>
      </c>
      <c r="AA68" s="144">
        <v>0.52</v>
      </c>
      <c r="AB68" s="143">
        <f>_xlfn.STDEV.P(D68:AA68)</f>
        <v>4.4229515032385341E-2</v>
      </c>
      <c r="AC68" s="146"/>
      <c r="AD68" s="124"/>
    </row>
    <row r="69" spans="1:30">
      <c r="A69" s="260"/>
      <c r="B69" s="147" t="s">
        <v>1812</v>
      </c>
      <c r="D69" s="148" t="s">
        <v>1795</v>
      </c>
      <c r="E69" s="148" t="s">
        <v>1796</v>
      </c>
      <c r="F69" s="148" t="s">
        <v>1796</v>
      </c>
      <c r="G69" s="148" t="s">
        <v>1796</v>
      </c>
      <c r="H69" s="148" t="s">
        <v>1796</v>
      </c>
      <c r="I69" s="149" t="s">
        <v>1796</v>
      </c>
      <c r="J69" s="150" t="s">
        <v>1796</v>
      </c>
      <c r="K69" s="148" t="s">
        <v>1794</v>
      </c>
      <c r="L69" s="148" t="s">
        <v>1794</v>
      </c>
      <c r="M69" s="148" t="s">
        <v>1794</v>
      </c>
      <c r="N69" s="148" t="s">
        <v>1794</v>
      </c>
      <c r="O69" s="149" t="s">
        <v>1803</v>
      </c>
      <c r="P69" s="150" t="s">
        <v>1803</v>
      </c>
      <c r="Q69" s="148" t="s">
        <v>1803</v>
      </c>
      <c r="R69" s="148" t="s">
        <v>1803</v>
      </c>
      <c r="S69" s="148" t="s">
        <v>1796</v>
      </c>
      <c r="T69" s="148" t="s">
        <v>1795</v>
      </c>
      <c r="U69" s="149" t="s">
        <v>1796</v>
      </c>
      <c r="V69" s="150" t="s">
        <v>1803</v>
      </c>
      <c r="W69" s="148" t="s">
        <v>1795</v>
      </c>
      <c r="X69" s="148" t="s">
        <v>1796</v>
      </c>
      <c r="Y69" s="148" t="s">
        <v>1794</v>
      </c>
      <c r="Z69" s="148" t="s">
        <v>1794</v>
      </c>
      <c r="AA69" s="148" t="s">
        <v>1794</v>
      </c>
      <c r="AC69" s="151" t="s">
        <v>1825</v>
      </c>
      <c r="AD69" s="124"/>
    </row>
    <row r="70" spans="1:30" s="125" customFormat="1">
      <c r="A70" s="260"/>
      <c r="B70" s="153" t="s">
        <v>1813</v>
      </c>
      <c r="C70" s="153" t="s">
        <v>40</v>
      </c>
      <c r="D70" s="154">
        <v>0.47</v>
      </c>
      <c r="E70" s="154">
        <v>0.55500000000000005</v>
      </c>
      <c r="F70" s="154">
        <v>0.54</v>
      </c>
      <c r="G70" s="154">
        <v>0.41</v>
      </c>
      <c r="H70" s="154">
        <v>0.38</v>
      </c>
      <c r="I70" s="154">
        <v>0.39</v>
      </c>
      <c r="J70" s="155">
        <v>0.46500000000000002</v>
      </c>
      <c r="K70" s="154">
        <v>0.40500000000000003</v>
      </c>
      <c r="L70" s="154">
        <v>0.38500000000000001</v>
      </c>
      <c r="M70" s="154">
        <v>0.39</v>
      </c>
      <c r="N70" s="154">
        <v>0.40500000000000003</v>
      </c>
      <c r="O70" s="154">
        <v>0.41</v>
      </c>
      <c r="P70" s="155">
        <v>0.40500000000000003</v>
      </c>
      <c r="Q70" s="154">
        <v>0.375</v>
      </c>
      <c r="R70" s="154">
        <v>0.36499999999999999</v>
      </c>
      <c r="S70" s="154">
        <v>0.45</v>
      </c>
      <c r="T70" s="154">
        <v>0.42499999999999999</v>
      </c>
      <c r="U70" s="154">
        <v>0.41</v>
      </c>
      <c r="V70" s="155">
        <v>0.41</v>
      </c>
      <c r="W70" s="154">
        <v>0.44500000000000001</v>
      </c>
      <c r="X70" s="154">
        <v>0.47</v>
      </c>
      <c r="Y70" s="154">
        <v>0.42499999999999999</v>
      </c>
      <c r="Z70" s="154">
        <v>0.42</v>
      </c>
      <c r="AA70" s="154">
        <v>0.41</v>
      </c>
      <c r="AB70" s="156">
        <f>_xlfn.STDEV.P(D70:AA70)</f>
        <v>4.6240145346512523E-2</v>
      </c>
      <c r="AC70" s="156"/>
      <c r="AD70" s="166"/>
    </row>
    <row r="71" spans="1:30">
      <c r="A71" s="260"/>
      <c r="B71" s="153"/>
      <c r="C71" s="153" t="s">
        <v>220</v>
      </c>
      <c r="D71" s="154">
        <v>1.0049999999999999</v>
      </c>
      <c r="E71" s="154">
        <v>1.125</v>
      </c>
      <c r="F71" s="154">
        <v>1.105</v>
      </c>
      <c r="G71" s="154">
        <v>1.0149999999999999</v>
      </c>
      <c r="H71" s="154">
        <v>0.99</v>
      </c>
      <c r="I71" s="154">
        <v>1</v>
      </c>
      <c r="J71" s="155">
        <v>0.97499999999999998</v>
      </c>
      <c r="K71" s="154">
        <v>0.97499999999999998</v>
      </c>
      <c r="L71" s="154">
        <v>0.98</v>
      </c>
      <c r="M71" s="154">
        <v>1.03</v>
      </c>
      <c r="N71" s="154">
        <v>1.01</v>
      </c>
      <c r="O71" s="154">
        <v>1.0149999999999999</v>
      </c>
      <c r="P71" s="155">
        <v>0.995</v>
      </c>
      <c r="Q71" s="154">
        <v>0.98499999999999999</v>
      </c>
      <c r="R71" s="154">
        <v>1.0049999999999999</v>
      </c>
      <c r="S71" s="154">
        <v>1</v>
      </c>
      <c r="T71" s="154">
        <v>0.96499999999999997</v>
      </c>
      <c r="U71" s="154">
        <v>0.995</v>
      </c>
      <c r="V71" s="155">
        <v>1.0049999999999999</v>
      </c>
      <c r="W71" s="154">
        <v>1.07</v>
      </c>
      <c r="X71" s="154">
        <v>1.0049999999999999</v>
      </c>
      <c r="Y71" s="154">
        <v>1.03</v>
      </c>
      <c r="Z71" s="154">
        <v>1.01</v>
      </c>
      <c r="AA71" s="154">
        <v>0.99</v>
      </c>
      <c r="AB71" s="156">
        <f>_xlfn.STDEV.P(D71:AA71)</f>
        <v>3.7739972914080856E-2</v>
      </c>
      <c r="AC71" s="156"/>
      <c r="AD71" s="124"/>
    </row>
    <row r="72" spans="1:30">
      <c r="A72" s="260"/>
      <c r="B72" s="153"/>
      <c r="C72" s="153" t="s">
        <v>221</v>
      </c>
      <c r="D72" s="157">
        <v>0.45</v>
      </c>
      <c r="E72" s="157">
        <v>0.53</v>
      </c>
      <c r="F72" s="157">
        <v>0.56499999999999995</v>
      </c>
      <c r="G72" s="157">
        <v>0.56000000000000005</v>
      </c>
      <c r="H72" s="157">
        <v>0.54500000000000004</v>
      </c>
      <c r="I72" s="154">
        <v>0.53500000000000003</v>
      </c>
      <c r="J72" s="158">
        <v>0.56999999999999995</v>
      </c>
      <c r="K72" s="157">
        <v>0.53</v>
      </c>
      <c r="L72" s="157">
        <v>0.52500000000000002</v>
      </c>
      <c r="M72" s="157">
        <v>0.51500000000000001</v>
      </c>
      <c r="N72" s="157">
        <v>0.505</v>
      </c>
      <c r="O72" s="154">
        <v>0.495</v>
      </c>
      <c r="P72" s="158">
        <v>0.49</v>
      </c>
      <c r="Q72" s="157">
        <v>0.48</v>
      </c>
      <c r="R72" s="157">
        <v>0.48499999999999999</v>
      </c>
      <c r="S72" s="157">
        <v>0.52</v>
      </c>
      <c r="T72" s="157">
        <v>0.36499999999999999</v>
      </c>
      <c r="U72" s="154">
        <v>0.505</v>
      </c>
      <c r="V72" s="158">
        <v>0.51</v>
      </c>
      <c r="W72" s="157">
        <v>0.52500000000000002</v>
      </c>
      <c r="X72" s="157">
        <v>0.52500000000000002</v>
      </c>
      <c r="Y72" s="157">
        <v>0.51</v>
      </c>
      <c r="Z72" s="157">
        <v>0.51500000000000001</v>
      </c>
      <c r="AA72" s="157">
        <v>0.51</v>
      </c>
      <c r="AB72" s="156">
        <f>_xlfn.STDEV.P(D72:AA72)</f>
        <v>4.0516950328089704E-2</v>
      </c>
      <c r="AC72" s="164"/>
      <c r="AD72" s="124"/>
    </row>
    <row r="73" spans="1:30">
      <c r="A73" s="260"/>
      <c r="B73" s="159" t="s">
        <v>1814</v>
      </c>
      <c r="C73" s="153"/>
      <c r="D73" s="160" t="s">
        <v>1795</v>
      </c>
      <c r="E73" s="160" t="s">
        <v>1796</v>
      </c>
      <c r="F73" s="160" t="s">
        <v>1796</v>
      </c>
      <c r="G73" s="160" t="s">
        <v>1795</v>
      </c>
      <c r="H73" s="160" t="s">
        <v>1803</v>
      </c>
      <c r="I73" s="161" t="s">
        <v>1803</v>
      </c>
      <c r="J73" s="162" t="s">
        <v>1795</v>
      </c>
      <c r="K73" s="160" t="s">
        <v>1795</v>
      </c>
      <c r="L73" s="160" t="s">
        <v>1796</v>
      </c>
      <c r="M73" s="160" t="s">
        <v>1794</v>
      </c>
      <c r="N73" s="160" t="s">
        <v>1794</v>
      </c>
      <c r="O73" s="161" t="s">
        <v>1796</v>
      </c>
      <c r="P73" s="162" t="s">
        <v>1795</v>
      </c>
      <c r="Q73" s="160" t="s">
        <v>1803</v>
      </c>
      <c r="R73" s="160" t="s">
        <v>1803</v>
      </c>
      <c r="S73" s="160" t="s">
        <v>1796</v>
      </c>
      <c r="T73" s="160" t="s">
        <v>1795</v>
      </c>
      <c r="U73" s="161" t="s">
        <v>1803</v>
      </c>
      <c r="V73" s="162" t="s">
        <v>1803</v>
      </c>
      <c r="W73" s="160" t="s">
        <v>1795</v>
      </c>
      <c r="X73" s="160" t="s">
        <v>1796</v>
      </c>
      <c r="Y73" s="160" t="s">
        <v>1794</v>
      </c>
      <c r="Z73" s="160" t="s">
        <v>1794</v>
      </c>
      <c r="AA73" s="160" t="s">
        <v>1794</v>
      </c>
      <c r="AB73" s="153"/>
      <c r="AC73" s="165" t="s">
        <v>1826</v>
      </c>
      <c r="AD73" s="131"/>
    </row>
    <row r="74" spans="1:30">
      <c r="A74" s="260"/>
      <c r="B74" t="s">
        <v>1815</v>
      </c>
      <c r="C74" t="s">
        <v>40</v>
      </c>
      <c r="D74" s="141">
        <v>0.64</v>
      </c>
      <c r="E74" s="141">
        <v>0.30499999999999999</v>
      </c>
      <c r="F74" s="141">
        <v>0.435</v>
      </c>
      <c r="G74" s="141">
        <v>0.42499999999999999</v>
      </c>
      <c r="H74" s="141">
        <v>0.41</v>
      </c>
      <c r="I74" s="141">
        <v>0.43</v>
      </c>
      <c r="J74" s="142">
        <v>0.44</v>
      </c>
      <c r="K74" s="141">
        <v>0.34499999999999997</v>
      </c>
      <c r="L74" s="141">
        <v>0.39500000000000002</v>
      </c>
      <c r="M74" s="141">
        <v>0.47</v>
      </c>
      <c r="N74" s="141">
        <v>0.43</v>
      </c>
      <c r="O74" s="141">
        <v>0.43</v>
      </c>
      <c r="P74" s="142">
        <v>0.44</v>
      </c>
      <c r="Q74" s="141">
        <v>0.44500000000000001</v>
      </c>
      <c r="R74" s="141">
        <v>0.46</v>
      </c>
      <c r="S74" s="141">
        <v>0.48</v>
      </c>
      <c r="T74" s="141">
        <v>0.56999999999999995</v>
      </c>
      <c r="U74" s="141">
        <v>0.43</v>
      </c>
      <c r="V74" s="142">
        <v>0.435</v>
      </c>
      <c r="W74" s="141">
        <v>0.33500000000000002</v>
      </c>
      <c r="X74" s="141">
        <v>0.38500000000000001</v>
      </c>
      <c r="Y74" s="141">
        <v>0.42499999999999999</v>
      </c>
      <c r="Z74" s="141">
        <v>0.44</v>
      </c>
      <c r="AA74" s="141">
        <v>0.42499999999999999</v>
      </c>
      <c r="AB74" s="143">
        <f>_xlfn.STDEV.P(D74:AA74)</f>
        <v>6.595946514084676E-2</v>
      </c>
      <c r="AC74" s="143"/>
      <c r="AD74" s="131"/>
    </row>
    <row r="75" spans="1:30">
      <c r="A75" s="260"/>
      <c r="C75" t="s">
        <v>220</v>
      </c>
      <c r="D75" s="141">
        <v>1.155</v>
      </c>
      <c r="E75" s="141">
        <v>0.95499999999999996</v>
      </c>
      <c r="F75" s="141">
        <v>1.01</v>
      </c>
      <c r="G75" s="141">
        <v>0.995</v>
      </c>
      <c r="H75" s="141">
        <v>0.995</v>
      </c>
      <c r="I75" s="141">
        <v>1.0049999999999999</v>
      </c>
      <c r="J75" s="142">
        <v>1.0049999999999999</v>
      </c>
      <c r="K75" s="141">
        <v>0.9</v>
      </c>
      <c r="L75" s="141">
        <v>0.98499999999999999</v>
      </c>
      <c r="M75" s="141">
        <v>0.96</v>
      </c>
      <c r="N75" s="141">
        <v>1.03</v>
      </c>
      <c r="O75" s="141">
        <v>0.99</v>
      </c>
      <c r="P75" s="142">
        <v>1.02</v>
      </c>
      <c r="Q75" s="141">
        <v>0.995</v>
      </c>
      <c r="R75" s="141">
        <v>1.0249999999999999</v>
      </c>
      <c r="S75" s="141">
        <v>1.01</v>
      </c>
      <c r="T75" s="141">
        <v>1.0449999999999999</v>
      </c>
      <c r="U75" s="141">
        <v>1</v>
      </c>
      <c r="V75" s="142">
        <v>1.0049999999999999</v>
      </c>
      <c r="W75" s="141">
        <v>0.89500000000000002</v>
      </c>
      <c r="X75" s="141">
        <v>0.98</v>
      </c>
      <c r="Y75" s="141">
        <v>1.0049999999999999</v>
      </c>
      <c r="Z75" s="141">
        <v>0.97</v>
      </c>
      <c r="AA75" s="141">
        <v>0.98499999999999999</v>
      </c>
      <c r="AB75" s="143">
        <f>_xlfn.STDEV.P(D75:AA75)</f>
        <v>4.7689679759414988E-2</v>
      </c>
      <c r="AC75" s="143"/>
      <c r="AD75" s="131"/>
    </row>
    <row r="76" spans="1:30">
      <c r="A76" s="260"/>
      <c r="C76" t="s">
        <v>221</v>
      </c>
      <c r="D76" s="144">
        <v>0.5</v>
      </c>
      <c r="E76" s="144">
        <v>0.45500000000000002</v>
      </c>
      <c r="F76" s="144">
        <v>0.48</v>
      </c>
      <c r="G76" s="144">
        <v>0.46</v>
      </c>
      <c r="H76" s="144">
        <v>0.51</v>
      </c>
      <c r="I76" s="141">
        <v>0.505</v>
      </c>
      <c r="J76" s="145">
        <v>0.52</v>
      </c>
      <c r="K76" s="144">
        <v>0.53</v>
      </c>
      <c r="L76" s="144">
        <v>0.54</v>
      </c>
      <c r="M76" s="144">
        <v>0.47499999999999998</v>
      </c>
      <c r="N76" s="144">
        <v>0.52</v>
      </c>
      <c r="O76" s="141">
        <v>0.505</v>
      </c>
      <c r="P76" s="145">
        <v>0.52</v>
      </c>
      <c r="Q76" s="144">
        <v>0.51500000000000001</v>
      </c>
      <c r="R76" s="144">
        <v>0.51500000000000001</v>
      </c>
      <c r="S76" s="144">
        <v>0.51</v>
      </c>
      <c r="T76" s="144">
        <v>0.61</v>
      </c>
      <c r="U76" s="141">
        <v>0.52</v>
      </c>
      <c r="V76" s="145">
        <v>0.5</v>
      </c>
      <c r="W76" s="144">
        <v>0.53</v>
      </c>
      <c r="X76" s="144">
        <v>0.51500000000000001</v>
      </c>
      <c r="Y76" s="144">
        <v>0.51500000000000001</v>
      </c>
      <c r="Z76" s="144">
        <v>0.495</v>
      </c>
      <c r="AA76" s="144">
        <v>0.505</v>
      </c>
      <c r="AB76" s="143">
        <f>_xlfn.STDEV.P(D76:AA76)</f>
        <v>2.9116027468656425E-2</v>
      </c>
      <c r="AC76" s="146"/>
      <c r="AD76" s="124"/>
    </row>
    <row r="77" spans="1:30">
      <c r="A77" s="260"/>
      <c r="B77" s="147" t="s">
        <v>1816</v>
      </c>
      <c r="D77" s="148" t="s">
        <v>1794</v>
      </c>
      <c r="E77" s="148" t="s">
        <v>1794</v>
      </c>
      <c r="F77" s="148" t="s">
        <v>1794</v>
      </c>
      <c r="G77" s="148" t="s">
        <v>1794</v>
      </c>
      <c r="H77" s="148" t="s">
        <v>1794</v>
      </c>
      <c r="I77" s="149" t="s">
        <v>1794</v>
      </c>
      <c r="J77" s="150" t="s">
        <v>1794</v>
      </c>
      <c r="K77" s="148" t="s">
        <v>1794</v>
      </c>
      <c r="L77" s="148" t="s">
        <v>1794</v>
      </c>
      <c r="M77" s="148" t="s">
        <v>1794</v>
      </c>
      <c r="N77" s="148" t="s">
        <v>1794</v>
      </c>
      <c r="O77" s="149" t="s">
        <v>1794</v>
      </c>
      <c r="P77" s="150" t="s">
        <v>1794</v>
      </c>
      <c r="Q77" s="148" t="s">
        <v>1794</v>
      </c>
      <c r="R77" s="148" t="s">
        <v>1794</v>
      </c>
      <c r="S77" s="148" t="s">
        <v>1794</v>
      </c>
      <c r="T77" s="148" t="s">
        <v>1794</v>
      </c>
      <c r="U77" s="149" t="s">
        <v>1794</v>
      </c>
      <c r="V77" s="150" t="s">
        <v>1794</v>
      </c>
      <c r="W77" s="148" t="s">
        <v>1794</v>
      </c>
      <c r="X77" s="148" t="s">
        <v>1794</v>
      </c>
      <c r="Y77" s="148" t="s">
        <v>1794</v>
      </c>
      <c r="Z77" s="148" t="s">
        <v>1794</v>
      </c>
      <c r="AA77" s="148" t="s">
        <v>1794</v>
      </c>
      <c r="AC77" s="151" t="s">
        <v>1800</v>
      </c>
      <c r="AD77" s="124"/>
    </row>
    <row r="78" spans="1:30" s="125" customFormat="1">
      <c r="A78" s="260"/>
      <c r="B78"/>
      <c r="C78"/>
      <c r="D78"/>
      <c r="E78"/>
      <c r="F78"/>
      <c r="G78"/>
      <c r="H78"/>
      <c r="I78"/>
      <c r="J78" s="167"/>
      <c r="K78"/>
      <c r="L78"/>
      <c r="M78"/>
      <c r="N78"/>
      <c r="O78"/>
      <c r="P78" s="167"/>
      <c r="Q78"/>
      <c r="R78"/>
      <c r="S78"/>
      <c r="T78"/>
      <c r="U78"/>
      <c r="V78" s="167"/>
      <c r="W78"/>
      <c r="X78"/>
      <c r="Y78"/>
      <c r="Z78"/>
      <c r="AA78"/>
      <c r="AB78"/>
      <c r="AC78"/>
      <c r="AD78" s="166"/>
    </row>
    <row r="79" spans="1:30">
      <c r="A79" s="260" t="s">
        <v>201</v>
      </c>
      <c r="B79" s="126" t="s">
        <v>1817</v>
      </c>
      <c r="C79" s="127" t="s">
        <v>40</v>
      </c>
      <c r="D79" s="128">
        <v>0.63</v>
      </c>
      <c r="E79" s="128">
        <v>0.62</v>
      </c>
      <c r="F79" s="128">
        <v>0.63</v>
      </c>
      <c r="G79" s="128">
        <v>0.61499999999999999</v>
      </c>
      <c r="H79" s="128">
        <v>0.61</v>
      </c>
      <c r="I79" s="128">
        <v>0.62</v>
      </c>
      <c r="J79" s="129">
        <v>0.62</v>
      </c>
      <c r="K79" s="128">
        <v>0.58499999999999996</v>
      </c>
      <c r="L79" s="128">
        <v>0.57499999999999996</v>
      </c>
      <c r="M79" s="128">
        <v>0.66500000000000004</v>
      </c>
      <c r="N79" s="128">
        <v>0.6</v>
      </c>
      <c r="O79" s="128">
        <v>0.59499999999999997</v>
      </c>
      <c r="P79" s="129">
        <v>0.62</v>
      </c>
      <c r="Q79" s="128">
        <v>0.65500000000000003</v>
      </c>
      <c r="R79" s="128">
        <v>0.65</v>
      </c>
      <c r="S79" s="128">
        <v>0.68500000000000005</v>
      </c>
      <c r="T79" s="128">
        <v>0.60499999999999998</v>
      </c>
      <c r="U79" s="128">
        <v>0.67500000000000004</v>
      </c>
      <c r="V79" s="129">
        <v>0.60499999999999998</v>
      </c>
      <c r="W79" s="128">
        <v>0.61</v>
      </c>
      <c r="X79" s="128">
        <v>0.59499999999999997</v>
      </c>
      <c r="Y79" s="128">
        <v>0.60499999999999998</v>
      </c>
      <c r="Z79" s="128">
        <v>0.61</v>
      </c>
      <c r="AA79" s="128">
        <v>0.60499999999999998</v>
      </c>
      <c r="AB79" s="132">
        <f>_xlfn.STDEV.P(D79:AA79)</f>
        <v>2.7175324540635943E-2</v>
      </c>
      <c r="AC79" s="132"/>
      <c r="AD79" s="131"/>
    </row>
    <row r="80" spans="1:30">
      <c r="A80" s="260"/>
      <c r="B80" s="126"/>
      <c r="C80" s="127" t="s">
        <v>220</v>
      </c>
      <c r="D80" s="128">
        <v>1.06</v>
      </c>
      <c r="E80" s="128">
        <v>1.0649999999999999</v>
      </c>
      <c r="F80" s="128">
        <v>1.075</v>
      </c>
      <c r="G80" s="128">
        <v>1.08</v>
      </c>
      <c r="H80" s="128">
        <v>1.085</v>
      </c>
      <c r="I80" s="128">
        <v>1.08</v>
      </c>
      <c r="J80" s="129">
        <v>1.05</v>
      </c>
      <c r="K80" s="128">
        <v>1.085</v>
      </c>
      <c r="L80" s="128">
        <v>1.095</v>
      </c>
      <c r="M80" s="128">
        <v>1.0649999999999999</v>
      </c>
      <c r="N80" s="128">
        <v>1.07</v>
      </c>
      <c r="O80" s="128">
        <v>1.06</v>
      </c>
      <c r="P80" s="129">
        <v>1.06</v>
      </c>
      <c r="Q80" s="128">
        <v>1.0549999999999999</v>
      </c>
      <c r="R80" s="128">
        <v>1.04</v>
      </c>
      <c r="S80" s="128">
        <v>1.04</v>
      </c>
      <c r="T80" s="128">
        <v>1.07</v>
      </c>
      <c r="U80" s="128">
        <v>1.04</v>
      </c>
      <c r="V80" s="129">
        <v>1.06</v>
      </c>
      <c r="W80" s="128">
        <v>1.0649999999999999</v>
      </c>
      <c r="X80" s="128">
        <v>1.0649999999999999</v>
      </c>
      <c r="Y80" s="128">
        <v>1.0649999999999999</v>
      </c>
      <c r="Z80" s="128">
        <v>1.0649999999999999</v>
      </c>
      <c r="AA80" s="128">
        <v>1.0649999999999999</v>
      </c>
      <c r="AB80" s="132">
        <f>_xlfn.STDEV.P(D80:AA80)</f>
        <v>1.3844373104863448E-2</v>
      </c>
      <c r="AC80" s="132"/>
      <c r="AD80" s="131"/>
    </row>
    <row r="81" spans="1:30">
      <c r="A81" s="260"/>
      <c r="B81" s="126"/>
      <c r="C81" s="127" t="s">
        <v>221</v>
      </c>
      <c r="D81" s="133">
        <v>0.66500000000000004</v>
      </c>
      <c r="E81" s="133">
        <v>0.65</v>
      </c>
      <c r="F81" s="133">
        <v>0.66500000000000004</v>
      </c>
      <c r="G81" s="133">
        <v>0.64500000000000002</v>
      </c>
      <c r="H81" s="133">
        <v>0.65</v>
      </c>
      <c r="I81" s="128">
        <v>0.64500000000000002</v>
      </c>
      <c r="J81" s="134">
        <v>0.65500000000000003</v>
      </c>
      <c r="K81" s="133">
        <v>0.66500000000000004</v>
      </c>
      <c r="L81" s="133">
        <v>0.65500000000000003</v>
      </c>
      <c r="M81" s="133">
        <v>0.67</v>
      </c>
      <c r="N81" s="133">
        <v>0.66500000000000004</v>
      </c>
      <c r="O81" s="128">
        <v>0.63</v>
      </c>
      <c r="P81" s="134">
        <v>0.64</v>
      </c>
      <c r="Q81" s="133">
        <v>0.64500000000000002</v>
      </c>
      <c r="R81" s="133">
        <v>0.65500000000000003</v>
      </c>
      <c r="S81" s="133">
        <v>0.65500000000000003</v>
      </c>
      <c r="T81" s="133">
        <v>0.65500000000000003</v>
      </c>
      <c r="U81" s="128">
        <v>0.67</v>
      </c>
      <c r="V81" s="134">
        <v>0.65</v>
      </c>
      <c r="W81" s="133">
        <v>0.68</v>
      </c>
      <c r="X81" s="133">
        <v>0.66500000000000004</v>
      </c>
      <c r="Y81" s="133">
        <v>0.66500000000000004</v>
      </c>
      <c r="Z81" s="133">
        <v>0.63500000000000001</v>
      </c>
      <c r="AA81" s="133">
        <v>0.66</v>
      </c>
      <c r="AB81" s="132">
        <f>_xlfn.STDEV.P(D81:AA81)</f>
        <v>1.1753767126613785E-2</v>
      </c>
      <c r="AC81" s="135"/>
      <c r="AD81" s="131"/>
    </row>
    <row r="82" spans="1:30">
      <c r="A82" s="260"/>
      <c r="B82" s="136" t="s">
        <v>1818</v>
      </c>
      <c r="C82" s="127"/>
      <c r="D82" s="137" t="s">
        <v>1794</v>
      </c>
      <c r="E82" s="137" t="s">
        <v>1794</v>
      </c>
      <c r="F82" s="137" t="s">
        <v>1794</v>
      </c>
      <c r="G82" s="137" t="s">
        <v>1794</v>
      </c>
      <c r="H82" s="137" t="s">
        <v>1794</v>
      </c>
      <c r="I82" s="138" t="s">
        <v>1794</v>
      </c>
      <c r="J82" s="139" t="s">
        <v>1794</v>
      </c>
      <c r="K82" s="137" t="s">
        <v>1794</v>
      </c>
      <c r="L82" s="137" t="s">
        <v>1794</v>
      </c>
      <c r="M82" s="137" t="s">
        <v>1794</v>
      </c>
      <c r="N82" s="137" t="s">
        <v>1794</v>
      </c>
      <c r="O82" s="138" t="s">
        <v>1794</v>
      </c>
      <c r="P82" s="139" t="s">
        <v>1794</v>
      </c>
      <c r="Q82" s="137" t="s">
        <v>1794</v>
      </c>
      <c r="R82" s="137" t="s">
        <v>1794</v>
      </c>
      <c r="S82" s="137" t="s">
        <v>1794</v>
      </c>
      <c r="T82" s="137" t="s">
        <v>1794</v>
      </c>
      <c r="U82" s="138" t="s">
        <v>1794</v>
      </c>
      <c r="V82" s="139" t="s">
        <v>1794</v>
      </c>
      <c r="W82" s="137" t="s">
        <v>1794</v>
      </c>
      <c r="X82" s="137" t="s">
        <v>1794</v>
      </c>
      <c r="Y82" s="137" t="s">
        <v>1794</v>
      </c>
      <c r="Z82" s="137" t="s">
        <v>1794</v>
      </c>
      <c r="AA82" s="137" t="s">
        <v>1794</v>
      </c>
      <c r="AB82" s="127"/>
      <c r="AC82" s="140" t="s">
        <v>1800</v>
      </c>
      <c r="AD82" s="124"/>
    </row>
    <row r="83" spans="1:30">
      <c r="A83" s="260"/>
      <c r="B83" t="s">
        <v>1792</v>
      </c>
      <c r="C83" t="s">
        <v>40</v>
      </c>
      <c r="D83" s="141">
        <v>0.6</v>
      </c>
      <c r="E83" s="141">
        <v>0.6</v>
      </c>
      <c r="F83" s="141">
        <v>0.6</v>
      </c>
      <c r="G83" s="141">
        <v>0.6</v>
      </c>
      <c r="H83" s="141">
        <v>0.61499999999999999</v>
      </c>
      <c r="I83" s="141">
        <v>0.59</v>
      </c>
      <c r="J83" s="142">
        <v>0.61499999999999999</v>
      </c>
      <c r="K83" s="141">
        <v>0.62</v>
      </c>
      <c r="L83" s="141">
        <v>0.61499999999999999</v>
      </c>
      <c r="M83" s="141">
        <v>0.60499999999999998</v>
      </c>
      <c r="N83" s="141">
        <v>0.60499999999999998</v>
      </c>
      <c r="O83" s="141">
        <v>0.61</v>
      </c>
      <c r="P83" s="142">
        <v>0.61</v>
      </c>
      <c r="Q83" s="141">
        <v>0.61</v>
      </c>
      <c r="R83" s="141">
        <v>0.60499999999999998</v>
      </c>
      <c r="S83" s="141">
        <v>0.6</v>
      </c>
      <c r="T83" s="141">
        <v>0.59499999999999997</v>
      </c>
      <c r="U83" s="141">
        <v>0.59499999999999997</v>
      </c>
      <c r="V83" s="142">
        <v>0.59499999999999997</v>
      </c>
      <c r="W83" s="141">
        <v>0.56999999999999995</v>
      </c>
      <c r="X83" s="141">
        <v>0.58499999999999996</v>
      </c>
      <c r="Y83" s="141">
        <v>0.59499999999999997</v>
      </c>
      <c r="Z83" s="141">
        <v>0.58499999999999996</v>
      </c>
      <c r="AA83" s="141">
        <v>0.58499999999999996</v>
      </c>
      <c r="AB83" s="143">
        <f>_xlfn.STDEV.P(D83:AA83)</f>
        <v>1.1590150871417612E-2</v>
      </c>
      <c r="AC83" s="143"/>
      <c r="AD83" s="124"/>
    </row>
    <row r="84" spans="1:30">
      <c r="A84" s="260"/>
      <c r="C84" t="s">
        <v>220</v>
      </c>
      <c r="D84" s="141">
        <v>1.06</v>
      </c>
      <c r="E84" s="141">
        <v>1.0649999999999999</v>
      </c>
      <c r="F84" s="141">
        <v>1.06</v>
      </c>
      <c r="G84" s="141">
        <v>1.075</v>
      </c>
      <c r="H84" s="141">
        <v>1.0549999999999999</v>
      </c>
      <c r="I84" s="141">
        <v>1.0449999999999999</v>
      </c>
      <c r="J84" s="142">
        <v>1.07</v>
      </c>
      <c r="K84" s="141">
        <v>1.07</v>
      </c>
      <c r="L84" s="141">
        <v>1.06</v>
      </c>
      <c r="M84" s="141">
        <v>1.0649999999999999</v>
      </c>
      <c r="N84" s="141">
        <v>1.07</v>
      </c>
      <c r="O84" s="141">
        <v>1.0649999999999999</v>
      </c>
      <c r="P84" s="142">
        <v>1.0649999999999999</v>
      </c>
      <c r="Q84" s="141">
        <v>1.0649999999999999</v>
      </c>
      <c r="R84" s="141">
        <v>1.0649999999999999</v>
      </c>
      <c r="S84" s="141">
        <v>1.0649999999999999</v>
      </c>
      <c r="T84" s="141">
        <v>1.0649999999999999</v>
      </c>
      <c r="U84" s="141">
        <v>1.0649999999999999</v>
      </c>
      <c r="V84" s="142">
        <v>1.0649999999999999</v>
      </c>
      <c r="W84" s="141">
        <v>1.06</v>
      </c>
      <c r="X84" s="141">
        <v>1.0649999999999999</v>
      </c>
      <c r="Y84" s="141">
        <v>1.0649999999999999</v>
      </c>
      <c r="Z84" s="141">
        <v>1.0649999999999999</v>
      </c>
      <c r="AA84" s="141">
        <v>1.0649999999999999</v>
      </c>
      <c r="AB84" s="143">
        <f>_xlfn.STDEV.P(D84:AA84)</f>
        <v>5.5862865324133081E-3</v>
      </c>
      <c r="AC84" s="143"/>
      <c r="AD84" s="131"/>
    </row>
    <row r="85" spans="1:30">
      <c r="A85" s="260"/>
      <c r="C85" t="s">
        <v>221</v>
      </c>
      <c r="D85" s="144">
        <v>0.68</v>
      </c>
      <c r="E85" s="144">
        <v>0.67</v>
      </c>
      <c r="F85" s="144">
        <v>0.66500000000000004</v>
      </c>
      <c r="G85" s="144">
        <v>0.66</v>
      </c>
      <c r="H85" s="144">
        <v>0.65500000000000003</v>
      </c>
      <c r="I85" s="141">
        <v>0.69499999999999995</v>
      </c>
      <c r="J85" s="145">
        <v>0.7</v>
      </c>
      <c r="K85" s="144">
        <v>0.66</v>
      </c>
      <c r="L85" s="144">
        <v>0.66500000000000004</v>
      </c>
      <c r="M85" s="144">
        <v>0.65500000000000003</v>
      </c>
      <c r="N85" s="144">
        <v>0.67</v>
      </c>
      <c r="O85" s="141">
        <v>0.66</v>
      </c>
      <c r="P85" s="145">
        <v>0.66500000000000004</v>
      </c>
      <c r="Q85" s="144">
        <v>0.66500000000000004</v>
      </c>
      <c r="R85" s="144">
        <v>0.67</v>
      </c>
      <c r="S85" s="144">
        <v>0.67</v>
      </c>
      <c r="T85" s="144">
        <v>0.67</v>
      </c>
      <c r="U85" s="141">
        <v>0.67</v>
      </c>
      <c r="V85" s="145">
        <v>0.68</v>
      </c>
      <c r="W85" s="144">
        <v>0.68</v>
      </c>
      <c r="X85" s="144">
        <v>0.68500000000000005</v>
      </c>
      <c r="Y85" s="144">
        <v>0.67500000000000004</v>
      </c>
      <c r="Z85" s="144">
        <v>0.67500000000000004</v>
      </c>
      <c r="AA85" s="144">
        <v>0.67500000000000004</v>
      </c>
      <c r="AB85" s="143">
        <f>_xlfn.STDEV.P(D85:AA85)</f>
        <v>1.1037735149124657E-2</v>
      </c>
      <c r="AC85" s="146"/>
      <c r="AD85" s="131"/>
    </row>
    <row r="86" spans="1:30">
      <c r="A86" s="260"/>
      <c r="B86" s="147" t="s">
        <v>1793</v>
      </c>
      <c r="D86" s="148" t="s">
        <v>1794</v>
      </c>
      <c r="E86" s="148" t="s">
        <v>1796</v>
      </c>
      <c r="F86" s="148" t="s">
        <v>1796</v>
      </c>
      <c r="G86" s="148" t="s">
        <v>1794</v>
      </c>
      <c r="H86" s="148" t="s">
        <v>1794</v>
      </c>
      <c r="I86" s="149" t="s">
        <v>1796</v>
      </c>
      <c r="J86" s="150" t="s">
        <v>1803</v>
      </c>
      <c r="K86" s="148" t="s">
        <v>1796</v>
      </c>
      <c r="L86" s="148" t="s">
        <v>1796</v>
      </c>
      <c r="M86" s="148" t="s">
        <v>1794</v>
      </c>
      <c r="N86" s="148" t="s">
        <v>1794</v>
      </c>
      <c r="O86" s="149" t="s">
        <v>1794</v>
      </c>
      <c r="P86" s="150" t="s">
        <v>1794</v>
      </c>
      <c r="Q86" s="148" t="s">
        <v>1794</v>
      </c>
      <c r="R86" s="148" t="s">
        <v>1794</v>
      </c>
      <c r="S86" s="148" t="s">
        <v>1794</v>
      </c>
      <c r="T86" s="148" t="s">
        <v>1794</v>
      </c>
      <c r="U86" s="149" t="s">
        <v>1794</v>
      </c>
      <c r="V86" s="150" t="s">
        <v>1794</v>
      </c>
      <c r="W86" s="148" t="s">
        <v>1794</v>
      </c>
      <c r="X86" s="148" t="s">
        <v>1794</v>
      </c>
      <c r="Y86" s="148" t="s">
        <v>1794</v>
      </c>
      <c r="Z86" s="148" t="s">
        <v>1794</v>
      </c>
      <c r="AA86" s="148" t="s">
        <v>1794</v>
      </c>
      <c r="AC86" s="151" t="s">
        <v>1824</v>
      </c>
      <c r="AD86" s="131"/>
    </row>
    <row r="87" spans="1:30">
      <c r="A87" s="260"/>
      <c r="B87" t="s">
        <v>1819</v>
      </c>
      <c r="C87" t="s">
        <v>40</v>
      </c>
      <c r="D87" s="141">
        <v>0.62</v>
      </c>
      <c r="E87" s="141">
        <v>0.60499999999999998</v>
      </c>
      <c r="F87" s="141">
        <v>0.57999999999999996</v>
      </c>
      <c r="G87" s="141">
        <v>0.6</v>
      </c>
      <c r="H87" s="141">
        <v>0.58499999999999996</v>
      </c>
      <c r="I87" s="141">
        <v>0.59</v>
      </c>
      <c r="J87" s="142">
        <v>0.59499999999999997</v>
      </c>
      <c r="K87" s="141">
        <v>0.56999999999999995</v>
      </c>
      <c r="L87" s="141">
        <v>0.6</v>
      </c>
      <c r="M87" s="141">
        <v>0.57499999999999996</v>
      </c>
      <c r="N87" s="141">
        <v>0.56499999999999995</v>
      </c>
      <c r="O87" s="141">
        <v>0.57999999999999996</v>
      </c>
      <c r="P87" s="142">
        <v>0.56499999999999995</v>
      </c>
      <c r="Q87" s="141">
        <v>0.58499999999999996</v>
      </c>
      <c r="R87" s="141">
        <v>0.55500000000000005</v>
      </c>
      <c r="S87" s="141">
        <v>0.57499999999999996</v>
      </c>
      <c r="T87" s="141">
        <v>0.56000000000000005</v>
      </c>
      <c r="U87" s="141">
        <v>0.57499999999999996</v>
      </c>
      <c r="V87" s="142">
        <v>0.57999999999999996</v>
      </c>
      <c r="W87" s="141">
        <v>0.57499999999999996</v>
      </c>
      <c r="X87" s="141">
        <v>0.62</v>
      </c>
      <c r="Y87" s="141">
        <v>0.63</v>
      </c>
      <c r="Z87" s="141">
        <v>0.55500000000000005</v>
      </c>
      <c r="AA87" s="141">
        <v>0.60499999999999998</v>
      </c>
      <c r="AB87" s="143">
        <f>_xlfn.STDEV.P(D87:AA87)</f>
        <v>2.0180393055857181E-2</v>
      </c>
      <c r="AC87" s="143"/>
      <c r="AD87" s="124"/>
    </row>
    <row r="88" spans="1:30">
      <c r="A88" s="260"/>
      <c r="C88" t="s">
        <v>220</v>
      </c>
      <c r="D88" s="141">
        <v>1.07</v>
      </c>
      <c r="E88" s="141">
        <v>1.0649999999999999</v>
      </c>
      <c r="F88" s="141">
        <v>1.0549999999999999</v>
      </c>
      <c r="G88" s="141">
        <v>1.0549999999999999</v>
      </c>
      <c r="H88" s="141">
        <v>1.06</v>
      </c>
      <c r="I88" s="141">
        <v>1.06</v>
      </c>
      <c r="J88" s="142">
        <v>1.075</v>
      </c>
      <c r="K88" s="141">
        <v>1.06</v>
      </c>
      <c r="L88" s="141">
        <v>1.0549999999999999</v>
      </c>
      <c r="M88" s="141">
        <v>1.05</v>
      </c>
      <c r="N88" s="141">
        <v>1.0649999999999999</v>
      </c>
      <c r="O88" s="141">
        <v>1.06</v>
      </c>
      <c r="P88" s="142">
        <v>1.06</v>
      </c>
      <c r="Q88" s="141">
        <v>1.05</v>
      </c>
      <c r="R88" s="141">
        <v>1.07</v>
      </c>
      <c r="S88" s="141">
        <v>1.06</v>
      </c>
      <c r="T88" s="141">
        <v>1.0649999999999999</v>
      </c>
      <c r="U88" s="141">
        <v>1.075</v>
      </c>
      <c r="V88" s="142">
        <v>1.0649999999999999</v>
      </c>
      <c r="W88" s="141">
        <v>1.0549999999999999</v>
      </c>
      <c r="X88" s="141">
        <v>1.06</v>
      </c>
      <c r="Y88" s="141">
        <v>1.06</v>
      </c>
      <c r="Z88" s="141">
        <v>1.05</v>
      </c>
      <c r="AA88" s="141">
        <v>1.0649999999999999</v>
      </c>
      <c r="AB88" s="143">
        <f>_xlfn.STDEV.P(D88:AA88)</f>
        <v>6.9190507939231646E-3</v>
      </c>
      <c r="AC88" s="143"/>
      <c r="AD88" s="124"/>
    </row>
    <row r="89" spans="1:30" s="125" customFormat="1">
      <c r="A89" s="260"/>
      <c r="B89"/>
      <c r="C89" t="s">
        <v>221</v>
      </c>
      <c r="D89" s="144">
        <v>0.67</v>
      </c>
      <c r="E89" s="144">
        <v>0.67500000000000004</v>
      </c>
      <c r="F89" s="144">
        <v>0.64500000000000002</v>
      </c>
      <c r="G89" s="144">
        <v>0.66500000000000004</v>
      </c>
      <c r="H89" s="144">
        <v>0.66500000000000004</v>
      </c>
      <c r="I89" s="141">
        <v>0.65</v>
      </c>
      <c r="J89" s="145">
        <v>0.71</v>
      </c>
      <c r="K89" s="144">
        <v>0.68500000000000005</v>
      </c>
      <c r="L89" s="144">
        <v>0.66500000000000004</v>
      </c>
      <c r="M89" s="144">
        <v>0.65500000000000003</v>
      </c>
      <c r="N89" s="144">
        <v>0.67</v>
      </c>
      <c r="O89" s="141">
        <v>0.65500000000000003</v>
      </c>
      <c r="P89" s="145">
        <v>0.68</v>
      </c>
      <c r="Q89" s="144">
        <v>0.66</v>
      </c>
      <c r="R89" s="144">
        <v>0.7</v>
      </c>
      <c r="S89" s="144">
        <v>0.66</v>
      </c>
      <c r="T89" s="144">
        <v>0.66</v>
      </c>
      <c r="U89" s="141">
        <v>0.65</v>
      </c>
      <c r="V89" s="145">
        <v>0.68500000000000005</v>
      </c>
      <c r="W89" s="144">
        <v>0.67</v>
      </c>
      <c r="X89" s="144">
        <v>0.65500000000000003</v>
      </c>
      <c r="Y89" s="144">
        <v>0.72</v>
      </c>
      <c r="Z89" s="144">
        <v>0.68</v>
      </c>
      <c r="AA89" s="144">
        <v>0.69499999999999995</v>
      </c>
      <c r="AB89" s="143">
        <f>_xlfn.STDEV.P(D89:AA89)</f>
        <v>1.9029171684547895E-2</v>
      </c>
      <c r="AC89" s="146"/>
      <c r="AD89" s="166"/>
    </row>
    <row r="90" spans="1:30">
      <c r="A90" s="260"/>
      <c r="B90" s="147" t="s">
        <v>1820</v>
      </c>
      <c r="D90" s="148" t="s">
        <v>1796</v>
      </c>
      <c r="E90" s="148" t="s">
        <v>1796</v>
      </c>
      <c r="F90" s="148" t="s">
        <v>1796</v>
      </c>
      <c r="G90" s="148" t="s">
        <v>1796</v>
      </c>
      <c r="H90" s="148" t="s">
        <v>1796</v>
      </c>
      <c r="I90" s="149" t="s">
        <v>1796</v>
      </c>
      <c r="J90" s="150" t="s">
        <v>1796</v>
      </c>
      <c r="K90" s="148" t="s">
        <v>1796</v>
      </c>
      <c r="L90" s="148" t="s">
        <v>1796</v>
      </c>
      <c r="M90" s="148" t="s">
        <v>1796</v>
      </c>
      <c r="N90" s="148" t="s">
        <v>1796</v>
      </c>
      <c r="O90" s="149" t="s">
        <v>1796</v>
      </c>
      <c r="P90" s="150" t="s">
        <v>1796</v>
      </c>
      <c r="Q90" s="148" t="s">
        <v>1796</v>
      </c>
      <c r="R90" s="148" t="s">
        <v>1796</v>
      </c>
      <c r="S90" s="148" t="s">
        <v>1796</v>
      </c>
      <c r="T90" s="148" t="s">
        <v>1796</v>
      </c>
      <c r="U90" s="149" t="s">
        <v>1796</v>
      </c>
      <c r="V90" s="150" t="s">
        <v>1794</v>
      </c>
      <c r="W90" s="148" t="s">
        <v>1794</v>
      </c>
      <c r="X90" s="148" t="s">
        <v>1794</v>
      </c>
      <c r="Y90" s="148" t="s">
        <v>1794</v>
      </c>
      <c r="Z90" s="148" t="s">
        <v>1794</v>
      </c>
      <c r="AA90" s="148" t="s">
        <v>1794</v>
      </c>
      <c r="AC90" s="151" t="s">
        <v>1827</v>
      </c>
      <c r="AD90" s="131"/>
    </row>
    <row r="91" spans="1:30">
      <c r="A91" s="260"/>
      <c r="B91" t="s">
        <v>1798</v>
      </c>
      <c r="C91" t="s">
        <v>40</v>
      </c>
      <c r="D91" s="141">
        <v>0.61</v>
      </c>
      <c r="E91" s="141">
        <v>0.61</v>
      </c>
      <c r="F91" s="141">
        <v>0.59499999999999997</v>
      </c>
      <c r="G91" s="141">
        <v>0.56999999999999995</v>
      </c>
      <c r="H91" s="141">
        <v>0.61499999999999999</v>
      </c>
      <c r="I91" s="141">
        <v>0.58499999999999996</v>
      </c>
      <c r="J91" s="142">
        <v>0.60499999999999998</v>
      </c>
      <c r="K91" s="141">
        <v>0.58499999999999996</v>
      </c>
      <c r="L91" s="141">
        <v>0.61</v>
      </c>
      <c r="M91" s="141">
        <v>0.62</v>
      </c>
      <c r="N91" s="141">
        <v>0.625</v>
      </c>
      <c r="O91" s="141">
        <v>0.62</v>
      </c>
      <c r="P91" s="142">
        <v>0.63</v>
      </c>
      <c r="Q91" s="141">
        <v>0.59499999999999997</v>
      </c>
      <c r="R91" s="141">
        <v>0.59</v>
      </c>
      <c r="S91" s="141">
        <v>0.56999999999999995</v>
      </c>
      <c r="T91" s="141">
        <v>0.56999999999999995</v>
      </c>
      <c r="U91" s="141">
        <v>0.56000000000000005</v>
      </c>
      <c r="V91" s="142">
        <v>0.64</v>
      </c>
      <c r="W91" s="141">
        <v>0.57499999999999996</v>
      </c>
      <c r="X91" s="141">
        <v>0.59</v>
      </c>
      <c r="Y91" s="141">
        <v>0.59499999999999997</v>
      </c>
      <c r="Z91" s="141">
        <v>0.57499999999999996</v>
      </c>
      <c r="AA91" s="141">
        <v>0.59</v>
      </c>
      <c r="AB91" s="143">
        <f>_xlfn.STDEV.P(D91:AA91)</f>
        <v>2.1061253260166866E-2</v>
      </c>
      <c r="AC91" s="143"/>
      <c r="AD91" s="131"/>
    </row>
    <row r="92" spans="1:30">
      <c r="A92" s="260"/>
      <c r="C92" t="s">
        <v>220</v>
      </c>
      <c r="D92" s="141">
        <v>1.0649999999999999</v>
      </c>
      <c r="E92" s="141">
        <v>1.0649999999999999</v>
      </c>
      <c r="F92" s="141">
        <v>1.0449999999999999</v>
      </c>
      <c r="G92" s="141">
        <v>1.06</v>
      </c>
      <c r="H92" s="141">
        <v>1.0649999999999999</v>
      </c>
      <c r="I92" s="141">
        <v>1.0649999999999999</v>
      </c>
      <c r="J92" s="142">
        <v>1.08</v>
      </c>
      <c r="K92" s="141">
        <v>1.06</v>
      </c>
      <c r="L92" s="141">
        <v>1.075</v>
      </c>
      <c r="M92" s="141">
        <v>1.0649999999999999</v>
      </c>
      <c r="N92" s="141">
        <v>1.0649999999999999</v>
      </c>
      <c r="O92" s="141">
        <v>1.0649999999999999</v>
      </c>
      <c r="P92" s="142">
        <v>1.0649999999999999</v>
      </c>
      <c r="Q92" s="141">
        <v>1.0649999999999999</v>
      </c>
      <c r="R92" s="141">
        <v>1.05</v>
      </c>
      <c r="S92" s="141">
        <v>1.07</v>
      </c>
      <c r="T92" s="141">
        <v>1.07</v>
      </c>
      <c r="U92" s="141">
        <v>1.0649999999999999</v>
      </c>
      <c r="V92" s="142">
        <v>1.05</v>
      </c>
      <c r="W92" s="141">
        <v>1.0549999999999999</v>
      </c>
      <c r="X92" s="141">
        <v>1.0649999999999999</v>
      </c>
      <c r="Y92" s="141">
        <v>1.07</v>
      </c>
      <c r="Z92" s="141">
        <v>1.06</v>
      </c>
      <c r="AA92" s="141">
        <v>1.0649999999999999</v>
      </c>
      <c r="AB92" s="143">
        <f>_xlfn.STDEV.P(D92:AA92)</f>
        <v>7.5662582488895385E-3</v>
      </c>
      <c r="AC92" s="143"/>
      <c r="AD92" s="131"/>
    </row>
    <row r="93" spans="1:30">
      <c r="A93" s="260"/>
      <c r="C93" t="s">
        <v>221</v>
      </c>
      <c r="D93" s="144">
        <v>0.71499999999999997</v>
      </c>
      <c r="E93" s="144">
        <v>0.70499999999999996</v>
      </c>
      <c r="F93" s="144">
        <v>0.72499999999999998</v>
      </c>
      <c r="G93" s="144">
        <v>0.71</v>
      </c>
      <c r="H93" s="144">
        <v>0.71499999999999997</v>
      </c>
      <c r="I93" s="141">
        <v>0.69499999999999995</v>
      </c>
      <c r="J93" s="145">
        <v>0.69499999999999995</v>
      </c>
      <c r="K93" s="144">
        <v>0.68</v>
      </c>
      <c r="L93" s="144">
        <v>0.68500000000000005</v>
      </c>
      <c r="M93" s="144">
        <v>0.67500000000000004</v>
      </c>
      <c r="N93" s="144">
        <v>0.69</v>
      </c>
      <c r="O93" s="141">
        <v>0.7</v>
      </c>
      <c r="P93" s="145">
        <v>0.71499999999999997</v>
      </c>
      <c r="Q93" s="144">
        <v>0.71</v>
      </c>
      <c r="R93" s="144">
        <v>0.65</v>
      </c>
      <c r="S93" s="144">
        <v>0.67500000000000004</v>
      </c>
      <c r="T93" s="144">
        <v>0.67500000000000004</v>
      </c>
      <c r="U93" s="141">
        <v>0.71</v>
      </c>
      <c r="V93" s="145">
        <v>0.71</v>
      </c>
      <c r="W93" s="144">
        <v>0.74</v>
      </c>
      <c r="X93" s="144">
        <v>0.70499999999999996</v>
      </c>
      <c r="Y93" s="144">
        <v>0.70499999999999996</v>
      </c>
      <c r="Z93" s="144">
        <v>0.74</v>
      </c>
      <c r="AA93" s="144">
        <v>0.72</v>
      </c>
      <c r="AB93" s="143">
        <f>_xlfn.STDEV.P(D93:AA93)</f>
        <v>2.0857277906444691E-2</v>
      </c>
      <c r="AC93" s="146"/>
      <c r="AD93" s="124"/>
    </row>
    <row r="94" spans="1:30">
      <c r="A94" s="260"/>
      <c r="B94" s="147" t="s">
        <v>1799</v>
      </c>
      <c r="D94" s="148" t="s">
        <v>1796</v>
      </c>
      <c r="E94" s="148" t="s">
        <v>1796</v>
      </c>
      <c r="F94" s="148" t="s">
        <v>1796</v>
      </c>
      <c r="G94" s="148" t="s">
        <v>1795</v>
      </c>
      <c r="H94" s="148" t="s">
        <v>1796</v>
      </c>
      <c r="I94" s="149" t="s">
        <v>1796</v>
      </c>
      <c r="J94" s="150" t="s">
        <v>1796</v>
      </c>
      <c r="K94" s="148" t="s">
        <v>1796</v>
      </c>
      <c r="L94" s="148" t="s">
        <v>1794</v>
      </c>
      <c r="M94" s="148" t="s">
        <v>1795</v>
      </c>
      <c r="N94" s="148" t="s">
        <v>1803</v>
      </c>
      <c r="O94" s="149" t="s">
        <v>1796</v>
      </c>
      <c r="P94" s="150" t="s">
        <v>1794</v>
      </c>
      <c r="Q94" s="148" t="s">
        <v>1794</v>
      </c>
      <c r="R94" s="148" t="s">
        <v>1794</v>
      </c>
      <c r="S94" s="148" t="s">
        <v>1794</v>
      </c>
      <c r="T94" s="148" t="s">
        <v>1794</v>
      </c>
      <c r="U94" s="149" t="s">
        <v>1794</v>
      </c>
      <c r="V94" s="150" t="s">
        <v>1794</v>
      </c>
      <c r="W94" s="148" t="s">
        <v>1794</v>
      </c>
      <c r="X94" s="148" t="s">
        <v>1794</v>
      </c>
      <c r="Y94" s="148" t="s">
        <v>1794</v>
      </c>
      <c r="Z94" s="148" t="s">
        <v>1794</v>
      </c>
      <c r="AA94" s="148" t="s">
        <v>1794</v>
      </c>
      <c r="AC94" s="151" t="s">
        <v>1828</v>
      </c>
      <c r="AD94" s="124"/>
    </row>
    <row r="95" spans="1:30">
      <c r="A95" s="260"/>
      <c r="B95" t="s">
        <v>1801</v>
      </c>
      <c r="C95" t="s">
        <v>40</v>
      </c>
      <c r="D95" s="141">
        <v>0.60499999999999998</v>
      </c>
      <c r="E95" s="141">
        <v>0.60499999999999998</v>
      </c>
      <c r="F95" s="141">
        <v>0.6</v>
      </c>
      <c r="G95" s="141">
        <v>0.60499999999999998</v>
      </c>
      <c r="H95" s="141">
        <v>0.60499999999999998</v>
      </c>
      <c r="I95" s="141">
        <v>0.625</v>
      </c>
      <c r="J95" s="142">
        <v>0.61</v>
      </c>
      <c r="K95" s="141">
        <v>0.58499999999999996</v>
      </c>
      <c r="L95" s="141">
        <v>0.61</v>
      </c>
      <c r="M95" s="141">
        <v>0.63</v>
      </c>
      <c r="N95" s="141">
        <v>0.55000000000000004</v>
      </c>
      <c r="O95" s="141">
        <v>0.57999999999999996</v>
      </c>
      <c r="P95" s="142">
        <v>0.61</v>
      </c>
      <c r="Q95" s="141">
        <v>0.6</v>
      </c>
      <c r="R95" s="141">
        <v>0.61</v>
      </c>
      <c r="S95" s="141">
        <v>0.61499999999999999</v>
      </c>
      <c r="T95" s="141">
        <v>0.58499999999999996</v>
      </c>
      <c r="U95" s="141">
        <v>0.63</v>
      </c>
      <c r="V95" s="142">
        <v>0.61</v>
      </c>
      <c r="W95" s="141">
        <v>0.6</v>
      </c>
      <c r="X95" s="141">
        <v>0.6</v>
      </c>
      <c r="Y95" s="141">
        <v>0.625</v>
      </c>
      <c r="Z95" s="141">
        <v>0.6</v>
      </c>
      <c r="AA95" s="141">
        <v>0.52500000000000002</v>
      </c>
      <c r="AB95" s="143">
        <f>_xlfn.STDEV.P(D95:AA95)</f>
        <v>2.3124061542519343E-2</v>
      </c>
      <c r="AC95" s="143"/>
      <c r="AD95" s="131"/>
    </row>
    <row r="96" spans="1:30">
      <c r="A96" s="260"/>
      <c r="C96" t="s">
        <v>220</v>
      </c>
      <c r="D96" s="141">
        <v>1.0649999999999999</v>
      </c>
      <c r="E96" s="141">
        <v>1.0649999999999999</v>
      </c>
      <c r="F96" s="141">
        <v>1.0449999999999999</v>
      </c>
      <c r="G96" s="141">
        <v>1.07</v>
      </c>
      <c r="H96" s="141">
        <v>1.0649999999999999</v>
      </c>
      <c r="I96" s="141">
        <v>1.06</v>
      </c>
      <c r="J96" s="142">
        <v>1.05</v>
      </c>
      <c r="K96" s="141">
        <v>1.08</v>
      </c>
      <c r="L96" s="141">
        <v>1.0649999999999999</v>
      </c>
      <c r="M96" s="141">
        <v>1.04</v>
      </c>
      <c r="N96" s="141">
        <v>1.08</v>
      </c>
      <c r="O96" s="141">
        <v>1.08</v>
      </c>
      <c r="P96" s="142">
        <v>1.05</v>
      </c>
      <c r="Q96" s="141">
        <v>1.0649999999999999</v>
      </c>
      <c r="R96" s="141">
        <v>1.06</v>
      </c>
      <c r="S96" s="141">
        <v>1.0649999999999999</v>
      </c>
      <c r="T96" s="141">
        <v>1.07</v>
      </c>
      <c r="U96" s="141">
        <v>1.0649999999999999</v>
      </c>
      <c r="V96" s="142">
        <v>1.06</v>
      </c>
      <c r="W96" s="141">
        <v>1.0649999999999999</v>
      </c>
      <c r="X96" s="141">
        <v>1.06</v>
      </c>
      <c r="Y96" s="141">
        <v>1.0649999999999999</v>
      </c>
      <c r="Z96" s="141">
        <v>1.0649999999999999</v>
      </c>
      <c r="AA96" s="141">
        <v>1.0900000000000001</v>
      </c>
      <c r="AB96" s="143">
        <f>_xlfn.STDEV.P(D96:AA96)</f>
        <v>1.1021995055342765E-2</v>
      </c>
      <c r="AC96" s="143"/>
      <c r="AD96" s="131"/>
    </row>
    <row r="97" spans="1:30">
      <c r="A97" s="260"/>
      <c r="C97" t="s">
        <v>221</v>
      </c>
      <c r="D97" s="144">
        <v>0.68500000000000005</v>
      </c>
      <c r="E97" s="144">
        <v>0.68500000000000005</v>
      </c>
      <c r="F97" s="144">
        <v>0.68500000000000005</v>
      </c>
      <c r="G97" s="144">
        <v>0.70499999999999996</v>
      </c>
      <c r="H97" s="144">
        <v>0.68500000000000005</v>
      </c>
      <c r="I97" s="141">
        <v>0.69499999999999995</v>
      </c>
      <c r="J97" s="145">
        <v>0.68</v>
      </c>
      <c r="K97" s="144">
        <v>0.69</v>
      </c>
      <c r="L97" s="144">
        <v>0.67500000000000004</v>
      </c>
      <c r="M97" s="144">
        <v>0.67500000000000004</v>
      </c>
      <c r="N97" s="144">
        <v>0.69499999999999995</v>
      </c>
      <c r="O97" s="141">
        <v>0.69499999999999995</v>
      </c>
      <c r="P97" s="145">
        <v>0.68500000000000005</v>
      </c>
      <c r="Q97" s="144">
        <v>0.68</v>
      </c>
      <c r="R97" s="144">
        <v>0.67</v>
      </c>
      <c r="S97" s="144">
        <v>0.65500000000000003</v>
      </c>
      <c r="T97" s="144">
        <v>0.66</v>
      </c>
      <c r="U97" s="141">
        <v>0.67500000000000004</v>
      </c>
      <c r="V97" s="145">
        <v>0.68500000000000005</v>
      </c>
      <c r="W97" s="144">
        <v>0.66</v>
      </c>
      <c r="X97" s="144">
        <v>0.67</v>
      </c>
      <c r="Y97" s="144">
        <v>0.66</v>
      </c>
      <c r="Z97" s="144">
        <v>0.69499999999999995</v>
      </c>
      <c r="AA97" s="144">
        <v>0.7</v>
      </c>
      <c r="AB97" s="143">
        <f>_xlfn.STDEV.P(D97:AA97)</f>
        <v>1.3305635293196444E-2</v>
      </c>
      <c r="AC97" s="146"/>
      <c r="AD97" s="131"/>
    </row>
    <row r="98" spans="1:30">
      <c r="A98" s="260"/>
      <c r="B98" s="147" t="s">
        <v>1802</v>
      </c>
      <c r="D98" s="148" t="s">
        <v>1796</v>
      </c>
      <c r="E98" s="148" t="s">
        <v>1796</v>
      </c>
      <c r="F98" s="148" t="s">
        <v>1794</v>
      </c>
      <c r="G98" s="148" t="s">
        <v>1796</v>
      </c>
      <c r="H98" s="148" t="s">
        <v>1796</v>
      </c>
      <c r="I98" s="149" t="s">
        <v>1796</v>
      </c>
      <c r="J98" s="150" t="s">
        <v>1796</v>
      </c>
      <c r="K98" s="148" t="s">
        <v>1794</v>
      </c>
      <c r="L98" s="148" t="s">
        <v>1794</v>
      </c>
      <c r="M98" s="148" t="s">
        <v>1796</v>
      </c>
      <c r="N98" s="148" t="s">
        <v>1794</v>
      </c>
      <c r="O98" s="149" t="s">
        <v>1796</v>
      </c>
      <c r="P98" s="150" t="s">
        <v>1794</v>
      </c>
      <c r="Q98" s="148" t="s">
        <v>1794</v>
      </c>
      <c r="R98" s="148" t="s">
        <v>1796</v>
      </c>
      <c r="S98" s="148" t="s">
        <v>1796</v>
      </c>
      <c r="T98" s="148" t="s">
        <v>1796</v>
      </c>
      <c r="U98" s="149" t="s">
        <v>1796</v>
      </c>
      <c r="V98" s="150" t="s">
        <v>1794</v>
      </c>
      <c r="W98" s="148" t="s">
        <v>1796</v>
      </c>
      <c r="X98" s="148" t="s">
        <v>1794</v>
      </c>
      <c r="Y98" s="148" t="s">
        <v>1794</v>
      </c>
      <c r="Z98" s="148" t="s">
        <v>1796</v>
      </c>
      <c r="AA98" s="148" t="s">
        <v>1794</v>
      </c>
      <c r="AC98" s="151" t="s">
        <v>1829</v>
      </c>
      <c r="AD98" s="124"/>
    </row>
    <row r="99" spans="1:30">
      <c r="A99" s="260"/>
      <c r="B99" t="s">
        <v>1805</v>
      </c>
      <c r="C99" t="s">
        <v>40</v>
      </c>
      <c r="D99" s="141">
        <v>0.61499999999999999</v>
      </c>
      <c r="E99" s="141">
        <v>0.6</v>
      </c>
      <c r="F99" s="141">
        <v>0.61</v>
      </c>
      <c r="G99" s="141">
        <v>0.63500000000000001</v>
      </c>
      <c r="H99" s="141">
        <v>0.64</v>
      </c>
      <c r="I99" s="141">
        <v>0.625</v>
      </c>
      <c r="J99" s="142">
        <v>0.61</v>
      </c>
      <c r="K99" s="141">
        <v>0.60499999999999998</v>
      </c>
      <c r="L99" s="141">
        <v>0.6</v>
      </c>
      <c r="M99" s="141">
        <v>0.56499999999999995</v>
      </c>
      <c r="N99" s="141">
        <v>0.60499999999999998</v>
      </c>
      <c r="O99" s="141">
        <v>0.68500000000000005</v>
      </c>
      <c r="P99" s="142">
        <v>0.6</v>
      </c>
      <c r="Q99" s="141">
        <v>0.63</v>
      </c>
      <c r="R99" s="141">
        <v>0.61</v>
      </c>
      <c r="S99" s="141">
        <v>0.61499999999999999</v>
      </c>
      <c r="T99" s="141">
        <v>0.61499999999999999</v>
      </c>
      <c r="U99" s="141">
        <v>0.59</v>
      </c>
      <c r="V99" s="142">
        <v>0.59</v>
      </c>
      <c r="W99" s="141">
        <v>0.58499999999999996</v>
      </c>
      <c r="X99" s="141">
        <v>0.59499999999999997</v>
      </c>
      <c r="Y99" s="141">
        <v>0.61499999999999999</v>
      </c>
      <c r="Z99" s="141">
        <v>0.52500000000000002</v>
      </c>
      <c r="AA99" s="141">
        <v>0.52500000000000002</v>
      </c>
      <c r="AB99" s="143">
        <f>_xlfn.STDEV.P(D99:AA99)</f>
        <v>3.2540039438615727E-2</v>
      </c>
      <c r="AC99" s="143"/>
      <c r="AD99" s="124"/>
    </row>
    <row r="100" spans="1:30" s="125" customFormat="1">
      <c r="A100" s="260"/>
      <c r="B100"/>
      <c r="C100" t="s">
        <v>220</v>
      </c>
      <c r="D100" s="141">
        <v>1.0649999999999999</v>
      </c>
      <c r="E100" s="141">
        <v>1.0649999999999999</v>
      </c>
      <c r="F100" s="141">
        <v>1.0549999999999999</v>
      </c>
      <c r="G100" s="141">
        <v>1.0449999999999999</v>
      </c>
      <c r="H100" s="141">
        <v>1.0649999999999999</v>
      </c>
      <c r="I100" s="141">
        <v>1.06</v>
      </c>
      <c r="J100" s="142">
        <v>1.0649999999999999</v>
      </c>
      <c r="K100" s="141">
        <v>1.07</v>
      </c>
      <c r="L100" s="141">
        <v>1.0649999999999999</v>
      </c>
      <c r="M100" s="141">
        <v>1.08</v>
      </c>
      <c r="N100" s="141">
        <v>1.0549999999999999</v>
      </c>
      <c r="O100" s="141">
        <v>1.0449999999999999</v>
      </c>
      <c r="P100" s="142">
        <v>1.05</v>
      </c>
      <c r="Q100" s="141">
        <v>1.06</v>
      </c>
      <c r="R100" s="141">
        <v>1.06</v>
      </c>
      <c r="S100" s="141">
        <v>1.0649999999999999</v>
      </c>
      <c r="T100" s="141">
        <v>1.0649999999999999</v>
      </c>
      <c r="U100" s="141">
        <v>1.0549999999999999</v>
      </c>
      <c r="V100" s="142">
        <v>1.0549999999999999</v>
      </c>
      <c r="W100" s="141">
        <v>1.085</v>
      </c>
      <c r="X100" s="141">
        <v>1.07</v>
      </c>
      <c r="Y100" s="141">
        <v>1.07</v>
      </c>
      <c r="Z100" s="141">
        <v>1.085</v>
      </c>
      <c r="AA100" s="141">
        <v>1.085</v>
      </c>
      <c r="AB100" s="143">
        <f>_xlfn.STDEV.P(D100:AA100)</f>
        <v>1.1149240133549723E-2</v>
      </c>
      <c r="AC100" s="143"/>
      <c r="AD100" s="166"/>
    </row>
    <row r="101" spans="1:30">
      <c r="A101" s="260"/>
      <c r="C101" t="s">
        <v>221</v>
      </c>
      <c r="D101" s="144">
        <v>0.70499999999999996</v>
      </c>
      <c r="E101" s="144">
        <v>0.70499999999999996</v>
      </c>
      <c r="F101" s="144">
        <v>0.67500000000000004</v>
      </c>
      <c r="G101" s="144">
        <v>0.67500000000000004</v>
      </c>
      <c r="H101" s="144">
        <v>0.70499999999999996</v>
      </c>
      <c r="I101" s="141">
        <v>0.68500000000000005</v>
      </c>
      <c r="J101" s="145">
        <v>0.69499999999999995</v>
      </c>
      <c r="K101" s="144">
        <v>0.68500000000000005</v>
      </c>
      <c r="L101" s="144">
        <v>0.69499999999999995</v>
      </c>
      <c r="M101" s="144">
        <v>0.69</v>
      </c>
      <c r="N101" s="144">
        <v>0.72499999999999998</v>
      </c>
      <c r="O101" s="141">
        <v>0.68</v>
      </c>
      <c r="P101" s="145">
        <v>0.69</v>
      </c>
      <c r="Q101" s="144">
        <v>0.69499999999999995</v>
      </c>
      <c r="R101" s="144">
        <v>0.70499999999999996</v>
      </c>
      <c r="S101" s="144">
        <v>0.70499999999999996</v>
      </c>
      <c r="T101" s="144">
        <v>0.68</v>
      </c>
      <c r="U101" s="141">
        <v>0.66500000000000004</v>
      </c>
      <c r="V101" s="145">
        <v>0.68</v>
      </c>
      <c r="W101" s="144">
        <v>0.70499999999999996</v>
      </c>
      <c r="X101" s="144">
        <v>0.67500000000000004</v>
      </c>
      <c r="Y101" s="144">
        <v>0.69499999999999995</v>
      </c>
      <c r="Z101" s="144">
        <v>0.72</v>
      </c>
      <c r="AA101" s="144">
        <v>0.72</v>
      </c>
      <c r="AB101" s="143">
        <f>_xlfn.STDEV.P(D101:AA101)</f>
        <v>1.5477077584465185E-2</v>
      </c>
      <c r="AC101" s="146"/>
      <c r="AD101" s="131"/>
    </row>
    <row r="102" spans="1:30">
      <c r="A102" s="260"/>
      <c r="B102" s="147" t="s">
        <v>1806</v>
      </c>
      <c r="D102" s="148" t="s">
        <v>1796</v>
      </c>
      <c r="E102" s="148" t="s">
        <v>1796</v>
      </c>
      <c r="F102" s="148" t="s">
        <v>1796</v>
      </c>
      <c r="G102" s="148" t="s">
        <v>1794</v>
      </c>
      <c r="H102" s="148" t="s">
        <v>1796</v>
      </c>
      <c r="I102" s="149" t="s">
        <v>1796</v>
      </c>
      <c r="J102" s="150" t="s">
        <v>1796</v>
      </c>
      <c r="K102" s="148" t="s">
        <v>1796</v>
      </c>
      <c r="L102" s="148" t="s">
        <v>1796</v>
      </c>
      <c r="M102" s="148" t="s">
        <v>1796</v>
      </c>
      <c r="N102" s="148" t="s">
        <v>1795</v>
      </c>
      <c r="O102" s="149" t="s">
        <v>1796</v>
      </c>
      <c r="P102" s="150" t="s">
        <v>1796</v>
      </c>
      <c r="Q102" s="148" t="s">
        <v>1796</v>
      </c>
      <c r="R102" s="148" t="s">
        <v>1796</v>
      </c>
      <c r="S102" s="148" t="s">
        <v>1796</v>
      </c>
      <c r="T102" s="148" t="s">
        <v>1796</v>
      </c>
      <c r="U102" s="149" t="s">
        <v>1796</v>
      </c>
      <c r="V102" s="150" t="s">
        <v>1796</v>
      </c>
      <c r="W102" s="148" t="s">
        <v>1796</v>
      </c>
      <c r="X102" s="148" t="s">
        <v>1794</v>
      </c>
      <c r="Y102" s="148" t="s">
        <v>1795</v>
      </c>
      <c r="Z102" s="148" t="s">
        <v>1803</v>
      </c>
      <c r="AA102" s="148" t="s">
        <v>1794</v>
      </c>
      <c r="AC102" s="151" t="s">
        <v>1830</v>
      </c>
      <c r="AD102" s="131"/>
    </row>
    <row r="103" spans="1:30">
      <c r="A103" s="260"/>
      <c r="B103" t="s">
        <v>1807</v>
      </c>
      <c r="C103" t="s">
        <v>40</v>
      </c>
      <c r="D103" s="141">
        <v>0.60499999999999998</v>
      </c>
      <c r="E103" s="141">
        <v>0.61499999999999999</v>
      </c>
      <c r="F103" s="141">
        <v>0.60499999999999998</v>
      </c>
      <c r="G103" s="141">
        <v>0.62</v>
      </c>
      <c r="H103" s="141">
        <v>0.61</v>
      </c>
      <c r="I103" s="141">
        <v>0.60499999999999998</v>
      </c>
      <c r="J103" s="142">
        <v>0.60499999999999998</v>
      </c>
      <c r="K103" s="141">
        <v>0.59499999999999997</v>
      </c>
      <c r="L103" s="141">
        <v>0.68</v>
      </c>
      <c r="M103" s="141">
        <v>0.59</v>
      </c>
      <c r="N103" s="141">
        <v>0.60499999999999998</v>
      </c>
      <c r="O103" s="141">
        <v>0.57499999999999996</v>
      </c>
      <c r="P103" s="142">
        <v>0.55000000000000004</v>
      </c>
      <c r="Q103" s="141">
        <v>0.61499999999999999</v>
      </c>
      <c r="R103" s="141">
        <v>0.60499999999999998</v>
      </c>
      <c r="S103" s="141">
        <v>0.65</v>
      </c>
      <c r="T103" s="141">
        <v>0.625</v>
      </c>
      <c r="U103" s="141">
        <v>0.6</v>
      </c>
      <c r="V103" s="142">
        <v>0.59499999999999997</v>
      </c>
      <c r="W103" s="141">
        <v>0.65</v>
      </c>
      <c r="X103" s="141">
        <v>0.64</v>
      </c>
      <c r="Y103" s="141">
        <v>0.59499999999999997</v>
      </c>
      <c r="Z103" s="141">
        <v>0.63500000000000001</v>
      </c>
      <c r="AA103" s="141">
        <v>0.56499999999999995</v>
      </c>
      <c r="AB103" s="143">
        <f>_xlfn.STDEV.P(D103:AA103)</f>
        <v>2.7518144266808577E-2</v>
      </c>
      <c r="AC103" s="143"/>
      <c r="AD103" s="131"/>
    </row>
    <row r="104" spans="1:30">
      <c r="A104" s="260"/>
      <c r="C104" t="s">
        <v>220</v>
      </c>
      <c r="D104" s="141">
        <v>1.0649999999999999</v>
      </c>
      <c r="E104" s="141">
        <v>1.07</v>
      </c>
      <c r="F104" s="141">
        <v>1.075</v>
      </c>
      <c r="G104" s="141">
        <v>1.06</v>
      </c>
      <c r="H104" s="141">
        <v>1.07</v>
      </c>
      <c r="I104" s="141">
        <v>1.0649999999999999</v>
      </c>
      <c r="J104" s="142">
        <v>1.07</v>
      </c>
      <c r="K104" s="141">
        <v>1.0549999999999999</v>
      </c>
      <c r="L104" s="141">
        <v>0.98</v>
      </c>
      <c r="M104" s="141">
        <v>1.0649999999999999</v>
      </c>
      <c r="N104" s="141">
        <v>1.0449999999999999</v>
      </c>
      <c r="O104" s="141">
        <v>1.04</v>
      </c>
      <c r="P104" s="142">
        <v>1.0900000000000001</v>
      </c>
      <c r="Q104" s="141">
        <v>1.0449999999999999</v>
      </c>
      <c r="R104" s="141">
        <v>1.075</v>
      </c>
      <c r="S104" s="141">
        <v>1.05</v>
      </c>
      <c r="T104" s="141">
        <v>1.06</v>
      </c>
      <c r="U104" s="141">
        <v>1.0649999999999999</v>
      </c>
      <c r="V104" s="142">
        <v>1.0649999999999999</v>
      </c>
      <c r="W104" s="141">
        <v>1.04</v>
      </c>
      <c r="X104" s="141">
        <v>1</v>
      </c>
      <c r="Y104" s="141">
        <v>1.07</v>
      </c>
      <c r="Z104" s="141">
        <v>1.0449999999999999</v>
      </c>
      <c r="AA104" s="141">
        <v>1.095</v>
      </c>
      <c r="AB104" s="143">
        <f>_xlfn.STDEV.P(D104:AA104)</f>
        <v>2.4523231615936943E-2</v>
      </c>
      <c r="AC104" s="143"/>
      <c r="AD104" s="124"/>
    </row>
    <row r="105" spans="1:30">
      <c r="A105" s="260"/>
      <c r="C105" t="s">
        <v>221</v>
      </c>
      <c r="D105" s="144">
        <v>0.68</v>
      </c>
      <c r="E105" s="144">
        <v>0.67</v>
      </c>
      <c r="F105" s="144">
        <v>0.67500000000000004</v>
      </c>
      <c r="G105" s="144">
        <v>0.67500000000000004</v>
      </c>
      <c r="H105" s="144">
        <v>0.68</v>
      </c>
      <c r="I105" s="141">
        <v>0.69499999999999995</v>
      </c>
      <c r="J105" s="145">
        <v>0.66500000000000004</v>
      </c>
      <c r="K105" s="144">
        <v>0.71</v>
      </c>
      <c r="L105" s="144">
        <v>0.72499999999999998</v>
      </c>
      <c r="M105" s="144">
        <v>0.67</v>
      </c>
      <c r="N105" s="144">
        <v>0.68</v>
      </c>
      <c r="O105" s="141">
        <v>0.68500000000000005</v>
      </c>
      <c r="P105" s="145">
        <v>0.69</v>
      </c>
      <c r="Q105" s="144">
        <v>0.7</v>
      </c>
      <c r="R105" s="144">
        <v>0.68</v>
      </c>
      <c r="S105" s="144">
        <v>0.65</v>
      </c>
      <c r="T105" s="144">
        <v>0.7</v>
      </c>
      <c r="U105" s="141">
        <v>0.68</v>
      </c>
      <c r="V105" s="145">
        <v>0.69</v>
      </c>
      <c r="W105" s="144">
        <v>0.67500000000000004</v>
      </c>
      <c r="X105" s="144">
        <v>0.69499999999999995</v>
      </c>
      <c r="Y105" s="144">
        <v>0.7</v>
      </c>
      <c r="Z105" s="144">
        <v>0.67</v>
      </c>
      <c r="AA105" s="144">
        <v>0.69</v>
      </c>
      <c r="AB105" s="143">
        <f>_xlfn.STDEV.P(D105:AA105)</f>
        <v>1.5673535728169992E-2</v>
      </c>
      <c r="AC105" s="146"/>
      <c r="AD105" s="124"/>
    </row>
    <row r="106" spans="1:30">
      <c r="A106" s="260"/>
      <c r="B106" s="147" t="s">
        <v>1808</v>
      </c>
      <c r="D106" s="148" t="s">
        <v>1796</v>
      </c>
      <c r="E106" s="148" t="s">
        <v>1796</v>
      </c>
      <c r="F106" s="148" t="s">
        <v>1796</v>
      </c>
      <c r="G106" s="148" t="s">
        <v>1796</v>
      </c>
      <c r="H106" s="148" t="s">
        <v>1794</v>
      </c>
      <c r="I106" s="149" t="s">
        <v>1796</v>
      </c>
      <c r="J106" s="150" t="s">
        <v>1796</v>
      </c>
      <c r="K106" s="148" t="s">
        <v>1794</v>
      </c>
      <c r="L106" s="148" t="s">
        <v>1794</v>
      </c>
      <c r="M106" s="148" t="s">
        <v>1796</v>
      </c>
      <c r="N106" s="148" t="s">
        <v>1796</v>
      </c>
      <c r="O106" s="149" t="s">
        <v>1796</v>
      </c>
      <c r="P106" s="150" t="s">
        <v>1796</v>
      </c>
      <c r="Q106" s="148" t="s">
        <v>1796</v>
      </c>
      <c r="R106" s="148" t="s">
        <v>1794</v>
      </c>
      <c r="S106" s="148" t="s">
        <v>1794</v>
      </c>
      <c r="T106" s="148" t="s">
        <v>1794</v>
      </c>
      <c r="U106" s="149" t="s">
        <v>1794</v>
      </c>
      <c r="V106" s="150" t="s">
        <v>1796</v>
      </c>
      <c r="W106" s="148" t="s">
        <v>1796</v>
      </c>
      <c r="X106" s="148" t="s">
        <v>1796</v>
      </c>
      <c r="Y106" s="148" t="s">
        <v>1796</v>
      </c>
      <c r="Z106" s="148" t="s">
        <v>1796</v>
      </c>
      <c r="AA106" s="148" t="s">
        <v>1795</v>
      </c>
      <c r="AC106" s="151" t="s">
        <v>1831</v>
      </c>
      <c r="AD106" s="131"/>
    </row>
    <row r="107" spans="1:30">
      <c r="A107" s="260"/>
      <c r="B107" t="s">
        <v>1809</v>
      </c>
      <c r="C107" t="s">
        <v>40</v>
      </c>
      <c r="D107" s="141">
        <v>0.62</v>
      </c>
      <c r="E107" s="141">
        <v>0.625</v>
      </c>
      <c r="F107" s="141">
        <v>0.625</v>
      </c>
      <c r="G107" s="141">
        <v>0.65500000000000003</v>
      </c>
      <c r="H107" s="141">
        <v>0.60499999999999998</v>
      </c>
      <c r="I107" s="141">
        <v>0.63</v>
      </c>
      <c r="J107" s="142">
        <v>0.63</v>
      </c>
      <c r="K107" s="141">
        <v>0.59</v>
      </c>
      <c r="L107" s="141">
        <v>0.63</v>
      </c>
      <c r="M107" s="141">
        <v>0.60499999999999998</v>
      </c>
      <c r="N107" s="141">
        <v>0.68500000000000005</v>
      </c>
      <c r="O107" s="141">
        <v>0.65</v>
      </c>
      <c r="P107" s="142">
        <v>0.625</v>
      </c>
      <c r="Q107" s="141">
        <v>0.57499999999999996</v>
      </c>
      <c r="R107" s="141">
        <v>0.625</v>
      </c>
      <c r="S107" s="141">
        <v>0.63500000000000001</v>
      </c>
      <c r="T107" s="141">
        <v>0.63</v>
      </c>
      <c r="U107" s="141">
        <v>0.63500000000000001</v>
      </c>
      <c r="V107" s="142">
        <v>0.63500000000000001</v>
      </c>
      <c r="W107" s="141">
        <v>0.63500000000000001</v>
      </c>
      <c r="X107" s="141">
        <v>0.63</v>
      </c>
      <c r="Y107" s="141">
        <v>0.625</v>
      </c>
      <c r="Z107" s="141">
        <v>0.63500000000000001</v>
      </c>
      <c r="AA107" s="141">
        <v>0.65</v>
      </c>
      <c r="AB107" s="143">
        <f>_xlfn.STDEV.P(D107:AA107)</f>
        <v>2.1039603859283013E-2</v>
      </c>
      <c r="AC107" s="143"/>
      <c r="AD107" s="131"/>
    </row>
    <row r="108" spans="1:30">
      <c r="A108" s="260"/>
      <c r="C108" t="s">
        <v>220</v>
      </c>
      <c r="D108" s="141">
        <v>1.06</v>
      </c>
      <c r="E108" s="141">
        <v>1.06</v>
      </c>
      <c r="F108" s="141">
        <v>1.06</v>
      </c>
      <c r="G108" s="141">
        <v>1.07</v>
      </c>
      <c r="H108" s="141">
        <v>1.075</v>
      </c>
      <c r="I108" s="141">
        <v>1.0549999999999999</v>
      </c>
      <c r="J108" s="142">
        <v>1.06</v>
      </c>
      <c r="K108" s="141">
        <v>1.07</v>
      </c>
      <c r="L108" s="141">
        <v>1.0649999999999999</v>
      </c>
      <c r="M108" s="141">
        <v>1.075</v>
      </c>
      <c r="N108" s="141">
        <v>1.06</v>
      </c>
      <c r="O108" s="141">
        <v>1.0549999999999999</v>
      </c>
      <c r="P108" s="142">
        <v>1.05</v>
      </c>
      <c r="Q108" s="141">
        <v>1.07</v>
      </c>
      <c r="R108" s="141">
        <v>1.05</v>
      </c>
      <c r="S108" s="141">
        <v>1.0549999999999999</v>
      </c>
      <c r="T108" s="141">
        <v>1.06</v>
      </c>
      <c r="U108" s="141">
        <v>1.075</v>
      </c>
      <c r="V108" s="142">
        <v>1.06</v>
      </c>
      <c r="W108" s="141">
        <v>1.06</v>
      </c>
      <c r="X108" s="141">
        <v>1.04</v>
      </c>
      <c r="Y108" s="141">
        <v>1.0649999999999999</v>
      </c>
      <c r="Z108" s="141">
        <v>1.06</v>
      </c>
      <c r="AA108" s="141">
        <v>1.0649999999999999</v>
      </c>
      <c r="AB108" s="143">
        <f>_xlfn.STDEV.P(D108:AA108)</f>
        <v>8.3515426053447604E-3</v>
      </c>
      <c r="AC108" s="143"/>
      <c r="AD108" s="131"/>
    </row>
    <row r="109" spans="1:30">
      <c r="A109" s="260"/>
      <c r="C109" t="s">
        <v>221</v>
      </c>
      <c r="D109" s="144">
        <v>0.67500000000000004</v>
      </c>
      <c r="E109" s="144">
        <v>0.66</v>
      </c>
      <c r="F109" s="144">
        <v>0.69499999999999995</v>
      </c>
      <c r="G109" s="144">
        <v>0.66</v>
      </c>
      <c r="H109" s="144">
        <v>0.67</v>
      </c>
      <c r="I109" s="141">
        <v>0.66500000000000004</v>
      </c>
      <c r="J109" s="145">
        <v>0.66500000000000004</v>
      </c>
      <c r="K109" s="144">
        <v>0.69499999999999995</v>
      </c>
      <c r="L109" s="144">
        <v>0.7</v>
      </c>
      <c r="M109" s="144">
        <v>0.66500000000000004</v>
      </c>
      <c r="N109" s="144">
        <v>0.65</v>
      </c>
      <c r="O109" s="141">
        <v>0.68</v>
      </c>
      <c r="P109" s="145">
        <v>0.67</v>
      </c>
      <c r="Q109" s="144">
        <v>0.69</v>
      </c>
      <c r="R109" s="144">
        <v>0.67500000000000004</v>
      </c>
      <c r="S109" s="144">
        <v>0.68500000000000005</v>
      </c>
      <c r="T109" s="144">
        <v>0.67</v>
      </c>
      <c r="U109" s="141">
        <v>0.69</v>
      </c>
      <c r="V109" s="145">
        <v>0.7</v>
      </c>
      <c r="W109" s="144">
        <v>0.71</v>
      </c>
      <c r="X109" s="144">
        <v>0.69499999999999995</v>
      </c>
      <c r="Y109" s="144">
        <v>0.65500000000000003</v>
      </c>
      <c r="Z109" s="144">
        <v>0.66500000000000004</v>
      </c>
      <c r="AA109" s="144">
        <v>0.69499999999999995</v>
      </c>
      <c r="AB109" s="143">
        <f>_xlfn.STDEV.P(D109:AA109)</f>
        <v>1.6244657241348243E-2</v>
      </c>
      <c r="AC109" s="146"/>
      <c r="AD109" s="124"/>
    </row>
    <row r="110" spans="1:30">
      <c r="A110" s="260"/>
      <c r="B110" s="147" t="s">
        <v>1810</v>
      </c>
      <c r="D110" s="148" t="s">
        <v>1796</v>
      </c>
      <c r="E110" s="148" t="s">
        <v>1796</v>
      </c>
      <c r="F110" s="148" t="s">
        <v>1796</v>
      </c>
      <c r="G110" s="148" t="s">
        <v>1796</v>
      </c>
      <c r="H110" s="148" t="s">
        <v>1796</v>
      </c>
      <c r="I110" s="149" t="s">
        <v>1796</v>
      </c>
      <c r="J110" s="150" t="s">
        <v>1796</v>
      </c>
      <c r="K110" s="148" t="s">
        <v>1796</v>
      </c>
      <c r="L110" s="148" t="s">
        <v>1796</v>
      </c>
      <c r="M110" s="148" t="s">
        <v>1796</v>
      </c>
      <c r="N110" s="148" t="s">
        <v>1794</v>
      </c>
      <c r="O110" s="149" t="s">
        <v>1796</v>
      </c>
      <c r="P110" s="150" t="s">
        <v>1794</v>
      </c>
      <c r="Q110" s="148" t="s">
        <v>1796</v>
      </c>
      <c r="R110" s="148" t="s">
        <v>1796</v>
      </c>
      <c r="S110" s="148" t="s">
        <v>1794</v>
      </c>
      <c r="T110" s="148" t="s">
        <v>1796</v>
      </c>
      <c r="U110" s="149" t="s">
        <v>1796</v>
      </c>
      <c r="V110" s="150" t="s">
        <v>1796</v>
      </c>
      <c r="W110" s="148" t="s">
        <v>1796</v>
      </c>
      <c r="X110" s="148" t="s">
        <v>1796</v>
      </c>
      <c r="Y110" s="148" t="s">
        <v>1794</v>
      </c>
      <c r="Z110" s="148" t="s">
        <v>1803</v>
      </c>
      <c r="AA110" s="148" t="s">
        <v>1794</v>
      </c>
      <c r="AC110" s="151" t="s">
        <v>1832</v>
      </c>
    </row>
    <row r="111" spans="1:30">
      <c r="A111" s="260"/>
      <c r="B111" t="s">
        <v>1811</v>
      </c>
      <c r="C111" t="s">
        <v>40</v>
      </c>
      <c r="D111" s="141">
        <v>0.625</v>
      </c>
      <c r="E111" s="141">
        <v>0.62</v>
      </c>
      <c r="F111" s="141">
        <v>0.60499999999999998</v>
      </c>
      <c r="G111" s="141">
        <v>0.63</v>
      </c>
      <c r="H111" s="141">
        <v>0.63</v>
      </c>
      <c r="I111" s="141">
        <v>0.58499999999999996</v>
      </c>
      <c r="J111" s="142">
        <v>0.61</v>
      </c>
      <c r="K111" s="141">
        <v>0.57999999999999996</v>
      </c>
      <c r="L111" s="141">
        <v>0.625</v>
      </c>
      <c r="M111" s="141">
        <v>0.625</v>
      </c>
      <c r="N111" s="141">
        <v>0.62</v>
      </c>
      <c r="O111" s="141">
        <v>0.61499999999999999</v>
      </c>
      <c r="P111" s="142">
        <v>0.625</v>
      </c>
      <c r="Q111" s="141">
        <v>0.625</v>
      </c>
      <c r="R111" s="141">
        <v>0.64</v>
      </c>
      <c r="S111" s="141">
        <v>0.625</v>
      </c>
      <c r="T111" s="141">
        <v>0.61499999999999999</v>
      </c>
      <c r="U111" s="141">
        <v>0.65</v>
      </c>
      <c r="V111" s="142">
        <v>0.61</v>
      </c>
      <c r="W111" s="141">
        <v>0.60499999999999998</v>
      </c>
      <c r="X111" s="141">
        <v>0.61</v>
      </c>
      <c r="Y111" s="141">
        <v>0.64</v>
      </c>
      <c r="Z111" s="141">
        <v>0.60499999999999998</v>
      </c>
      <c r="AA111" s="141">
        <v>0.68</v>
      </c>
      <c r="AB111" s="143">
        <f>_xlfn.STDEV.P(D111:AA111)</f>
        <v>1.9878100736460954E-2</v>
      </c>
      <c r="AC111" s="143"/>
    </row>
    <row r="112" spans="1:30">
      <c r="A112" s="260"/>
      <c r="C112" t="s">
        <v>220</v>
      </c>
      <c r="D112" s="141">
        <v>1.06</v>
      </c>
      <c r="E112" s="141">
        <v>1.0649999999999999</v>
      </c>
      <c r="F112" s="141">
        <v>1.0649999999999999</v>
      </c>
      <c r="G112" s="141">
        <v>1.06</v>
      </c>
      <c r="H112" s="141">
        <v>1.06</v>
      </c>
      <c r="I112" s="141">
        <v>1.0649999999999999</v>
      </c>
      <c r="J112" s="142">
        <v>1.085</v>
      </c>
      <c r="K112" s="141">
        <v>1.07</v>
      </c>
      <c r="L112" s="141">
        <v>1.0549999999999999</v>
      </c>
      <c r="M112" s="141">
        <v>1.075</v>
      </c>
      <c r="N112" s="141">
        <v>1.0649999999999999</v>
      </c>
      <c r="O112" s="141">
        <v>1.0649999999999999</v>
      </c>
      <c r="P112" s="142">
        <v>1.07</v>
      </c>
      <c r="Q112" s="141">
        <v>1.06</v>
      </c>
      <c r="R112" s="141">
        <v>1.02</v>
      </c>
      <c r="S112" s="141">
        <v>1.0549999999999999</v>
      </c>
      <c r="T112" s="141">
        <v>1.07</v>
      </c>
      <c r="U112" s="141">
        <v>1.075</v>
      </c>
      <c r="V112" s="142">
        <v>1.06</v>
      </c>
      <c r="W112" s="141">
        <v>1.0649999999999999</v>
      </c>
      <c r="X112" s="141">
        <v>1.0549999999999999</v>
      </c>
      <c r="Y112" s="141">
        <v>1.01</v>
      </c>
      <c r="Z112" s="141">
        <v>1.0649999999999999</v>
      </c>
      <c r="AA112" s="141">
        <v>1.0549999999999999</v>
      </c>
      <c r="AB112" s="143">
        <f>_xlfn.STDEV.P(D112:AA112)</f>
        <v>1.5472870523022614E-2</v>
      </c>
      <c r="AC112" s="143"/>
    </row>
    <row r="113" spans="1:29">
      <c r="A113" s="260"/>
      <c r="C113" t="s">
        <v>221</v>
      </c>
      <c r="D113" s="144">
        <v>0.71</v>
      </c>
      <c r="E113" s="144">
        <v>0.69499999999999995</v>
      </c>
      <c r="F113" s="144">
        <v>0.69499999999999995</v>
      </c>
      <c r="G113" s="144">
        <v>0.68500000000000005</v>
      </c>
      <c r="H113" s="144">
        <v>0.68500000000000005</v>
      </c>
      <c r="I113" s="141">
        <v>0.74</v>
      </c>
      <c r="J113" s="145">
        <v>0.72499999999999998</v>
      </c>
      <c r="K113" s="144">
        <v>0.70499999999999996</v>
      </c>
      <c r="L113" s="144">
        <v>0.68500000000000005</v>
      </c>
      <c r="M113" s="144">
        <v>0.67</v>
      </c>
      <c r="N113" s="144">
        <v>0.7</v>
      </c>
      <c r="O113" s="141">
        <v>0.7</v>
      </c>
      <c r="P113" s="145">
        <v>0.68</v>
      </c>
      <c r="Q113" s="144">
        <v>0.67500000000000004</v>
      </c>
      <c r="R113" s="144">
        <v>0.71499999999999997</v>
      </c>
      <c r="S113" s="144">
        <v>0.67500000000000004</v>
      </c>
      <c r="T113" s="144">
        <v>0.66</v>
      </c>
      <c r="U113" s="141">
        <v>0.7</v>
      </c>
      <c r="V113" s="145">
        <v>0.70499999999999996</v>
      </c>
      <c r="W113" s="144">
        <v>0.69499999999999995</v>
      </c>
      <c r="X113" s="144">
        <v>0.7</v>
      </c>
      <c r="Y113" s="144">
        <v>0.68500000000000005</v>
      </c>
      <c r="Z113" s="144">
        <v>0.69499999999999995</v>
      </c>
      <c r="AA113" s="144">
        <v>0.68500000000000005</v>
      </c>
      <c r="AB113" s="143">
        <f>_xlfn.STDEV.P(D113:AA113)</f>
        <v>1.7339291844440063E-2</v>
      </c>
      <c r="AC113" s="146"/>
    </row>
    <row r="114" spans="1:29">
      <c r="A114" s="260"/>
      <c r="B114" s="147" t="s">
        <v>1812</v>
      </c>
      <c r="D114" s="148" t="s">
        <v>1796</v>
      </c>
      <c r="E114" s="148" t="s">
        <v>1796</v>
      </c>
      <c r="F114" s="148" t="s">
        <v>1803</v>
      </c>
      <c r="G114" s="148" t="s">
        <v>1796</v>
      </c>
      <c r="H114" s="148" t="s">
        <v>1796</v>
      </c>
      <c r="I114" s="149" t="s">
        <v>1796</v>
      </c>
      <c r="J114" s="150" t="s">
        <v>1796</v>
      </c>
      <c r="K114" s="148" t="s">
        <v>1796</v>
      </c>
      <c r="L114" s="148" t="s">
        <v>1796</v>
      </c>
      <c r="M114" s="148" t="s">
        <v>1794</v>
      </c>
      <c r="N114" s="148" t="s">
        <v>1795</v>
      </c>
      <c r="O114" s="149" t="s">
        <v>1795</v>
      </c>
      <c r="P114" s="150" t="s">
        <v>1796</v>
      </c>
      <c r="Q114" s="148" t="s">
        <v>1796</v>
      </c>
      <c r="R114" s="148" t="s">
        <v>1794</v>
      </c>
      <c r="S114" s="148" t="s">
        <v>1794</v>
      </c>
      <c r="T114" s="148" t="s">
        <v>1794</v>
      </c>
      <c r="U114" s="149" t="s">
        <v>1796</v>
      </c>
      <c r="V114" s="150" t="s">
        <v>1796</v>
      </c>
      <c r="W114" s="148" t="s">
        <v>1796</v>
      </c>
      <c r="X114" s="148" t="s">
        <v>1796</v>
      </c>
      <c r="Y114" s="148" t="s">
        <v>1795</v>
      </c>
      <c r="Z114" s="148" t="s">
        <v>1803</v>
      </c>
      <c r="AA114" s="148" t="s">
        <v>1795</v>
      </c>
      <c r="AC114" s="151" t="s">
        <v>1833</v>
      </c>
    </row>
    <row r="115" spans="1:29">
      <c r="A115" s="260"/>
      <c r="B115" t="s">
        <v>1813</v>
      </c>
      <c r="C115" t="s">
        <v>40</v>
      </c>
      <c r="D115" s="141">
        <v>0.6</v>
      </c>
      <c r="E115" s="141">
        <v>0.60499999999999998</v>
      </c>
      <c r="F115" s="141">
        <v>0.6</v>
      </c>
      <c r="G115" s="141">
        <v>0.60499999999999998</v>
      </c>
      <c r="H115" s="141">
        <v>0.61499999999999999</v>
      </c>
      <c r="I115" s="141">
        <v>0.59499999999999997</v>
      </c>
      <c r="J115" s="142">
        <v>0.58499999999999996</v>
      </c>
      <c r="K115" s="141">
        <v>0.61</v>
      </c>
      <c r="L115" s="141">
        <v>0.61499999999999999</v>
      </c>
      <c r="M115" s="141">
        <v>0.625</v>
      </c>
      <c r="N115" s="141">
        <v>0.62</v>
      </c>
      <c r="O115" s="141">
        <v>0.625</v>
      </c>
      <c r="P115" s="142">
        <v>0.625</v>
      </c>
      <c r="Q115" s="141">
        <v>0.57999999999999996</v>
      </c>
      <c r="R115" s="141">
        <v>0.55500000000000005</v>
      </c>
      <c r="S115" s="141">
        <v>0.61499999999999999</v>
      </c>
      <c r="T115" s="141">
        <v>0.54</v>
      </c>
      <c r="U115" s="141">
        <v>0.58499999999999996</v>
      </c>
      <c r="V115" s="142">
        <v>0.61</v>
      </c>
      <c r="W115" s="141">
        <v>0.61</v>
      </c>
      <c r="X115" s="141">
        <v>0.57999999999999996</v>
      </c>
      <c r="Y115" s="141">
        <v>0.59499999999999997</v>
      </c>
      <c r="Z115" s="141">
        <v>0.67</v>
      </c>
      <c r="AA115" s="141">
        <v>0.57999999999999996</v>
      </c>
      <c r="AB115" s="143">
        <f>_xlfn.STDEV.P(D115:AA115)</f>
        <v>2.5364529859628782E-2</v>
      </c>
      <c r="AC115" s="143"/>
    </row>
    <row r="116" spans="1:29">
      <c r="A116" s="260"/>
      <c r="C116" t="s">
        <v>220</v>
      </c>
      <c r="D116" s="141">
        <v>1.0649999999999999</v>
      </c>
      <c r="E116" s="141">
        <v>1.0649999999999999</v>
      </c>
      <c r="F116" s="141">
        <v>1.085</v>
      </c>
      <c r="G116" s="141">
        <v>1.0649999999999999</v>
      </c>
      <c r="H116" s="141">
        <v>1.05</v>
      </c>
      <c r="I116" s="141">
        <v>1.0349999999999999</v>
      </c>
      <c r="J116" s="142">
        <v>1.07</v>
      </c>
      <c r="K116" s="141">
        <v>1.0649999999999999</v>
      </c>
      <c r="L116" s="141">
        <v>1.0449999999999999</v>
      </c>
      <c r="M116" s="141">
        <v>1.0449999999999999</v>
      </c>
      <c r="N116" s="141">
        <v>1.06</v>
      </c>
      <c r="O116" s="141">
        <v>1.0549999999999999</v>
      </c>
      <c r="P116" s="142">
        <v>1.0649999999999999</v>
      </c>
      <c r="Q116" s="141">
        <v>1.0649999999999999</v>
      </c>
      <c r="R116" s="141">
        <v>1.095</v>
      </c>
      <c r="S116" s="141">
        <v>1.07</v>
      </c>
      <c r="T116" s="141">
        <v>1.04</v>
      </c>
      <c r="U116" s="141">
        <v>1.05</v>
      </c>
      <c r="V116" s="142">
        <v>1.0649999999999999</v>
      </c>
      <c r="W116" s="141">
        <v>1.0549999999999999</v>
      </c>
      <c r="X116" s="141">
        <v>1.0549999999999999</v>
      </c>
      <c r="Y116" s="141">
        <v>1.1000000000000001</v>
      </c>
      <c r="Z116" s="141">
        <v>1.0449999999999999</v>
      </c>
      <c r="AA116" s="141">
        <v>1.06</v>
      </c>
      <c r="AB116" s="143">
        <f>_xlfn.STDEV.P(D116:AA116)</f>
        <v>1.5495294984822558E-2</v>
      </c>
      <c r="AC116" s="143"/>
    </row>
    <row r="117" spans="1:29">
      <c r="A117" s="260"/>
      <c r="C117" t="s">
        <v>221</v>
      </c>
      <c r="D117" s="144">
        <v>0.66500000000000004</v>
      </c>
      <c r="E117" s="144">
        <v>0.67500000000000004</v>
      </c>
      <c r="F117" s="144">
        <v>0.60499999999999998</v>
      </c>
      <c r="G117" s="144">
        <v>0.69499999999999995</v>
      </c>
      <c r="H117" s="144">
        <v>0.67500000000000004</v>
      </c>
      <c r="I117" s="141">
        <v>0.67500000000000004</v>
      </c>
      <c r="J117" s="145">
        <v>0.65</v>
      </c>
      <c r="K117" s="144">
        <v>0.66500000000000004</v>
      </c>
      <c r="L117" s="144">
        <v>0.66500000000000004</v>
      </c>
      <c r="M117" s="144">
        <v>0.65</v>
      </c>
      <c r="N117" s="144">
        <v>0.69</v>
      </c>
      <c r="O117" s="141">
        <v>0.69499999999999995</v>
      </c>
      <c r="P117" s="145">
        <v>0.65500000000000003</v>
      </c>
      <c r="Q117" s="144">
        <v>0.67</v>
      </c>
      <c r="R117" s="144">
        <v>0.68500000000000005</v>
      </c>
      <c r="S117" s="144">
        <v>0.7</v>
      </c>
      <c r="T117" s="144">
        <v>0.66</v>
      </c>
      <c r="U117" s="141">
        <v>0.76</v>
      </c>
      <c r="V117" s="145">
        <v>0.66500000000000004</v>
      </c>
      <c r="W117" s="144">
        <v>0.66500000000000004</v>
      </c>
      <c r="X117" s="144">
        <v>0.66500000000000004</v>
      </c>
      <c r="Y117" s="144">
        <v>0.64500000000000002</v>
      </c>
      <c r="Z117" s="144">
        <v>0.7</v>
      </c>
      <c r="AA117" s="144">
        <v>0.65500000000000003</v>
      </c>
      <c r="AB117" s="143">
        <f>_xlfn.STDEV.P(D117:AA117)</f>
        <v>2.7458933984325667E-2</v>
      </c>
      <c r="AC117" s="146"/>
    </row>
    <row r="118" spans="1:29">
      <c r="A118" s="260"/>
      <c r="B118" s="147" t="s">
        <v>1814</v>
      </c>
      <c r="D118" s="148" t="s">
        <v>1796</v>
      </c>
      <c r="E118" s="148" t="s">
        <v>1796</v>
      </c>
      <c r="F118" s="148" t="s">
        <v>1794</v>
      </c>
      <c r="G118" s="148" t="s">
        <v>1796</v>
      </c>
      <c r="H118" s="148" t="s">
        <v>1796</v>
      </c>
      <c r="I118" s="149" t="s">
        <v>1796</v>
      </c>
      <c r="J118" s="150" t="s">
        <v>1796</v>
      </c>
      <c r="K118" s="148" t="s">
        <v>1795</v>
      </c>
      <c r="L118" s="148" t="s">
        <v>1796</v>
      </c>
      <c r="M118" s="148" t="s">
        <v>1803</v>
      </c>
      <c r="N118" s="148" t="s">
        <v>1803</v>
      </c>
      <c r="O118" s="149" t="s">
        <v>1796</v>
      </c>
      <c r="P118" s="150" t="s">
        <v>1796</v>
      </c>
      <c r="Q118" s="148" t="s">
        <v>1796</v>
      </c>
      <c r="R118" s="148" t="s">
        <v>1796</v>
      </c>
      <c r="S118" s="148" t="s">
        <v>1794</v>
      </c>
      <c r="T118" s="148" t="s">
        <v>1796</v>
      </c>
      <c r="U118" s="149" t="s">
        <v>1794</v>
      </c>
      <c r="V118" s="150" t="s">
        <v>1796</v>
      </c>
      <c r="W118" s="148" t="s">
        <v>1803</v>
      </c>
      <c r="X118" s="148" t="s">
        <v>1796</v>
      </c>
      <c r="Y118" s="148" t="s">
        <v>1803</v>
      </c>
      <c r="Z118" s="148" t="s">
        <v>1803</v>
      </c>
      <c r="AA118" s="148" t="s">
        <v>1795</v>
      </c>
      <c r="AC118" s="151" t="s">
        <v>1834</v>
      </c>
    </row>
    <row r="119" spans="1:29">
      <c r="A119" s="260"/>
      <c r="B119" s="126" t="s">
        <v>1835</v>
      </c>
      <c r="C119" s="127" t="s">
        <v>40</v>
      </c>
      <c r="D119" s="128">
        <v>0.6</v>
      </c>
      <c r="E119" s="128">
        <v>0.59499999999999997</v>
      </c>
      <c r="F119" s="128">
        <v>0.60499999999999998</v>
      </c>
      <c r="G119" s="128">
        <v>0.625</v>
      </c>
      <c r="H119" s="128">
        <v>0.59499999999999997</v>
      </c>
      <c r="I119" s="128">
        <v>0.57999999999999996</v>
      </c>
      <c r="J119" s="129">
        <v>0.59</v>
      </c>
      <c r="K119" s="128">
        <v>0.59499999999999997</v>
      </c>
      <c r="L119" s="128">
        <v>0.61</v>
      </c>
      <c r="M119" s="128">
        <v>0.58499999999999996</v>
      </c>
      <c r="N119" s="128">
        <v>0.57999999999999996</v>
      </c>
      <c r="O119" s="128">
        <v>0.56000000000000005</v>
      </c>
      <c r="P119" s="129">
        <v>0.57999999999999996</v>
      </c>
      <c r="Q119" s="128">
        <v>0.58499999999999996</v>
      </c>
      <c r="R119" s="128">
        <v>0.57999999999999996</v>
      </c>
      <c r="S119" s="128">
        <v>0.60499999999999998</v>
      </c>
      <c r="T119" s="128">
        <v>0.52500000000000002</v>
      </c>
      <c r="U119" s="128">
        <v>0.59</v>
      </c>
      <c r="V119" s="129">
        <v>0.57999999999999996</v>
      </c>
      <c r="W119" s="128">
        <v>0.60499999999999998</v>
      </c>
      <c r="X119" s="128">
        <v>0.62</v>
      </c>
      <c r="Y119" s="128">
        <v>0.625</v>
      </c>
      <c r="Z119" s="128">
        <v>0.54</v>
      </c>
      <c r="AA119" s="128">
        <v>0.67</v>
      </c>
      <c r="AB119" s="132">
        <f>_xlfn.STDEV.P(D119:AA119)</f>
        <v>2.8135800395383975E-2</v>
      </c>
      <c r="AC119" s="132"/>
    </row>
    <row r="120" spans="1:29">
      <c r="A120" s="260"/>
      <c r="B120" s="126"/>
      <c r="C120" s="127" t="s">
        <v>220</v>
      </c>
      <c r="D120" s="128">
        <v>1.0649999999999999</v>
      </c>
      <c r="E120" s="128">
        <v>1.06</v>
      </c>
      <c r="F120" s="128">
        <v>1.0649999999999999</v>
      </c>
      <c r="G120" s="128">
        <v>1.06</v>
      </c>
      <c r="H120" s="128">
        <v>1.0649999999999999</v>
      </c>
      <c r="I120" s="128">
        <v>1.0649999999999999</v>
      </c>
      <c r="J120" s="129">
        <v>1.0649999999999999</v>
      </c>
      <c r="K120" s="128">
        <v>1.06</v>
      </c>
      <c r="L120" s="128">
        <v>1.06</v>
      </c>
      <c r="M120" s="128">
        <v>1.06</v>
      </c>
      <c r="N120" s="128">
        <v>1.06</v>
      </c>
      <c r="O120" s="128">
        <v>1.0649999999999999</v>
      </c>
      <c r="P120" s="129">
        <v>1.06</v>
      </c>
      <c r="Q120" s="128">
        <v>1.0649999999999999</v>
      </c>
      <c r="R120" s="128">
        <v>1.0449999999999999</v>
      </c>
      <c r="S120" s="128">
        <v>1.0549999999999999</v>
      </c>
      <c r="T120" s="128">
        <v>1.1100000000000001</v>
      </c>
      <c r="U120" s="128">
        <v>1.07</v>
      </c>
      <c r="V120" s="129">
        <v>1.0649999999999999</v>
      </c>
      <c r="W120" s="128">
        <v>1.0549999999999999</v>
      </c>
      <c r="X120" s="128">
        <v>1.03</v>
      </c>
      <c r="Y120" s="128">
        <v>1.03</v>
      </c>
      <c r="Z120" s="128">
        <v>1.0900000000000001</v>
      </c>
      <c r="AA120" s="128">
        <v>1.0349999999999999</v>
      </c>
      <c r="AB120" s="132">
        <f>_xlfn.STDEV.P(D120:AA120)</f>
        <v>1.6308654825650793E-2</v>
      </c>
      <c r="AC120" s="132"/>
    </row>
    <row r="121" spans="1:29">
      <c r="A121" s="260"/>
      <c r="B121" s="126"/>
      <c r="C121" s="127" t="s">
        <v>221</v>
      </c>
      <c r="D121" s="133">
        <v>0.67</v>
      </c>
      <c r="E121" s="133">
        <v>0.66500000000000004</v>
      </c>
      <c r="F121" s="133">
        <v>0.65500000000000003</v>
      </c>
      <c r="G121" s="133">
        <v>0.65500000000000003</v>
      </c>
      <c r="H121" s="133">
        <v>0.68</v>
      </c>
      <c r="I121" s="128">
        <v>0.67</v>
      </c>
      <c r="J121" s="134">
        <v>0.66500000000000004</v>
      </c>
      <c r="K121" s="133">
        <v>0.66500000000000004</v>
      </c>
      <c r="L121" s="133">
        <v>0.73</v>
      </c>
      <c r="M121" s="133">
        <v>0.69</v>
      </c>
      <c r="N121" s="133">
        <v>0.69</v>
      </c>
      <c r="O121" s="128">
        <v>0.65</v>
      </c>
      <c r="P121" s="134">
        <v>0.66500000000000004</v>
      </c>
      <c r="Q121" s="133">
        <v>0.66500000000000004</v>
      </c>
      <c r="R121" s="133">
        <v>0.66500000000000004</v>
      </c>
      <c r="S121" s="133">
        <v>0.67500000000000004</v>
      </c>
      <c r="T121" s="133">
        <v>0.69499999999999995</v>
      </c>
      <c r="U121" s="128">
        <v>0.625</v>
      </c>
      <c r="V121" s="134">
        <v>0.66</v>
      </c>
      <c r="W121" s="133">
        <v>0.65500000000000003</v>
      </c>
      <c r="X121" s="133">
        <v>0.68</v>
      </c>
      <c r="Y121" s="133">
        <v>0.66500000000000004</v>
      </c>
      <c r="Z121" s="133">
        <v>0.65500000000000003</v>
      </c>
      <c r="AA121" s="133">
        <v>0.66500000000000004</v>
      </c>
      <c r="AB121" s="132">
        <f>_xlfn.STDEV.P(D121:AA121)</f>
        <v>1.9201734224340825E-2</v>
      </c>
      <c r="AC121" s="135"/>
    </row>
    <row r="122" spans="1:29">
      <c r="A122" s="260"/>
      <c r="B122" s="136" t="s">
        <v>1836</v>
      </c>
      <c r="C122" s="127"/>
      <c r="D122" s="137" t="s">
        <v>1794</v>
      </c>
      <c r="E122" s="137" t="s">
        <v>1794</v>
      </c>
      <c r="F122" s="137" t="s">
        <v>1794</v>
      </c>
      <c r="G122" s="137" t="s">
        <v>1794</v>
      </c>
      <c r="H122" s="137" t="s">
        <v>1794</v>
      </c>
      <c r="I122" s="138" t="s">
        <v>1794</v>
      </c>
      <c r="J122" s="139" t="s">
        <v>1794</v>
      </c>
      <c r="K122" s="137" t="s">
        <v>1794</v>
      </c>
      <c r="L122" s="137" t="s">
        <v>1794</v>
      </c>
      <c r="M122" s="137" t="s">
        <v>1794</v>
      </c>
      <c r="N122" s="137" t="s">
        <v>1794</v>
      </c>
      <c r="O122" s="138" t="s">
        <v>1794</v>
      </c>
      <c r="P122" s="139" t="s">
        <v>1794</v>
      </c>
      <c r="Q122" s="137" t="s">
        <v>1794</v>
      </c>
      <c r="R122" s="137" t="s">
        <v>1794</v>
      </c>
      <c r="S122" s="137" t="s">
        <v>1794</v>
      </c>
      <c r="T122" s="137" t="s">
        <v>1794</v>
      </c>
      <c r="U122" s="138" t="s">
        <v>1794</v>
      </c>
      <c r="V122" s="139" t="s">
        <v>1794</v>
      </c>
      <c r="W122" s="137" t="s">
        <v>1794</v>
      </c>
      <c r="X122" s="137" t="s">
        <v>1794</v>
      </c>
      <c r="Y122" s="137" t="s">
        <v>1794</v>
      </c>
      <c r="Z122" s="137" t="s">
        <v>1794</v>
      </c>
      <c r="AA122" s="137" t="s">
        <v>1794</v>
      </c>
      <c r="AB122" s="127"/>
      <c r="AC122" s="140" t="s">
        <v>1800</v>
      </c>
    </row>
    <row r="123" spans="1:29">
      <c r="A123" s="260"/>
      <c r="B123" t="s">
        <v>1837</v>
      </c>
      <c r="C123" t="s">
        <v>40</v>
      </c>
      <c r="D123" s="141">
        <v>0.56999999999999995</v>
      </c>
      <c r="E123" s="141">
        <v>0.57499999999999996</v>
      </c>
      <c r="F123" s="141">
        <v>0.57999999999999996</v>
      </c>
      <c r="G123" s="141">
        <v>0.59</v>
      </c>
      <c r="H123" s="141">
        <v>0.57999999999999996</v>
      </c>
      <c r="I123" s="141">
        <v>0.57999999999999996</v>
      </c>
      <c r="J123" s="142">
        <v>0.59</v>
      </c>
      <c r="K123" s="141">
        <v>0.57999999999999996</v>
      </c>
      <c r="L123" s="141">
        <v>0.57999999999999996</v>
      </c>
      <c r="M123" s="141">
        <v>0.58499999999999996</v>
      </c>
      <c r="N123" s="141">
        <v>0.58499999999999996</v>
      </c>
      <c r="O123" s="141">
        <v>0.58499999999999996</v>
      </c>
      <c r="P123" s="142">
        <v>0.58499999999999996</v>
      </c>
      <c r="Q123" s="141">
        <v>0.59499999999999997</v>
      </c>
      <c r="R123" s="141">
        <v>0.58499999999999996</v>
      </c>
      <c r="S123" s="141">
        <v>0.57999999999999996</v>
      </c>
      <c r="T123" s="141">
        <v>0.58499999999999996</v>
      </c>
      <c r="U123" s="141">
        <v>0.58499999999999996</v>
      </c>
      <c r="V123" s="142">
        <v>0.59499999999999997</v>
      </c>
      <c r="W123" s="141">
        <v>0.58499999999999996</v>
      </c>
      <c r="X123" s="141">
        <v>0.58499999999999996</v>
      </c>
      <c r="Y123" s="141">
        <v>0.59499999999999997</v>
      </c>
      <c r="Z123" s="141">
        <v>0.57999999999999996</v>
      </c>
      <c r="AA123" s="141">
        <v>0.57499999999999996</v>
      </c>
      <c r="AB123" s="143">
        <f>_xlfn.STDEV.P(D123:AA123)</f>
        <v>6.1661035778953132E-3</v>
      </c>
      <c r="AC123" s="143"/>
    </row>
    <row r="124" spans="1:29">
      <c r="A124" s="260"/>
      <c r="C124" t="s">
        <v>220</v>
      </c>
      <c r="D124" s="141">
        <v>1.0649999999999999</v>
      </c>
      <c r="E124" s="141">
        <v>1.0649999999999999</v>
      </c>
      <c r="F124" s="141">
        <v>1.0649999999999999</v>
      </c>
      <c r="G124" s="141">
        <v>1.0649999999999999</v>
      </c>
      <c r="H124" s="141">
        <v>1.0649999999999999</v>
      </c>
      <c r="I124" s="141">
        <v>1.06</v>
      </c>
      <c r="J124" s="142">
        <v>1.0649999999999999</v>
      </c>
      <c r="K124" s="141">
        <v>1.0649999999999999</v>
      </c>
      <c r="L124" s="141">
        <v>1.06</v>
      </c>
      <c r="M124" s="141">
        <v>1.06</v>
      </c>
      <c r="N124" s="141">
        <v>1.0649999999999999</v>
      </c>
      <c r="O124" s="141">
        <v>1.06</v>
      </c>
      <c r="P124" s="142">
        <v>1.06</v>
      </c>
      <c r="Q124" s="141">
        <v>1.0649999999999999</v>
      </c>
      <c r="R124" s="141">
        <v>1.0649999999999999</v>
      </c>
      <c r="S124" s="141">
        <v>1.0649999999999999</v>
      </c>
      <c r="T124" s="141">
        <v>1.0649999999999999</v>
      </c>
      <c r="U124" s="141">
        <v>1.0649999999999999</v>
      </c>
      <c r="V124" s="142">
        <v>1.0649999999999999</v>
      </c>
      <c r="W124" s="141">
        <v>1.0649999999999999</v>
      </c>
      <c r="X124" s="141">
        <v>1.0649999999999999</v>
      </c>
      <c r="Y124" s="141">
        <v>1.0649999999999999</v>
      </c>
      <c r="Z124" s="141">
        <v>1.0649999999999999</v>
      </c>
      <c r="AA124" s="141">
        <v>1.0649999999999999</v>
      </c>
      <c r="AB124" s="143">
        <f>_xlfn.STDEV.P(D124:AA124)</f>
        <v>2.0305821551684909E-3</v>
      </c>
      <c r="AC124" s="143"/>
    </row>
    <row r="125" spans="1:29">
      <c r="A125" s="260"/>
      <c r="C125" t="s">
        <v>221</v>
      </c>
      <c r="D125" s="144">
        <v>0.68500000000000005</v>
      </c>
      <c r="E125" s="144">
        <v>0.68</v>
      </c>
      <c r="F125" s="144">
        <v>0.69</v>
      </c>
      <c r="G125" s="144">
        <v>0.69499999999999995</v>
      </c>
      <c r="H125" s="144">
        <v>0.69</v>
      </c>
      <c r="I125" s="141">
        <v>0.68</v>
      </c>
      <c r="J125" s="145">
        <v>0.67500000000000004</v>
      </c>
      <c r="K125" s="144">
        <v>0.67</v>
      </c>
      <c r="L125" s="144">
        <v>0.67</v>
      </c>
      <c r="M125" s="144">
        <v>0.67500000000000004</v>
      </c>
      <c r="N125" s="144">
        <v>0.67500000000000004</v>
      </c>
      <c r="O125" s="141">
        <v>0.67</v>
      </c>
      <c r="P125" s="145">
        <v>0.67</v>
      </c>
      <c r="Q125" s="144">
        <v>0.66</v>
      </c>
      <c r="R125" s="144">
        <v>0.67500000000000004</v>
      </c>
      <c r="S125" s="144">
        <v>0.67</v>
      </c>
      <c r="T125" s="144">
        <v>0.66500000000000004</v>
      </c>
      <c r="U125" s="141">
        <v>0.67</v>
      </c>
      <c r="V125" s="145">
        <v>0.67</v>
      </c>
      <c r="W125" s="144">
        <v>0.67500000000000004</v>
      </c>
      <c r="X125" s="144">
        <v>0.66500000000000004</v>
      </c>
      <c r="Y125" s="144">
        <v>0.69</v>
      </c>
      <c r="Z125" s="144">
        <v>0.67500000000000004</v>
      </c>
      <c r="AA125" s="144">
        <v>0.68500000000000005</v>
      </c>
      <c r="AB125" s="143">
        <f>_xlfn.STDEV.P(D125:AA125)</f>
        <v>8.8951258500871398E-3</v>
      </c>
      <c r="AC125" s="146"/>
    </row>
    <row r="126" spans="1:29">
      <c r="A126" s="260"/>
      <c r="B126" s="147" t="s">
        <v>1838</v>
      </c>
      <c r="D126" s="148" t="s">
        <v>1794</v>
      </c>
      <c r="E126" s="148" t="s">
        <v>1794</v>
      </c>
      <c r="F126" s="148" t="s">
        <v>1794</v>
      </c>
      <c r="G126" s="148" t="s">
        <v>1794</v>
      </c>
      <c r="H126" s="148" t="s">
        <v>1794</v>
      </c>
      <c r="I126" s="149" t="s">
        <v>1794</v>
      </c>
      <c r="J126" s="150" t="s">
        <v>1794</v>
      </c>
      <c r="K126" s="148" t="s">
        <v>1794</v>
      </c>
      <c r="L126" s="148" t="s">
        <v>1794</v>
      </c>
      <c r="M126" s="148" t="s">
        <v>1794</v>
      </c>
      <c r="N126" s="148" t="s">
        <v>1794</v>
      </c>
      <c r="O126" s="149" t="s">
        <v>1794</v>
      </c>
      <c r="P126" s="150" t="s">
        <v>1794</v>
      </c>
      <c r="Q126" s="148" t="s">
        <v>1794</v>
      </c>
      <c r="R126" s="148" t="s">
        <v>1794</v>
      </c>
      <c r="S126" s="148" t="s">
        <v>1794</v>
      </c>
      <c r="T126" s="148" t="s">
        <v>1794</v>
      </c>
      <c r="U126" s="149" t="s">
        <v>1794</v>
      </c>
      <c r="V126" s="150" t="s">
        <v>1794</v>
      </c>
      <c r="W126" s="148" t="s">
        <v>1794</v>
      </c>
      <c r="X126" s="148" t="s">
        <v>1794</v>
      </c>
      <c r="Y126" s="148" t="s">
        <v>1794</v>
      </c>
      <c r="Z126" s="148" t="s">
        <v>1794</v>
      </c>
      <c r="AA126" s="148" t="s">
        <v>1794</v>
      </c>
      <c r="AC126" s="151" t="s">
        <v>1800</v>
      </c>
    </row>
    <row r="127" spans="1:29">
      <c r="A127" s="260"/>
      <c r="B127" t="s">
        <v>1839</v>
      </c>
      <c r="C127" t="s">
        <v>40</v>
      </c>
      <c r="D127" s="141">
        <v>0.59499999999999997</v>
      </c>
      <c r="E127" s="141">
        <v>0.6</v>
      </c>
      <c r="F127" s="141">
        <v>0.56999999999999995</v>
      </c>
      <c r="G127" s="141">
        <v>0.59499999999999997</v>
      </c>
      <c r="H127" s="141">
        <v>0.56000000000000005</v>
      </c>
      <c r="I127" s="141">
        <v>0.62</v>
      </c>
      <c r="J127" s="142">
        <v>0.6</v>
      </c>
      <c r="K127" s="141">
        <v>0.59</v>
      </c>
      <c r="L127" s="141">
        <v>0.61</v>
      </c>
      <c r="M127" s="141">
        <v>0.62</v>
      </c>
      <c r="N127" s="141">
        <v>0.64</v>
      </c>
      <c r="O127" s="141">
        <v>0.58499999999999996</v>
      </c>
      <c r="P127" s="142">
        <v>0.57999999999999996</v>
      </c>
      <c r="Q127" s="141">
        <v>0.58499999999999996</v>
      </c>
      <c r="R127" s="141">
        <v>0.61</v>
      </c>
      <c r="S127" s="141">
        <v>0.59499999999999997</v>
      </c>
      <c r="T127" s="141">
        <v>0.59499999999999997</v>
      </c>
      <c r="U127" s="141">
        <v>0.57999999999999996</v>
      </c>
      <c r="V127" s="142">
        <v>0.57499999999999996</v>
      </c>
      <c r="W127" s="141">
        <v>0.56499999999999995</v>
      </c>
      <c r="X127" s="141">
        <v>0.61</v>
      </c>
      <c r="Y127" s="141">
        <v>0.55500000000000005</v>
      </c>
      <c r="Z127" s="141">
        <v>0.61</v>
      </c>
      <c r="AA127" s="141">
        <v>0.57499999999999996</v>
      </c>
      <c r="AB127" s="143">
        <f>_xlfn.STDEV.P(D127:AA127)</f>
        <v>2.0310096011589902E-2</v>
      </c>
      <c r="AC127" s="143"/>
    </row>
    <row r="128" spans="1:29">
      <c r="A128" s="260"/>
      <c r="C128" t="s">
        <v>220</v>
      </c>
      <c r="D128" s="141">
        <v>1.0649999999999999</v>
      </c>
      <c r="E128" s="141">
        <v>1.0649999999999999</v>
      </c>
      <c r="F128" s="141">
        <v>1.075</v>
      </c>
      <c r="G128" s="141">
        <v>1.06</v>
      </c>
      <c r="H128" s="141">
        <v>1.075</v>
      </c>
      <c r="I128" s="141">
        <v>1.07</v>
      </c>
      <c r="J128" s="142">
        <v>1.0649999999999999</v>
      </c>
      <c r="K128" s="141">
        <v>1.07</v>
      </c>
      <c r="L128" s="141">
        <v>1.07</v>
      </c>
      <c r="M128" s="141">
        <v>1.075</v>
      </c>
      <c r="N128" s="141">
        <v>1.0249999999999999</v>
      </c>
      <c r="O128" s="141">
        <v>1.07</v>
      </c>
      <c r="P128" s="142">
        <v>1.06</v>
      </c>
      <c r="Q128" s="141">
        <v>1.07</v>
      </c>
      <c r="R128" s="141">
        <v>1.03</v>
      </c>
      <c r="S128" s="141">
        <v>1.075</v>
      </c>
      <c r="T128" s="141">
        <v>1.075</v>
      </c>
      <c r="U128" s="141">
        <v>1.0649999999999999</v>
      </c>
      <c r="V128" s="142">
        <v>1.0649999999999999</v>
      </c>
      <c r="W128" s="141">
        <v>1.07</v>
      </c>
      <c r="X128" s="141">
        <v>1.06</v>
      </c>
      <c r="Y128" s="141">
        <v>1.095</v>
      </c>
      <c r="Z128" s="141">
        <v>1.05</v>
      </c>
      <c r="AA128" s="141">
        <v>1.05</v>
      </c>
      <c r="AB128" s="143">
        <f>_xlfn.STDEV.P(D128:AA128)</f>
        <v>1.428261375083551E-2</v>
      </c>
      <c r="AC128" s="143"/>
    </row>
    <row r="129" spans="1:29">
      <c r="A129" s="260"/>
      <c r="C129" t="s">
        <v>221</v>
      </c>
      <c r="D129" s="144">
        <v>0.68</v>
      </c>
      <c r="E129" s="144">
        <v>0.67500000000000004</v>
      </c>
      <c r="F129" s="144">
        <v>0.66500000000000004</v>
      </c>
      <c r="G129" s="144">
        <v>0.66</v>
      </c>
      <c r="H129" s="144">
        <v>0.67</v>
      </c>
      <c r="I129" s="141">
        <v>0.66500000000000004</v>
      </c>
      <c r="J129" s="145">
        <v>0.66500000000000004</v>
      </c>
      <c r="K129" s="144">
        <v>0.66</v>
      </c>
      <c r="L129" s="144">
        <v>0.66500000000000004</v>
      </c>
      <c r="M129" s="144">
        <v>0.68500000000000005</v>
      </c>
      <c r="N129" s="144">
        <v>0.65500000000000003</v>
      </c>
      <c r="O129" s="141">
        <v>0.65</v>
      </c>
      <c r="P129" s="145">
        <v>0.65</v>
      </c>
      <c r="Q129" s="144">
        <v>0.66</v>
      </c>
      <c r="R129" s="144">
        <v>0.66500000000000004</v>
      </c>
      <c r="S129" s="144">
        <v>0.64500000000000002</v>
      </c>
      <c r="T129" s="144">
        <v>0.64500000000000002</v>
      </c>
      <c r="U129" s="141">
        <v>0.68</v>
      </c>
      <c r="V129" s="145">
        <v>0.65500000000000003</v>
      </c>
      <c r="W129" s="144">
        <v>0.67500000000000004</v>
      </c>
      <c r="X129" s="144">
        <v>0.67500000000000004</v>
      </c>
      <c r="Y129" s="144">
        <v>0.64</v>
      </c>
      <c r="Z129" s="144">
        <v>0.65</v>
      </c>
      <c r="AA129" s="144">
        <v>0.65</v>
      </c>
      <c r="AB129" s="143">
        <f>_xlfn.STDEV.P(D129:AA129)</f>
        <v>1.2146029872623684E-2</v>
      </c>
      <c r="AC129" s="146"/>
    </row>
    <row r="130" spans="1:29">
      <c r="A130" s="260"/>
      <c r="B130" s="147" t="s">
        <v>1840</v>
      </c>
      <c r="D130" s="148" t="s">
        <v>1794</v>
      </c>
      <c r="E130" s="148" t="s">
        <v>1796</v>
      </c>
      <c r="F130" s="148" t="s">
        <v>1796</v>
      </c>
      <c r="G130" s="148" t="s">
        <v>1796</v>
      </c>
      <c r="H130" s="148" t="s">
        <v>1796</v>
      </c>
      <c r="I130" s="149" t="s">
        <v>1796</v>
      </c>
      <c r="J130" s="150" t="s">
        <v>1794</v>
      </c>
      <c r="K130" s="148" t="s">
        <v>1796</v>
      </c>
      <c r="L130" s="148" t="s">
        <v>1796</v>
      </c>
      <c r="M130" s="148" t="s">
        <v>1796</v>
      </c>
      <c r="N130" s="148" t="s">
        <v>1794</v>
      </c>
      <c r="O130" s="149" t="s">
        <v>1796</v>
      </c>
      <c r="P130" s="150" t="s">
        <v>1794</v>
      </c>
      <c r="Q130" s="148" t="s">
        <v>1796</v>
      </c>
      <c r="R130" s="148" t="s">
        <v>1796</v>
      </c>
      <c r="S130" s="148" t="s">
        <v>1796</v>
      </c>
      <c r="T130" s="148" t="s">
        <v>1796</v>
      </c>
      <c r="U130" s="149" t="s">
        <v>1794</v>
      </c>
      <c r="V130" s="150" t="s">
        <v>1796</v>
      </c>
      <c r="W130" s="148" t="s">
        <v>1803</v>
      </c>
      <c r="X130" s="148" t="s">
        <v>1796</v>
      </c>
      <c r="Y130" s="148" t="s">
        <v>1795</v>
      </c>
      <c r="Z130" s="148" t="s">
        <v>1803</v>
      </c>
      <c r="AA130" s="148" t="s">
        <v>1796</v>
      </c>
      <c r="AC130" s="151" t="s">
        <v>1841</v>
      </c>
    </row>
    <row r="131" spans="1:29">
      <c r="A131" s="260"/>
      <c r="B131" t="s">
        <v>1842</v>
      </c>
      <c r="C131" t="s">
        <v>40</v>
      </c>
      <c r="D131" s="141">
        <v>0.59499999999999997</v>
      </c>
      <c r="E131" s="141">
        <v>0.6</v>
      </c>
      <c r="F131" s="141">
        <v>0.6</v>
      </c>
      <c r="G131" s="141">
        <v>0.57499999999999996</v>
      </c>
      <c r="H131" s="141">
        <v>0.57499999999999996</v>
      </c>
      <c r="I131" s="141">
        <v>0.59499999999999997</v>
      </c>
      <c r="J131" s="142">
        <v>0.56999999999999995</v>
      </c>
      <c r="K131" s="141">
        <v>0.59</v>
      </c>
      <c r="L131" s="141">
        <v>0.59499999999999997</v>
      </c>
      <c r="M131" s="141">
        <v>0.60499999999999998</v>
      </c>
      <c r="N131" s="141">
        <v>0.55500000000000005</v>
      </c>
      <c r="O131" s="141">
        <v>0.59499999999999997</v>
      </c>
      <c r="P131" s="142">
        <v>0.56000000000000005</v>
      </c>
      <c r="Q131" s="141">
        <v>0.58499999999999996</v>
      </c>
      <c r="R131" s="141">
        <v>0.54500000000000004</v>
      </c>
      <c r="S131" s="141">
        <v>0.59</v>
      </c>
      <c r="T131" s="141">
        <v>0.58499999999999996</v>
      </c>
      <c r="U131" s="141">
        <v>0.56000000000000005</v>
      </c>
      <c r="V131" s="142">
        <v>0.62</v>
      </c>
      <c r="W131" s="141">
        <v>0.58499999999999996</v>
      </c>
      <c r="X131" s="141">
        <v>0.57999999999999996</v>
      </c>
      <c r="Y131" s="141">
        <v>0.56999999999999995</v>
      </c>
      <c r="Z131" s="141">
        <v>0.71</v>
      </c>
      <c r="AA131" s="141">
        <v>0.51</v>
      </c>
      <c r="AB131" s="143">
        <f>_xlfn.STDEV.P(D131:AA131)</f>
        <v>3.4275740530131334E-2</v>
      </c>
      <c r="AC131" s="143"/>
    </row>
    <row r="132" spans="1:29">
      <c r="A132" s="260"/>
      <c r="C132" t="s">
        <v>220</v>
      </c>
      <c r="D132" s="141">
        <v>1.0649999999999999</v>
      </c>
      <c r="E132" s="141">
        <v>1.06</v>
      </c>
      <c r="F132" s="141">
        <v>1.0649999999999999</v>
      </c>
      <c r="G132" s="141">
        <v>1.06</v>
      </c>
      <c r="H132" s="141">
        <v>1.075</v>
      </c>
      <c r="I132" s="141">
        <v>1.0649999999999999</v>
      </c>
      <c r="J132" s="142">
        <v>1.07</v>
      </c>
      <c r="K132" s="141">
        <v>1.0649999999999999</v>
      </c>
      <c r="L132" s="141">
        <v>1.06</v>
      </c>
      <c r="M132" s="141">
        <v>1.0649999999999999</v>
      </c>
      <c r="N132" s="141">
        <v>1.105</v>
      </c>
      <c r="O132" s="141">
        <v>1.0649999999999999</v>
      </c>
      <c r="P132" s="142">
        <v>1.08</v>
      </c>
      <c r="Q132" s="141">
        <v>1.0649999999999999</v>
      </c>
      <c r="R132" s="141">
        <v>1.095</v>
      </c>
      <c r="S132" s="141">
        <v>1.08</v>
      </c>
      <c r="T132" s="141">
        <v>1.07</v>
      </c>
      <c r="U132" s="141">
        <v>1.0549999999999999</v>
      </c>
      <c r="V132" s="142">
        <v>1.1100000000000001</v>
      </c>
      <c r="W132" s="141">
        <v>1.0900000000000001</v>
      </c>
      <c r="X132" s="141">
        <v>1.08</v>
      </c>
      <c r="Y132" s="141">
        <v>1.07</v>
      </c>
      <c r="Z132" s="141">
        <v>1.02</v>
      </c>
      <c r="AA132" s="141">
        <v>1.0900000000000001</v>
      </c>
      <c r="AB132" s="143">
        <f>_xlfn.STDEV.P(D132:AA132)</f>
        <v>1.7900913617280374E-2</v>
      </c>
      <c r="AC132" s="143"/>
    </row>
    <row r="133" spans="1:29">
      <c r="A133" s="260"/>
      <c r="C133" t="s">
        <v>221</v>
      </c>
      <c r="D133" s="144">
        <v>0.68</v>
      </c>
      <c r="E133" s="144">
        <v>0.68500000000000005</v>
      </c>
      <c r="F133" s="144">
        <v>0.69</v>
      </c>
      <c r="G133" s="144">
        <v>0.69499999999999995</v>
      </c>
      <c r="H133" s="144">
        <v>0.69499999999999995</v>
      </c>
      <c r="I133" s="141">
        <v>0.66500000000000004</v>
      </c>
      <c r="J133" s="145">
        <v>0.70499999999999996</v>
      </c>
      <c r="K133" s="144">
        <v>0.66</v>
      </c>
      <c r="L133" s="144">
        <v>0.7</v>
      </c>
      <c r="M133" s="144">
        <v>0.67500000000000004</v>
      </c>
      <c r="N133" s="144">
        <v>0.69499999999999995</v>
      </c>
      <c r="O133" s="141">
        <v>0.68</v>
      </c>
      <c r="P133" s="145">
        <v>0.7</v>
      </c>
      <c r="Q133" s="144">
        <v>0.67500000000000004</v>
      </c>
      <c r="R133" s="144">
        <v>0.65</v>
      </c>
      <c r="S133" s="144">
        <v>0.68500000000000005</v>
      </c>
      <c r="T133" s="144">
        <v>0.68500000000000005</v>
      </c>
      <c r="U133" s="141">
        <v>0.68</v>
      </c>
      <c r="V133" s="145">
        <v>0.7</v>
      </c>
      <c r="W133" s="144">
        <v>0.67</v>
      </c>
      <c r="X133" s="144">
        <v>0.68</v>
      </c>
      <c r="Y133" s="144">
        <v>0.64</v>
      </c>
      <c r="Z133" s="144">
        <v>0.65500000000000003</v>
      </c>
      <c r="AA133" s="144">
        <v>0.67</v>
      </c>
      <c r="AB133" s="143">
        <f>_xlfn.STDEV.P(D133:AA133)</f>
        <v>1.6675778759093124E-2</v>
      </c>
      <c r="AC133" s="146"/>
    </row>
    <row r="134" spans="1:29">
      <c r="A134" s="260"/>
      <c r="B134" s="147" t="s">
        <v>1843</v>
      </c>
      <c r="D134" s="148" t="s">
        <v>1796</v>
      </c>
      <c r="E134" s="148" t="s">
        <v>1796</v>
      </c>
      <c r="F134" s="148" t="s">
        <v>1796</v>
      </c>
      <c r="G134" s="148" t="s">
        <v>1796</v>
      </c>
      <c r="H134" s="148" t="s">
        <v>1796</v>
      </c>
      <c r="I134" s="149" t="s">
        <v>1796</v>
      </c>
      <c r="J134" s="150" t="s">
        <v>1796</v>
      </c>
      <c r="K134" s="148" t="s">
        <v>1794</v>
      </c>
      <c r="L134" s="148" t="s">
        <v>1796</v>
      </c>
      <c r="M134" s="148" t="s">
        <v>1796</v>
      </c>
      <c r="N134" s="148" t="s">
        <v>1795</v>
      </c>
      <c r="O134" s="149" t="s">
        <v>1795</v>
      </c>
      <c r="P134" s="150" t="s">
        <v>1796</v>
      </c>
      <c r="Q134" s="148" t="s">
        <v>1796</v>
      </c>
      <c r="R134" s="148" t="s">
        <v>1796</v>
      </c>
      <c r="S134" s="148" t="s">
        <v>1794</v>
      </c>
      <c r="T134" s="148" t="s">
        <v>1794</v>
      </c>
      <c r="U134" s="149" t="s">
        <v>1796</v>
      </c>
      <c r="V134" s="150" t="s">
        <v>1794</v>
      </c>
      <c r="W134" s="148" t="s">
        <v>1803</v>
      </c>
      <c r="X134" s="148" t="s">
        <v>1794</v>
      </c>
      <c r="Y134" s="148" t="s">
        <v>1794</v>
      </c>
      <c r="Z134" s="148" t="s">
        <v>1794</v>
      </c>
      <c r="AA134" s="148" t="s">
        <v>1796</v>
      </c>
      <c r="AC134" s="151" t="s">
        <v>1844</v>
      </c>
    </row>
    <row r="135" spans="1:29">
      <c r="A135" s="260"/>
      <c r="B135" t="s">
        <v>1845</v>
      </c>
      <c r="C135" t="s">
        <v>40</v>
      </c>
      <c r="D135" s="141">
        <v>0.62</v>
      </c>
      <c r="E135" s="141">
        <v>0.58499999999999996</v>
      </c>
      <c r="F135" s="141">
        <v>0.6</v>
      </c>
      <c r="G135" s="141">
        <v>0.57999999999999996</v>
      </c>
      <c r="H135" s="141">
        <v>0.60499999999999998</v>
      </c>
      <c r="I135" s="141">
        <v>0.6</v>
      </c>
      <c r="J135" s="142">
        <v>0.58499999999999996</v>
      </c>
      <c r="K135" s="141">
        <v>0.59499999999999997</v>
      </c>
      <c r="L135" s="141">
        <v>0.59</v>
      </c>
      <c r="M135" s="141">
        <v>0.625</v>
      </c>
      <c r="N135" s="141">
        <v>0.58499999999999996</v>
      </c>
      <c r="O135" s="141">
        <v>0.56000000000000005</v>
      </c>
      <c r="P135" s="142">
        <v>0.58499999999999996</v>
      </c>
      <c r="Q135" s="141">
        <v>0.59499999999999997</v>
      </c>
      <c r="R135" s="141">
        <v>0.61499999999999999</v>
      </c>
      <c r="S135" s="141">
        <v>0.57499999999999996</v>
      </c>
      <c r="T135" s="141">
        <v>0.56999999999999995</v>
      </c>
      <c r="U135" s="141">
        <v>0.57999999999999996</v>
      </c>
      <c r="V135" s="142">
        <v>0.58499999999999996</v>
      </c>
      <c r="W135" s="141">
        <v>0.58499999999999996</v>
      </c>
      <c r="X135" s="141">
        <v>0.625</v>
      </c>
      <c r="Y135" s="141">
        <v>0.59</v>
      </c>
      <c r="Z135" s="141">
        <v>0.56999999999999995</v>
      </c>
      <c r="AA135" s="141">
        <v>0.53500000000000003</v>
      </c>
      <c r="AB135" s="143">
        <f>_xlfn.STDEV.P(D135:AA135)</f>
        <v>2.0138409955990953E-2</v>
      </c>
      <c r="AC135" s="143"/>
    </row>
    <row r="136" spans="1:29">
      <c r="A136" s="260"/>
      <c r="C136" t="s">
        <v>220</v>
      </c>
      <c r="D136" s="141">
        <v>1.06</v>
      </c>
      <c r="E136" s="141">
        <v>1.07</v>
      </c>
      <c r="F136" s="141">
        <v>1.05</v>
      </c>
      <c r="G136" s="141">
        <v>1.0549999999999999</v>
      </c>
      <c r="H136" s="141">
        <v>1.07</v>
      </c>
      <c r="I136" s="141">
        <v>1.07</v>
      </c>
      <c r="J136" s="142">
        <v>1.0649999999999999</v>
      </c>
      <c r="K136" s="141">
        <v>1.06</v>
      </c>
      <c r="L136" s="141">
        <v>1.06</v>
      </c>
      <c r="M136" s="141">
        <v>1.075</v>
      </c>
      <c r="N136" s="141">
        <v>1.07</v>
      </c>
      <c r="O136" s="141">
        <v>1.08</v>
      </c>
      <c r="P136" s="142">
        <v>1.075</v>
      </c>
      <c r="Q136" s="141">
        <v>1.07</v>
      </c>
      <c r="R136" s="141">
        <v>1.0649999999999999</v>
      </c>
      <c r="S136" s="141">
        <v>1.0549999999999999</v>
      </c>
      <c r="T136" s="141">
        <v>1.0649999999999999</v>
      </c>
      <c r="U136" s="141">
        <v>1.06</v>
      </c>
      <c r="V136" s="142">
        <v>1.07</v>
      </c>
      <c r="W136" s="141">
        <v>1.07</v>
      </c>
      <c r="X136" s="141">
        <v>1.05</v>
      </c>
      <c r="Y136" s="141">
        <v>1.06</v>
      </c>
      <c r="Z136" s="141">
        <v>1.085</v>
      </c>
      <c r="AA136" s="141">
        <v>1.08</v>
      </c>
      <c r="AB136" s="143">
        <f>_xlfn.STDEV.P(D136:AA136)</f>
        <v>9.0427226725877975E-3</v>
      </c>
      <c r="AC136" s="143"/>
    </row>
    <row r="137" spans="1:29">
      <c r="A137" s="260"/>
      <c r="C137" t="s">
        <v>221</v>
      </c>
      <c r="D137" s="144">
        <v>0.65500000000000003</v>
      </c>
      <c r="E137" s="144">
        <v>0.69</v>
      </c>
      <c r="F137" s="144">
        <v>0.64500000000000002</v>
      </c>
      <c r="G137" s="144">
        <v>0.68500000000000005</v>
      </c>
      <c r="H137" s="144">
        <v>0.67500000000000004</v>
      </c>
      <c r="I137" s="141">
        <v>0.66</v>
      </c>
      <c r="J137" s="145">
        <v>0.67</v>
      </c>
      <c r="K137" s="144">
        <v>0.68</v>
      </c>
      <c r="L137" s="144">
        <v>0.66</v>
      </c>
      <c r="M137" s="144">
        <v>0.65500000000000003</v>
      </c>
      <c r="N137" s="144">
        <v>0.69</v>
      </c>
      <c r="O137" s="141">
        <v>0.68500000000000005</v>
      </c>
      <c r="P137" s="145">
        <v>0.68500000000000005</v>
      </c>
      <c r="Q137" s="144">
        <v>0.64500000000000002</v>
      </c>
      <c r="R137" s="144">
        <v>0.64</v>
      </c>
      <c r="S137" s="144">
        <v>0.70499999999999996</v>
      </c>
      <c r="T137" s="144">
        <v>0.66</v>
      </c>
      <c r="U137" s="141">
        <v>0.65</v>
      </c>
      <c r="V137" s="145">
        <v>0.66500000000000004</v>
      </c>
      <c r="W137" s="144">
        <v>0.66500000000000004</v>
      </c>
      <c r="X137" s="144">
        <v>0.69</v>
      </c>
      <c r="Y137" s="144">
        <v>0.67500000000000004</v>
      </c>
      <c r="Z137" s="144">
        <v>0.67500000000000004</v>
      </c>
      <c r="AA137" s="144">
        <v>0.68500000000000005</v>
      </c>
      <c r="AB137" s="143">
        <f>_xlfn.STDEV.P(D137:AA137)</f>
        <v>1.6889140166259361E-2</v>
      </c>
      <c r="AC137" s="146"/>
    </row>
    <row r="138" spans="1:29">
      <c r="A138" s="260"/>
      <c r="B138" s="147" t="s">
        <v>1846</v>
      </c>
      <c r="D138" s="148" t="s">
        <v>1796</v>
      </c>
      <c r="E138" s="148" t="s">
        <v>1796</v>
      </c>
      <c r="F138" s="148" t="s">
        <v>1796</v>
      </c>
      <c r="G138" s="148" t="s">
        <v>1796</v>
      </c>
      <c r="H138" s="148" t="s">
        <v>1796</v>
      </c>
      <c r="I138" s="149" t="s">
        <v>1796</v>
      </c>
      <c r="J138" s="150" t="s">
        <v>1794</v>
      </c>
      <c r="K138" s="148" t="s">
        <v>1803</v>
      </c>
      <c r="L138" s="148" t="s">
        <v>1796</v>
      </c>
      <c r="M138" s="148" t="s">
        <v>1796</v>
      </c>
      <c r="N138" s="148" t="s">
        <v>1803</v>
      </c>
      <c r="O138" s="149" t="s">
        <v>1803</v>
      </c>
      <c r="P138" s="150" t="s">
        <v>1796</v>
      </c>
      <c r="Q138" s="148" t="s">
        <v>1796</v>
      </c>
      <c r="R138" s="148" t="s">
        <v>1796</v>
      </c>
      <c r="S138" s="148" t="s">
        <v>1794</v>
      </c>
      <c r="T138" s="148" t="s">
        <v>1796</v>
      </c>
      <c r="U138" s="149" t="s">
        <v>1796</v>
      </c>
      <c r="V138" s="150" t="s">
        <v>1796</v>
      </c>
      <c r="W138" s="148" t="s">
        <v>1796</v>
      </c>
      <c r="X138" s="148" t="s">
        <v>1796</v>
      </c>
      <c r="Y138" s="148" t="s">
        <v>1795</v>
      </c>
      <c r="Z138" s="148" t="s">
        <v>1795</v>
      </c>
      <c r="AA138" s="148" t="s">
        <v>1794</v>
      </c>
      <c r="AC138" s="151" t="s">
        <v>1847</v>
      </c>
    </row>
    <row r="139" spans="1:29">
      <c r="A139" s="260"/>
      <c r="B139" t="s">
        <v>1848</v>
      </c>
      <c r="C139" t="s">
        <v>40</v>
      </c>
      <c r="D139" s="141">
        <v>0.6</v>
      </c>
      <c r="E139" s="141">
        <v>0.61499999999999999</v>
      </c>
      <c r="F139" s="141">
        <v>0.63</v>
      </c>
      <c r="G139" s="141">
        <v>0.625</v>
      </c>
      <c r="H139" s="141">
        <v>0.53500000000000003</v>
      </c>
      <c r="I139" s="141">
        <v>0.59499999999999997</v>
      </c>
      <c r="J139" s="142">
        <v>0.59499999999999997</v>
      </c>
      <c r="K139" s="141">
        <v>0.59499999999999997</v>
      </c>
      <c r="L139" s="141">
        <v>0.59499999999999997</v>
      </c>
      <c r="M139" s="141">
        <v>0.57999999999999996</v>
      </c>
      <c r="N139" s="141">
        <v>0.58499999999999996</v>
      </c>
      <c r="O139" s="141">
        <v>0.52500000000000002</v>
      </c>
      <c r="P139" s="142">
        <v>0.56499999999999995</v>
      </c>
      <c r="Q139" s="141">
        <v>0.57999999999999996</v>
      </c>
      <c r="R139" s="141">
        <v>0.57499999999999996</v>
      </c>
      <c r="S139" s="141">
        <v>0.57999999999999996</v>
      </c>
      <c r="T139" s="141">
        <v>0.56999999999999995</v>
      </c>
      <c r="U139" s="141">
        <v>0.56999999999999995</v>
      </c>
      <c r="V139" s="142">
        <v>0.56999999999999995</v>
      </c>
      <c r="W139" s="141">
        <v>0.6</v>
      </c>
      <c r="X139" s="141">
        <v>0.62</v>
      </c>
      <c r="Y139" s="141">
        <v>0.57499999999999996</v>
      </c>
      <c r="Z139" s="141">
        <v>0.65</v>
      </c>
      <c r="AA139" s="141">
        <v>0.58499999999999996</v>
      </c>
      <c r="AB139" s="143">
        <f>_xlfn.STDEV.P(D139:AA139)</f>
        <v>2.7417014942063504E-2</v>
      </c>
      <c r="AC139" s="143"/>
    </row>
    <row r="140" spans="1:29">
      <c r="A140" s="260"/>
      <c r="C140" t="s">
        <v>220</v>
      </c>
      <c r="D140" s="141">
        <v>1.0649999999999999</v>
      </c>
      <c r="E140" s="141">
        <v>1.0649999999999999</v>
      </c>
      <c r="F140" s="141">
        <v>1.0549999999999999</v>
      </c>
      <c r="G140" s="141">
        <v>1.06</v>
      </c>
      <c r="H140" s="141">
        <v>1.06</v>
      </c>
      <c r="I140" s="141">
        <v>1.07</v>
      </c>
      <c r="J140" s="142">
        <v>1.0649999999999999</v>
      </c>
      <c r="K140" s="141">
        <v>1.0649999999999999</v>
      </c>
      <c r="L140" s="141">
        <v>1.0649999999999999</v>
      </c>
      <c r="M140" s="141">
        <v>1.0549999999999999</v>
      </c>
      <c r="N140" s="141">
        <v>1.06</v>
      </c>
      <c r="O140" s="141">
        <v>1.085</v>
      </c>
      <c r="P140" s="142">
        <v>1.07</v>
      </c>
      <c r="Q140" s="141">
        <v>1.06</v>
      </c>
      <c r="R140" s="141">
        <v>1.06</v>
      </c>
      <c r="S140" s="141">
        <v>1.0649999999999999</v>
      </c>
      <c r="T140" s="141">
        <v>1.075</v>
      </c>
      <c r="U140" s="141">
        <v>1.075</v>
      </c>
      <c r="V140" s="142">
        <v>1.0649999999999999</v>
      </c>
      <c r="W140" s="141">
        <v>1.0649999999999999</v>
      </c>
      <c r="X140" s="141">
        <v>1.0549999999999999</v>
      </c>
      <c r="Y140" s="141">
        <v>1.075</v>
      </c>
      <c r="Z140" s="141">
        <v>1.06</v>
      </c>
      <c r="AA140" s="141">
        <v>1.07</v>
      </c>
      <c r="AB140" s="143">
        <f>_xlfn.STDEV.P(D140:AA140)</f>
        <v>7.1413068754177505E-3</v>
      </c>
      <c r="AC140" s="143"/>
    </row>
    <row r="141" spans="1:29">
      <c r="A141" s="260"/>
      <c r="C141" t="s">
        <v>221</v>
      </c>
      <c r="D141" s="144">
        <v>0.67500000000000004</v>
      </c>
      <c r="E141" s="144">
        <v>0.68</v>
      </c>
      <c r="F141" s="144">
        <v>0.68</v>
      </c>
      <c r="G141" s="144">
        <v>0.66500000000000004</v>
      </c>
      <c r="H141" s="144">
        <v>0.75</v>
      </c>
      <c r="I141" s="141">
        <v>0.7</v>
      </c>
      <c r="J141" s="145">
        <v>0.69499999999999995</v>
      </c>
      <c r="K141" s="144">
        <v>0.7</v>
      </c>
      <c r="L141" s="144">
        <v>0.66500000000000004</v>
      </c>
      <c r="M141" s="144">
        <v>0.68</v>
      </c>
      <c r="N141" s="144">
        <v>0.68</v>
      </c>
      <c r="O141" s="141">
        <v>0.72</v>
      </c>
      <c r="P141" s="145">
        <v>0.69</v>
      </c>
      <c r="Q141" s="144">
        <v>0.67500000000000004</v>
      </c>
      <c r="R141" s="144">
        <v>0.68</v>
      </c>
      <c r="S141" s="144">
        <v>0.67</v>
      </c>
      <c r="T141" s="144">
        <v>0.69</v>
      </c>
      <c r="U141" s="141">
        <v>0.69</v>
      </c>
      <c r="V141" s="145">
        <v>0.72</v>
      </c>
      <c r="W141" s="144">
        <v>0.68500000000000005</v>
      </c>
      <c r="X141" s="144">
        <v>0.74</v>
      </c>
      <c r="Y141" s="144">
        <v>0.7</v>
      </c>
      <c r="Z141" s="144">
        <v>0.70499999999999996</v>
      </c>
      <c r="AA141" s="144">
        <v>0.69</v>
      </c>
      <c r="AB141" s="143">
        <f>_xlfn.STDEV.P(D141:AA141)</f>
        <v>2.1310168086828597E-2</v>
      </c>
      <c r="AC141" s="146"/>
    </row>
    <row r="142" spans="1:29">
      <c r="A142" s="260"/>
      <c r="B142" s="147" t="s">
        <v>1849</v>
      </c>
      <c r="D142" s="148" t="s">
        <v>1796</v>
      </c>
      <c r="E142" s="148" t="s">
        <v>1796</v>
      </c>
      <c r="F142" s="148" t="s">
        <v>1796</v>
      </c>
      <c r="G142" s="148" t="s">
        <v>1796</v>
      </c>
      <c r="H142" s="148" t="s">
        <v>1796</v>
      </c>
      <c r="I142" s="149" t="s">
        <v>1796</v>
      </c>
      <c r="J142" s="150" t="s">
        <v>1794</v>
      </c>
      <c r="K142" s="148" t="s">
        <v>1796</v>
      </c>
      <c r="L142" s="148" t="s">
        <v>1796</v>
      </c>
      <c r="M142" s="148" t="s">
        <v>1796</v>
      </c>
      <c r="N142" s="148" t="s">
        <v>1803</v>
      </c>
      <c r="O142" s="149" t="s">
        <v>1795</v>
      </c>
      <c r="P142" s="150" t="s">
        <v>1796</v>
      </c>
      <c r="Q142" s="148" t="s">
        <v>1796</v>
      </c>
      <c r="R142" s="148" t="s">
        <v>1796</v>
      </c>
      <c r="S142" s="148" t="s">
        <v>1794</v>
      </c>
      <c r="T142" s="148" t="s">
        <v>1794</v>
      </c>
      <c r="U142" s="149" t="s">
        <v>1796</v>
      </c>
      <c r="V142" s="150" t="s">
        <v>1796</v>
      </c>
      <c r="W142" s="148" t="s">
        <v>1803</v>
      </c>
      <c r="X142" s="148" t="s">
        <v>1796</v>
      </c>
      <c r="Y142" s="148" t="s">
        <v>1796</v>
      </c>
      <c r="Z142" s="148" t="s">
        <v>1796</v>
      </c>
      <c r="AA142" s="148" t="s">
        <v>1796</v>
      </c>
      <c r="AC142" s="151" t="s">
        <v>1830</v>
      </c>
    </row>
    <row r="143" spans="1:29">
      <c r="A143" s="260"/>
      <c r="B143" t="s">
        <v>1850</v>
      </c>
      <c r="C143" t="s">
        <v>40</v>
      </c>
      <c r="D143" s="141">
        <v>0.61</v>
      </c>
      <c r="E143" s="141">
        <v>0.60499999999999998</v>
      </c>
      <c r="F143" s="141">
        <v>0.60499999999999998</v>
      </c>
      <c r="G143" s="141">
        <v>0.62</v>
      </c>
      <c r="H143" s="141">
        <v>0.60499999999999998</v>
      </c>
      <c r="I143" s="141">
        <v>0.60499999999999998</v>
      </c>
      <c r="J143" s="142">
        <v>0.6</v>
      </c>
      <c r="K143" s="141">
        <v>0.60499999999999998</v>
      </c>
      <c r="L143" s="141">
        <v>0.6</v>
      </c>
      <c r="M143" s="141">
        <v>0.56499999999999995</v>
      </c>
      <c r="N143" s="141">
        <v>0.65</v>
      </c>
      <c r="O143" s="141">
        <v>0.63</v>
      </c>
      <c r="P143" s="142">
        <v>0.6</v>
      </c>
      <c r="Q143" s="141">
        <v>0.6</v>
      </c>
      <c r="R143" s="141">
        <v>0.61499999999999999</v>
      </c>
      <c r="S143" s="141">
        <v>0.625</v>
      </c>
      <c r="T143" s="141">
        <v>0.56999999999999995</v>
      </c>
      <c r="U143" s="141">
        <v>0.58499999999999996</v>
      </c>
      <c r="V143" s="142">
        <v>0.57499999999999996</v>
      </c>
      <c r="W143" s="141">
        <v>0.56499999999999995</v>
      </c>
      <c r="X143" s="141">
        <v>0.6</v>
      </c>
      <c r="Y143" s="141">
        <v>0.61</v>
      </c>
      <c r="Z143" s="141">
        <v>0.59499999999999997</v>
      </c>
      <c r="AA143" s="141">
        <v>0.45</v>
      </c>
      <c r="AB143" s="143">
        <f>_xlfn.STDEV.P(D143:AA143)</f>
        <v>3.6053105121319151E-2</v>
      </c>
      <c r="AC143" s="143"/>
    </row>
    <row r="144" spans="1:29">
      <c r="A144" s="260"/>
      <c r="C144" t="s">
        <v>220</v>
      </c>
      <c r="D144" s="141">
        <v>1.0649999999999999</v>
      </c>
      <c r="E144" s="141">
        <v>1.0649999999999999</v>
      </c>
      <c r="F144" s="141">
        <v>1.0649999999999999</v>
      </c>
      <c r="G144" s="141">
        <v>1.0649999999999999</v>
      </c>
      <c r="H144" s="141">
        <v>1.05</v>
      </c>
      <c r="I144" s="141">
        <v>1.05</v>
      </c>
      <c r="J144" s="142">
        <v>1.07</v>
      </c>
      <c r="K144" s="141">
        <v>1.0649999999999999</v>
      </c>
      <c r="L144" s="141">
        <v>1.04</v>
      </c>
      <c r="M144" s="141">
        <v>1.0900000000000001</v>
      </c>
      <c r="N144" s="141">
        <v>1.0549999999999999</v>
      </c>
      <c r="O144" s="141">
        <v>1.0649999999999999</v>
      </c>
      <c r="P144" s="142">
        <v>1.0649999999999999</v>
      </c>
      <c r="Q144" s="141">
        <v>1.0649999999999999</v>
      </c>
      <c r="R144" s="141">
        <v>1.085</v>
      </c>
      <c r="S144" s="141">
        <v>1.07</v>
      </c>
      <c r="T144" s="141">
        <v>1.0549999999999999</v>
      </c>
      <c r="U144" s="141">
        <v>1.0549999999999999</v>
      </c>
      <c r="V144" s="142">
        <v>1.1000000000000001</v>
      </c>
      <c r="W144" s="141">
        <v>1.0649999999999999</v>
      </c>
      <c r="X144" s="141">
        <v>1.0549999999999999</v>
      </c>
      <c r="Y144" s="141">
        <v>1.05</v>
      </c>
      <c r="Z144" s="141">
        <v>1.0649999999999999</v>
      </c>
      <c r="AA144" s="141">
        <v>1.0900000000000001</v>
      </c>
      <c r="AB144" s="143">
        <f>_xlfn.STDEV.P(D144:AA144)</f>
        <v>1.3880379337595792E-2</v>
      </c>
      <c r="AC144" s="143"/>
    </row>
    <row r="145" spans="1:29">
      <c r="A145" s="260"/>
      <c r="C145" t="s">
        <v>221</v>
      </c>
      <c r="D145" s="144">
        <v>0.67500000000000004</v>
      </c>
      <c r="E145" s="144">
        <v>0.67500000000000004</v>
      </c>
      <c r="F145" s="144">
        <v>0.67</v>
      </c>
      <c r="G145" s="144">
        <v>0.68500000000000005</v>
      </c>
      <c r="H145" s="144">
        <v>0.67500000000000004</v>
      </c>
      <c r="I145" s="141">
        <v>0.67500000000000004</v>
      </c>
      <c r="J145" s="145">
        <v>0.67</v>
      </c>
      <c r="K145" s="144">
        <v>0.67500000000000004</v>
      </c>
      <c r="L145" s="144">
        <v>0.66500000000000004</v>
      </c>
      <c r="M145" s="144">
        <v>0.66</v>
      </c>
      <c r="N145" s="144">
        <v>0.64500000000000002</v>
      </c>
      <c r="O145" s="141">
        <v>0.67</v>
      </c>
      <c r="P145" s="145">
        <v>0.66500000000000004</v>
      </c>
      <c r="Q145" s="144">
        <v>0.66500000000000004</v>
      </c>
      <c r="R145" s="144">
        <v>0.66500000000000004</v>
      </c>
      <c r="S145" s="144">
        <v>0.65500000000000003</v>
      </c>
      <c r="T145" s="144">
        <v>0.70499999999999996</v>
      </c>
      <c r="U145" s="141">
        <v>0.69</v>
      </c>
      <c r="V145" s="145">
        <v>0.68500000000000005</v>
      </c>
      <c r="W145" s="144">
        <v>0.65</v>
      </c>
      <c r="X145" s="144">
        <v>0.68500000000000005</v>
      </c>
      <c r="Y145" s="144">
        <v>0.67500000000000004</v>
      </c>
      <c r="Z145" s="144">
        <v>0.63500000000000001</v>
      </c>
      <c r="AA145" s="144">
        <v>0.66500000000000004</v>
      </c>
      <c r="AB145" s="143">
        <f>_xlfn.STDEV.P(D145:AA145)</f>
        <v>1.4648663192705783E-2</v>
      </c>
      <c r="AC145" s="146"/>
    </row>
    <row r="146" spans="1:29">
      <c r="A146" s="260"/>
      <c r="B146" s="147" t="s">
        <v>1851</v>
      </c>
      <c r="D146" s="148" t="s">
        <v>1794</v>
      </c>
      <c r="E146" s="148" t="s">
        <v>1794</v>
      </c>
      <c r="F146" s="148" t="s">
        <v>1794</v>
      </c>
      <c r="G146" s="148" t="s">
        <v>1796</v>
      </c>
      <c r="H146" s="148" t="s">
        <v>1796</v>
      </c>
      <c r="I146" s="149" t="s">
        <v>1796</v>
      </c>
      <c r="J146" s="150" t="s">
        <v>1796</v>
      </c>
      <c r="K146" s="148" t="s">
        <v>1796</v>
      </c>
      <c r="L146" s="148" t="s">
        <v>1796</v>
      </c>
      <c r="M146" s="148" t="s">
        <v>1794</v>
      </c>
      <c r="N146" s="148" t="s">
        <v>1795</v>
      </c>
      <c r="O146" s="149" t="s">
        <v>1794</v>
      </c>
      <c r="P146" s="150" t="s">
        <v>1796</v>
      </c>
      <c r="Q146" s="148" t="s">
        <v>1796</v>
      </c>
      <c r="R146" s="148" t="s">
        <v>1796</v>
      </c>
      <c r="S146" s="148" t="s">
        <v>1796</v>
      </c>
      <c r="T146" s="148" t="s">
        <v>1794</v>
      </c>
      <c r="U146" s="149" t="s">
        <v>1794</v>
      </c>
      <c r="V146" s="150" t="s">
        <v>1794</v>
      </c>
      <c r="W146" s="148" t="s">
        <v>1794</v>
      </c>
      <c r="X146" s="148" t="s">
        <v>1794</v>
      </c>
      <c r="Y146" s="148" t="s">
        <v>1794</v>
      </c>
      <c r="Z146" s="148" t="s">
        <v>1796</v>
      </c>
      <c r="AA146" s="148" t="s">
        <v>1794</v>
      </c>
      <c r="AC146" s="151" t="s">
        <v>1852</v>
      </c>
    </row>
    <row r="147" spans="1:29">
      <c r="A147" s="260"/>
      <c r="B147" t="s">
        <v>1853</v>
      </c>
      <c r="C147" t="s">
        <v>40</v>
      </c>
      <c r="D147" s="141">
        <v>0.60499999999999998</v>
      </c>
      <c r="E147" s="141">
        <v>0.65500000000000003</v>
      </c>
      <c r="F147" s="141">
        <v>0.61499999999999999</v>
      </c>
      <c r="G147" s="141">
        <v>0.63</v>
      </c>
      <c r="H147" s="141">
        <v>0.61</v>
      </c>
      <c r="I147" s="141">
        <v>0.62</v>
      </c>
      <c r="J147" s="142">
        <v>0.60499999999999998</v>
      </c>
      <c r="K147" s="141">
        <v>0.61</v>
      </c>
      <c r="L147" s="141">
        <v>0.61499999999999999</v>
      </c>
      <c r="M147" s="141">
        <v>0.57999999999999996</v>
      </c>
      <c r="N147" s="141">
        <v>0.61</v>
      </c>
      <c r="O147" s="141">
        <v>0.61499999999999999</v>
      </c>
      <c r="P147" s="142">
        <v>0.6</v>
      </c>
      <c r="Q147" s="141">
        <v>0.62</v>
      </c>
      <c r="R147" s="141">
        <v>0.6</v>
      </c>
      <c r="S147" s="141">
        <v>0.61</v>
      </c>
      <c r="T147" s="141">
        <v>0.61499999999999999</v>
      </c>
      <c r="U147" s="141">
        <v>0.625</v>
      </c>
      <c r="V147" s="142">
        <v>0.61499999999999999</v>
      </c>
      <c r="W147" s="141">
        <v>0.61</v>
      </c>
      <c r="X147" s="141">
        <v>0.57499999999999996</v>
      </c>
      <c r="Y147" s="141">
        <v>0.63</v>
      </c>
      <c r="Z147" s="141">
        <v>0.61499999999999999</v>
      </c>
      <c r="AA147" s="141">
        <v>0.61</v>
      </c>
      <c r="AB147" s="143">
        <f>_xlfn.STDEV.P(D147:AA147)</f>
        <v>1.5341879411887232E-2</v>
      </c>
      <c r="AC147" s="143"/>
    </row>
    <row r="148" spans="1:29">
      <c r="A148" s="260"/>
      <c r="C148" t="s">
        <v>220</v>
      </c>
      <c r="D148" s="141">
        <v>1.0649999999999999</v>
      </c>
      <c r="E148" s="141">
        <v>1.05</v>
      </c>
      <c r="F148" s="141">
        <v>1.05</v>
      </c>
      <c r="G148" s="141">
        <v>1.0649999999999999</v>
      </c>
      <c r="H148" s="141">
        <v>1.0649999999999999</v>
      </c>
      <c r="I148" s="141">
        <v>1.0649999999999999</v>
      </c>
      <c r="J148" s="142">
        <v>1.0649999999999999</v>
      </c>
      <c r="K148" s="141">
        <v>1.0649999999999999</v>
      </c>
      <c r="L148" s="141">
        <v>1.06</v>
      </c>
      <c r="M148" s="141">
        <v>1.075</v>
      </c>
      <c r="N148" s="141">
        <v>1.0649999999999999</v>
      </c>
      <c r="O148" s="141">
        <v>1.0649999999999999</v>
      </c>
      <c r="P148" s="142">
        <v>1.0649999999999999</v>
      </c>
      <c r="Q148" s="141">
        <v>1.0649999999999999</v>
      </c>
      <c r="R148" s="141">
        <v>1.06</v>
      </c>
      <c r="S148" s="141">
        <v>1.0649999999999999</v>
      </c>
      <c r="T148" s="141">
        <v>1.0649999999999999</v>
      </c>
      <c r="U148" s="141">
        <v>1.0649999999999999</v>
      </c>
      <c r="V148" s="142">
        <v>1.06</v>
      </c>
      <c r="W148" s="141">
        <v>1.0649999999999999</v>
      </c>
      <c r="X148" s="141">
        <v>1.095</v>
      </c>
      <c r="Y148" s="141">
        <v>1.06</v>
      </c>
      <c r="Z148" s="141">
        <v>1.07</v>
      </c>
      <c r="AA148" s="141">
        <v>1.07</v>
      </c>
      <c r="AB148" s="143">
        <f>_xlfn.STDEV.P(D148:AA148)</f>
        <v>8.1649658092772456E-3</v>
      </c>
      <c r="AC148" s="143"/>
    </row>
    <row r="149" spans="1:29">
      <c r="A149" s="260"/>
      <c r="C149" t="s">
        <v>221</v>
      </c>
      <c r="D149" s="144">
        <v>0.66500000000000004</v>
      </c>
      <c r="E149" s="144">
        <v>0.66500000000000004</v>
      </c>
      <c r="F149" s="144">
        <v>0.66</v>
      </c>
      <c r="G149" s="144">
        <v>0.65</v>
      </c>
      <c r="H149" s="144">
        <v>0.65500000000000003</v>
      </c>
      <c r="I149" s="141">
        <v>0.66</v>
      </c>
      <c r="J149" s="145">
        <v>0.65500000000000003</v>
      </c>
      <c r="K149" s="144">
        <v>0.65500000000000003</v>
      </c>
      <c r="L149" s="144">
        <v>0.66</v>
      </c>
      <c r="M149" s="144">
        <v>0.66</v>
      </c>
      <c r="N149" s="144">
        <v>0.65500000000000003</v>
      </c>
      <c r="O149" s="141">
        <v>0.64</v>
      </c>
      <c r="P149" s="145">
        <v>0.65</v>
      </c>
      <c r="Q149" s="144">
        <v>0.65</v>
      </c>
      <c r="R149" s="144">
        <v>0.65</v>
      </c>
      <c r="S149" s="144">
        <v>0.65500000000000003</v>
      </c>
      <c r="T149" s="144">
        <v>0.64500000000000002</v>
      </c>
      <c r="U149" s="141">
        <v>0.64500000000000002</v>
      </c>
      <c r="V149" s="145">
        <v>0.64</v>
      </c>
      <c r="W149" s="144">
        <v>0.64500000000000002</v>
      </c>
      <c r="X149" s="144">
        <v>0.63500000000000001</v>
      </c>
      <c r="Y149" s="144">
        <v>0.64</v>
      </c>
      <c r="Z149" s="144">
        <v>0.64</v>
      </c>
      <c r="AA149" s="144">
        <v>0.63</v>
      </c>
      <c r="AB149" s="143">
        <f>_xlfn.STDEV.P(D149:AA149)</f>
        <v>9.29596313221797E-3</v>
      </c>
      <c r="AC149" s="146"/>
    </row>
    <row r="150" spans="1:29">
      <c r="A150" s="260"/>
      <c r="B150" s="147" t="s">
        <v>1854</v>
      </c>
      <c r="D150" s="148" t="s">
        <v>1796</v>
      </c>
      <c r="E150" s="148" t="s">
        <v>1794</v>
      </c>
      <c r="F150" s="148" t="s">
        <v>1796</v>
      </c>
      <c r="G150" s="148" t="s">
        <v>1796</v>
      </c>
      <c r="H150" s="148" t="s">
        <v>1794</v>
      </c>
      <c r="I150" s="149" t="s">
        <v>1794</v>
      </c>
      <c r="J150" s="150" t="s">
        <v>1794</v>
      </c>
      <c r="K150" s="148" t="s">
        <v>1794</v>
      </c>
      <c r="L150" s="148" t="s">
        <v>1796</v>
      </c>
      <c r="M150" s="148" t="s">
        <v>1796</v>
      </c>
      <c r="N150" s="148" t="s">
        <v>1794</v>
      </c>
      <c r="O150" s="149" t="s">
        <v>1796</v>
      </c>
      <c r="P150" s="150" t="s">
        <v>1794</v>
      </c>
      <c r="Q150" s="148" t="s">
        <v>1796</v>
      </c>
      <c r="R150" s="148" t="s">
        <v>1796</v>
      </c>
      <c r="S150" s="148" t="s">
        <v>1794</v>
      </c>
      <c r="T150" s="148" t="s">
        <v>1794</v>
      </c>
      <c r="U150" s="149" t="s">
        <v>1796</v>
      </c>
      <c r="V150" s="150" t="s">
        <v>1796</v>
      </c>
      <c r="W150" s="148" t="s">
        <v>1796</v>
      </c>
      <c r="X150" s="148" t="s">
        <v>1796</v>
      </c>
      <c r="Y150" s="148" t="s">
        <v>1794</v>
      </c>
      <c r="Z150" s="148" t="s">
        <v>1794</v>
      </c>
      <c r="AA150" s="148" t="s">
        <v>1794</v>
      </c>
      <c r="AC150" s="151" t="s">
        <v>1855</v>
      </c>
    </row>
    <row r="151" spans="1:29">
      <c r="A151" s="260"/>
      <c r="B151" t="s">
        <v>1856</v>
      </c>
      <c r="C151" t="s">
        <v>40</v>
      </c>
      <c r="D151" s="141">
        <v>0.61</v>
      </c>
      <c r="E151" s="141">
        <v>0.61499999999999999</v>
      </c>
      <c r="F151" s="141">
        <v>0.62</v>
      </c>
      <c r="G151" s="141">
        <v>0.6</v>
      </c>
      <c r="H151" s="141">
        <v>0.6</v>
      </c>
      <c r="I151" s="141">
        <v>0.6</v>
      </c>
      <c r="J151" s="142">
        <v>0.62</v>
      </c>
      <c r="K151" s="141">
        <v>0.62</v>
      </c>
      <c r="L151" s="141">
        <v>0.61</v>
      </c>
      <c r="M151" s="141">
        <v>0.59499999999999997</v>
      </c>
      <c r="N151" s="141">
        <v>0.61499999999999999</v>
      </c>
      <c r="O151" s="141">
        <v>0.6</v>
      </c>
      <c r="P151" s="142">
        <v>0.6</v>
      </c>
      <c r="Q151" s="141">
        <v>0.58499999999999996</v>
      </c>
      <c r="R151" s="141">
        <v>0.6</v>
      </c>
      <c r="S151" s="141">
        <v>0.61</v>
      </c>
      <c r="T151" s="141">
        <v>0.61</v>
      </c>
      <c r="U151" s="141">
        <v>0.58499999999999996</v>
      </c>
      <c r="V151" s="142">
        <v>0.62</v>
      </c>
      <c r="W151" s="141">
        <v>0.59499999999999997</v>
      </c>
      <c r="X151" s="141">
        <v>0.59</v>
      </c>
      <c r="Y151" s="141">
        <v>0.6</v>
      </c>
      <c r="Z151" s="141">
        <v>0.62</v>
      </c>
      <c r="AA151" s="141">
        <v>0.61</v>
      </c>
      <c r="AB151" s="143">
        <f>_xlfn.STDEV.P(D151:AA151)</f>
        <v>1.0889278621143327E-2</v>
      </c>
      <c r="AC151" s="143"/>
    </row>
    <row r="152" spans="1:29">
      <c r="A152" s="260"/>
      <c r="C152" t="s">
        <v>220</v>
      </c>
      <c r="D152" s="141">
        <v>1.06</v>
      </c>
      <c r="E152" s="141">
        <v>1.0649999999999999</v>
      </c>
      <c r="F152" s="141">
        <v>1.0549999999999999</v>
      </c>
      <c r="G152" s="141">
        <v>1.06</v>
      </c>
      <c r="H152" s="141">
        <v>1.07</v>
      </c>
      <c r="I152" s="141">
        <v>1.07</v>
      </c>
      <c r="J152" s="142">
        <v>1.0649999999999999</v>
      </c>
      <c r="K152" s="141">
        <v>1.0549999999999999</v>
      </c>
      <c r="L152" s="141">
        <v>1.075</v>
      </c>
      <c r="M152" s="141">
        <v>1.02</v>
      </c>
      <c r="N152" s="141">
        <v>1.0349999999999999</v>
      </c>
      <c r="O152" s="141">
        <v>1.0349999999999999</v>
      </c>
      <c r="P152" s="142">
        <v>1.06</v>
      </c>
      <c r="Q152" s="141">
        <v>1.06</v>
      </c>
      <c r="R152" s="141">
        <v>1.0649999999999999</v>
      </c>
      <c r="S152" s="141">
        <v>1.06</v>
      </c>
      <c r="T152" s="141">
        <v>1.06</v>
      </c>
      <c r="U152" s="141">
        <v>1.07</v>
      </c>
      <c r="V152" s="142">
        <v>1.075</v>
      </c>
      <c r="W152" s="141">
        <v>1.0649999999999999</v>
      </c>
      <c r="X152" s="141">
        <v>1.0649999999999999</v>
      </c>
      <c r="Y152" s="141">
        <v>1.0649999999999999</v>
      </c>
      <c r="Z152" s="141">
        <v>1.06</v>
      </c>
      <c r="AA152" s="141">
        <v>1.0649999999999999</v>
      </c>
      <c r="AB152" s="143">
        <f>_xlfn.STDEV.P(D152:AA152)</f>
        <v>1.2622662049750931E-2</v>
      </c>
      <c r="AC152" s="143"/>
    </row>
    <row r="153" spans="1:29">
      <c r="A153" s="260"/>
      <c r="C153" t="s">
        <v>221</v>
      </c>
      <c r="D153" s="144">
        <v>0.64500000000000002</v>
      </c>
      <c r="E153" s="144">
        <v>0.64</v>
      </c>
      <c r="F153" s="144">
        <v>0.66</v>
      </c>
      <c r="G153" s="144">
        <v>0.65500000000000003</v>
      </c>
      <c r="H153" s="144">
        <v>0.61</v>
      </c>
      <c r="I153" s="141">
        <v>0.61</v>
      </c>
      <c r="J153" s="145">
        <v>0.64</v>
      </c>
      <c r="K153" s="144">
        <v>0.64500000000000002</v>
      </c>
      <c r="L153" s="144">
        <v>0.63</v>
      </c>
      <c r="M153" s="144">
        <v>0.65500000000000003</v>
      </c>
      <c r="N153" s="144">
        <v>0.64500000000000002</v>
      </c>
      <c r="O153" s="141">
        <v>0.62</v>
      </c>
      <c r="P153" s="145">
        <v>0.61499999999999999</v>
      </c>
      <c r="Q153" s="144">
        <v>0.64</v>
      </c>
      <c r="R153" s="144">
        <v>0.66</v>
      </c>
      <c r="S153" s="144">
        <v>0.68500000000000005</v>
      </c>
      <c r="T153" s="144">
        <v>0.68500000000000005</v>
      </c>
      <c r="U153" s="141">
        <v>0.66</v>
      </c>
      <c r="V153" s="145">
        <v>0.745</v>
      </c>
      <c r="W153" s="144">
        <v>0.66</v>
      </c>
      <c r="X153" s="144">
        <v>0.69</v>
      </c>
      <c r="Y153" s="144">
        <v>0.66</v>
      </c>
      <c r="Z153" s="144">
        <v>0.65500000000000003</v>
      </c>
      <c r="AA153" s="144">
        <v>0.66500000000000004</v>
      </c>
      <c r="AB153" s="143">
        <f>_xlfn.STDEV.P(D153:AA153)</f>
        <v>2.8679714811459808E-2</v>
      </c>
      <c r="AC153" s="146"/>
    </row>
    <row r="154" spans="1:29">
      <c r="A154" s="260"/>
      <c r="B154" s="147" t="s">
        <v>1857</v>
      </c>
      <c r="D154" s="148" t="s">
        <v>1796</v>
      </c>
      <c r="E154" s="148" t="s">
        <v>1796</v>
      </c>
      <c r="F154" s="148" t="s">
        <v>1795</v>
      </c>
      <c r="G154" s="148" t="s">
        <v>1796</v>
      </c>
      <c r="H154" s="148" t="s">
        <v>1796</v>
      </c>
      <c r="I154" s="149" t="s">
        <v>1796</v>
      </c>
      <c r="J154" s="150" t="s">
        <v>1796</v>
      </c>
      <c r="K154" s="148" t="s">
        <v>1796</v>
      </c>
      <c r="L154" s="148" t="s">
        <v>1796</v>
      </c>
      <c r="M154" s="148" t="s">
        <v>1796</v>
      </c>
      <c r="N154" s="148" t="s">
        <v>1794</v>
      </c>
      <c r="O154" s="149" t="s">
        <v>1796</v>
      </c>
      <c r="P154" s="150" t="s">
        <v>1794</v>
      </c>
      <c r="Q154" s="148" t="s">
        <v>1796</v>
      </c>
      <c r="R154" s="148" t="s">
        <v>1794</v>
      </c>
      <c r="S154" s="148" t="s">
        <v>1794</v>
      </c>
      <c r="T154" s="148" t="s">
        <v>1794</v>
      </c>
      <c r="U154" s="149" t="s">
        <v>1794</v>
      </c>
      <c r="V154" s="150" t="s">
        <v>1794</v>
      </c>
      <c r="W154" s="148" t="s">
        <v>1794</v>
      </c>
      <c r="X154" s="148" t="s">
        <v>1794</v>
      </c>
      <c r="Y154" s="148" t="s">
        <v>1794</v>
      </c>
      <c r="Z154" s="148" t="s">
        <v>1794</v>
      </c>
      <c r="AA154" s="148" t="s">
        <v>1794</v>
      </c>
      <c r="AC154" s="151" t="s">
        <v>1852</v>
      </c>
    </row>
    <row r="155" spans="1:29">
      <c r="A155" s="260"/>
      <c r="B155" t="s">
        <v>1858</v>
      </c>
      <c r="C155" t="s">
        <v>40</v>
      </c>
      <c r="D155" s="141">
        <v>0.59499999999999997</v>
      </c>
      <c r="E155" s="141">
        <v>0.59</v>
      </c>
      <c r="F155" s="141">
        <v>0.58499999999999996</v>
      </c>
      <c r="G155" s="141">
        <v>0.63</v>
      </c>
      <c r="H155" s="141">
        <v>0.61</v>
      </c>
      <c r="I155" s="141">
        <v>0.61</v>
      </c>
      <c r="J155" s="142">
        <v>0.61</v>
      </c>
      <c r="K155" s="141">
        <v>0.59499999999999997</v>
      </c>
      <c r="L155" s="141">
        <v>0.60499999999999998</v>
      </c>
      <c r="M155" s="141">
        <v>0.61499999999999999</v>
      </c>
      <c r="N155" s="141">
        <v>0.60499999999999998</v>
      </c>
      <c r="O155" s="141">
        <v>0.66500000000000004</v>
      </c>
      <c r="P155" s="142">
        <v>0.62</v>
      </c>
      <c r="Q155" s="141">
        <v>0.625</v>
      </c>
      <c r="R155" s="141">
        <v>0.60499999999999998</v>
      </c>
      <c r="S155" s="141">
        <v>0.64</v>
      </c>
      <c r="T155" s="141">
        <v>0.59</v>
      </c>
      <c r="U155" s="141">
        <v>0.60499999999999998</v>
      </c>
      <c r="V155" s="142">
        <v>0.64500000000000002</v>
      </c>
      <c r="W155" s="141">
        <v>0.57999999999999996</v>
      </c>
      <c r="X155" s="141">
        <v>0.61499999999999999</v>
      </c>
      <c r="Y155" s="141">
        <v>0.61</v>
      </c>
      <c r="Z155" s="141">
        <v>0.65</v>
      </c>
      <c r="AA155" s="141">
        <v>0.625</v>
      </c>
      <c r="AB155" s="143">
        <f>_xlfn.STDEV.P(D155:AA155)</f>
        <v>2.0740417800891964E-2</v>
      </c>
      <c r="AC155" s="143"/>
    </row>
    <row r="156" spans="1:29">
      <c r="A156" s="260"/>
      <c r="C156" t="s">
        <v>220</v>
      </c>
      <c r="D156" s="141">
        <v>1.06</v>
      </c>
      <c r="E156" s="141">
        <v>1.0549999999999999</v>
      </c>
      <c r="F156" s="141">
        <v>1.0549999999999999</v>
      </c>
      <c r="G156" s="141">
        <v>1.0649999999999999</v>
      </c>
      <c r="H156" s="141">
        <v>1.0649999999999999</v>
      </c>
      <c r="I156" s="141">
        <v>1.0549999999999999</v>
      </c>
      <c r="J156" s="142">
        <v>1.06</v>
      </c>
      <c r="K156" s="141">
        <v>1.0549999999999999</v>
      </c>
      <c r="L156" s="141">
        <v>1.0549999999999999</v>
      </c>
      <c r="M156" s="141">
        <v>1.07</v>
      </c>
      <c r="N156" s="141">
        <v>1.06</v>
      </c>
      <c r="O156" s="141">
        <v>1.0549999999999999</v>
      </c>
      <c r="P156" s="142">
        <v>1.07</v>
      </c>
      <c r="Q156" s="141">
        <v>1.075</v>
      </c>
      <c r="R156" s="141">
        <v>1.05</v>
      </c>
      <c r="S156" s="141">
        <v>1.06</v>
      </c>
      <c r="T156" s="141">
        <v>1.0649999999999999</v>
      </c>
      <c r="U156" s="141">
        <v>1.07</v>
      </c>
      <c r="V156" s="142">
        <v>1.04</v>
      </c>
      <c r="W156" s="141">
        <v>1.05</v>
      </c>
      <c r="X156" s="141">
        <v>1.08</v>
      </c>
      <c r="Y156" s="141">
        <v>1.03</v>
      </c>
      <c r="Z156" s="141">
        <v>1.02</v>
      </c>
      <c r="AA156" s="141">
        <v>1.06</v>
      </c>
      <c r="AB156" s="143">
        <f>_xlfn.STDEV.P(D156:AA156)</f>
        <v>1.3070322617798436E-2</v>
      </c>
      <c r="AC156" s="143"/>
    </row>
    <row r="157" spans="1:29">
      <c r="A157" s="260"/>
      <c r="C157" t="s">
        <v>221</v>
      </c>
      <c r="D157" s="144">
        <v>0.65500000000000003</v>
      </c>
      <c r="E157" s="144">
        <v>0.65</v>
      </c>
      <c r="F157" s="144">
        <v>0.65500000000000003</v>
      </c>
      <c r="G157" s="144">
        <v>0.60499999999999998</v>
      </c>
      <c r="H157" s="144">
        <v>0.64500000000000002</v>
      </c>
      <c r="I157" s="141">
        <v>0.58499999999999996</v>
      </c>
      <c r="J157" s="145">
        <v>0.68</v>
      </c>
      <c r="K157" s="144">
        <v>0.65</v>
      </c>
      <c r="L157" s="144">
        <v>0.66500000000000004</v>
      </c>
      <c r="M157" s="144">
        <v>0.66500000000000004</v>
      </c>
      <c r="N157" s="144">
        <v>0.64</v>
      </c>
      <c r="O157" s="141">
        <v>0.69</v>
      </c>
      <c r="P157" s="145">
        <v>0.68</v>
      </c>
      <c r="Q157" s="144">
        <v>0.69</v>
      </c>
      <c r="R157" s="144">
        <v>0.68</v>
      </c>
      <c r="S157" s="144">
        <v>0.68</v>
      </c>
      <c r="T157" s="144">
        <v>0.66</v>
      </c>
      <c r="U157" s="141">
        <v>0.66</v>
      </c>
      <c r="V157" s="145">
        <v>0.625</v>
      </c>
      <c r="W157" s="144">
        <v>0.66</v>
      </c>
      <c r="X157" s="144">
        <v>0.67</v>
      </c>
      <c r="Y157" s="144">
        <v>0.60499999999999998</v>
      </c>
      <c r="Z157" s="144">
        <v>0.63</v>
      </c>
      <c r="AA157" s="144">
        <v>0.65500000000000003</v>
      </c>
      <c r="AB157" s="143">
        <f>_xlfn.STDEV.P(D157:AA157)</f>
        <v>2.6757657263337214E-2</v>
      </c>
      <c r="AC157" s="146"/>
    </row>
    <row r="158" spans="1:29">
      <c r="A158" s="260"/>
      <c r="B158" s="147" t="s">
        <v>1859</v>
      </c>
      <c r="D158" s="148" t="s">
        <v>1796</v>
      </c>
      <c r="E158" s="148" t="s">
        <v>1796</v>
      </c>
      <c r="F158" s="148" t="s">
        <v>1796</v>
      </c>
      <c r="G158" s="148" t="s">
        <v>1796</v>
      </c>
      <c r="H158" s="148" t="s">
        <v>1796</v>
      </c>
      <c r="I158" s="149" t="s">
        <v>1803</v>
      </c>
      <c r="J158" s="150" t="s">
        <v>1796</v>
      </c>
      <c r="K158" s="148" t="s">
        <v>1796</v>
      </c>
      <c r="L158" s="148" t="s">
        <v>1796</v>
      </c>
      <c r="M158" s="148" t="s">
        <v>1796</v>
      </c>
      <c r="N158" s="148" t="s">
        <v>1795</v>
      </c>
      <c r="O158" s="149" t="s">
        <v>1803</v>
      </c>
      <c r="P158" s="150" t="s">
        <v>1796</v>
      </c>
      <c r="Q158" s="148" t="s">
        <v>1796</v>
      </c>
      <c r="R158" s="148" t="s">
        <v>1796</v>
      </c>
      <c r="S158" s="148" t="s">
        <v>1796</v>
      </c>
      <c r="T158" s="148" t="s">
        <v>1796</v>
      </c>
      <c r="U158" s="149" t="s">
        <v>1796</v>
      </c>
      <c r="V158" s="150" t="s">
        <v>1795</v>
      </c>
      <c r="W158" s="148" t="s">
        <v>1796</v>
      </c>
      <c r="X158" s="148" t="s">
        <v>1796</v>
      </c>
      <c r="Y158" s="148" t="s">
        <v>1796</v>
      </c>
      <c r="Z158" s="148" t="s">
        <v>1796</v>
      </c>
      <c r="AA158" s="148" t="s">
        <v>1796</v>
      </c>
      <c r="AC158" s="151" t="s">
        <v>1860</v>
      </c>
    </row>
    <row r="159" spans="1:29">
      <c r="A159" s="260"/>
      <c r="B159" t="s">
        <v>1861</v>
      </c>
      <c r="C159" t="s">
        <v>40</v>
      </c>
      <c r="D159" s="141">
        <v>0.61</v>
      </c>
      <c r="E159" s="141">
        <v>0.59499999999999997</v>
      </c>
      <c r="F159" s="141">
        <v>0.57499999999999996</v>
      </c>
      <c r="G159" s="141">
        <v>0.6</v>
      </c>
      <c r="H159" s="141">
        <v>0.56999999999999995</v>
      </c>
      <c r="I159" s="141">
        <v>0.59499999999999997</v>
      </c>
      <c r="J159" s="142">
        <v>0.57499999999999996</v>
      </c>
      <c r="K159" s="141">
        <v>0.58499999999999996</v>
      </c>
      <c r="L159" s="141">
        <v>0.57999999999999996</v>
      </c>
      <c r="M159" s="141">
        <v>0.57499999999999996</v>
      </c>
      <c r="N159" s="141">
        <v>0.59499999999999997</v>
      </c>
      <c r="O159" s="141">
        <v>0.59499999999999997</v>
      </c>
      <c r="P159" s="142">
        <v>0.56999999999999995</v>
      </c>
      <c r="Q159" s="141">
        <v>0.59499999999999997</v>
      </c>
      <c r="R159" s="141">
        <v>0.57999999999999996</v>
      </c>
      <c r="S159" s="141">
        <v>0.61</v>
      </c>
      <c r="T159" s="141">
        <v>0.58499999999999996</v>
      </c>
      <c r="U159" s="141">
        <v>0.59499999999999997</v>
      </c>
      <c r="V159" s="142">
        <v>0.53</v>
      </c>
      <c r="W159" s="141">
        <v>0.56499999999999995</v>
      </c>
      <c r="X159" s="141">
        <v>0.59</v>
      </c>
      <c r="Y159" s="141">
        <v>0.56499999999999995</v>
      </c>
      <c r="Z159" s="141">
        <v>0.55500000000000005</v>
      </c>
      <c r="AA159" s="141">
        <v>0.56999999999999995</v>
      </c>
      <c r="AB159" s="143">
        <f>_xlfn.STDEV.P(D159:AA159)</f>
        <v>1.7775607506417948E-2</v>
      </c>
      <c r="AC159" s="143"/>
    </row>
    <row r="160" spans="1:29">
      <c r="A160" s="260"/>
      <c r="C160" t="s">
        <v>220</v>
      </c>
      <c r="D160" s="141">
        <v>1.0649999999999999</v>
      </c>
      <c r="E160" s="141">
        <v>1.0649999999999999</v>
      </c>
      <c r="F160" s="141">
        <v>1.07</v>
      </c>
      <c r="G160" s="141">
        <v>1.06</v>
      </c>
      <c r="H160" s="141">
        <v>1.0649999999999999</v>
      </c>
      <c r="I160" s="141">
        <v>1.07</v>
      </c>
      <c r="J160" s="142">
        <v>1.06</v>
      </c>
      <c r="K160" s="141">
        <v>1.06</v>
      </c>
      <c r="L160" s="141">
        <v>1.06</v>
      </c>
      <c r="M160" s="141">
        <v>1.06</v>
      </c>
      <c r="N160" s="141">
        <v>1.075</v>
      </c>
      <c r="O160" s="141">
        <v>1.06</v>
      </c>
      <c r="P160" s="142">
        <v>1.1100000000000001</v>
      </c>
      <c r="Q160" s="141">
        <v>1.05</v>
      </c>
      <c r="R160" s="141">
        <v>1.0549999999999999</v>
      </c>
      <c r="S160" s="141">
        <v>1.06</v>
      </c>
      <c r="T160" s="141">
        <v>1.0549999999999999</v>
      </c>
      <c r="U160" s="141">
        <v>1.05</v>
      </c>
      <c r="V160" s="142">
        <v>1.135</v>
      </c>
      <c r="W160" s="141">
        <v>1.07</v>
      </c>
      <c r="X160" s="141">
        <v>1.0449999999999999</v>
      </c>
      <c r="Y160" s="141">
        <v>1.0900000000000001</v>
      </c>
      <c r="Z160" s="141">
        <v>1.075</v>
      </c>
      <c r="AA160" s="141">
        <v>1.07</v>
      </c>
      <c r="AB160" s="143">
        <f>_xlfn.STDEV.P(D160:AA160)</f>
        <v>1.919269066598012E-2</v>
      </c>
      <c r="AC160" s="143"/>
    </row>
    <row r="161" spans="1:29">
      <c r="A161" s="260"/>
      <c r="C161" t="s">
        <v>221</v>
      </c>
      <c r="D161" s="144">
        <v>0.65500000000000003</v>
      </c>
      <c r="E161" s="144">
        <v>0.65</v>
      </c>
      <c r="F161" s="144">
        <v>0.64</v>
      </c>
      <c r="G161" s="144">
        <v>0.64500000000000002</v>
      </c>
      <c r="H161" s="144">
        <v>0.66</v>
      </c>
      <c r="I161" s="141">
        <v>0.64</v>
      </c>
      <c r="J161" s="145">
        <v>0.68500000000000005</v>
      </c>
      <c r="K161" s="144">
        <v>0.65500000000000003</v>
      </c>
      <c r="L161" s="144">
        <v>0.65500000000000003</v>
      </c>
      <c r="M161" s="144">
        <v>0.66</v>
      </c>
      <c r="N161" s="144">
        <v>0.64</v>
      </c>
      <c r="O161" s="141">
        <v>0.66</v>
      </c>
      <c r="P161" s="145">
        <v>0.66</v>
      </c>
      <c r="Q161" s="144">
        <v>0.65500000000000003</v>
      </c>
      <c r="R161" s="144">
        <v>0.65500000000000003</v>
      </c>
      <c r="S161" s="144">
        <v>0.65</v>
      </c>
      <c r="T161" s="144">
        <v>0.65500000000000003</v>
      </c>
      <c r="U161" s="141">
        <v>0.65</v>
      </c>
      <c r="V161" s="145">
        <v>0.70499999999999996</v>
      </c>
      <c r="W161" s="144">
        <v>0.66</v>
      </c>
      <c r="X161" s="144">
        <v>0.67500000000000004</v>
      </c>
      <c r="Y161" s="144">
        <v>0.67</v>
      </c>
      <c r="Z161" s="144">
        <v>0.64500000000000002</v>
      </c>
      <c r="AA161" s="144">
        <v>0.65</v>
      </c>
      <c r="AB161" s="143">
        <f>_xlfn.STDEV.P(D161:AA161)</f>
        <v>1.4432253135098327E-2</v>
      </c>
      <c r="AC161" s="146"/>
    </row>
    <row r="162" spans="1:29">
      <c r="A162" s="260"/>
      <c r="B162" s="147" t="s">
        <v>1862</v>
      </c>
      <c r="D162" s="148" t="s">
        <v>1796</v>
      </c>
      <c r="E162" s="148" t="s">
        <v>1796</v>
      </c>
      <c r="F162" s="148" t="s">
        <v>1796</v>
      </c>
      <c r="G162" s="148" t="s">
        <v>1796</v>
      </c>
      <c r="H162" s="148" t="s">
        <v>1796</v>
      </c>
      <c r="I162" s="149" t="s">
        <v>1796</v>
      </c>
      <c r="J162" s="150" t="s">
        <v>1794</v>
      </c>
      <c r="K162" s="148" t="s">
        <v>1794</v>
      </c>
      <c r="L162" s="148" t="s">
        <v>1796</v>
      </c>
      <c r="M162" s="148" t="s">
        <v>1796</v>
      </c>
      <c r="N162" s="148" t="s">
        <v>1794</v>
      </c>
      <c r="O162" s="149" t="s">
        <v>1796</v>
      </c>
      <c r="P162" s="150" t="s">
        <v>1794</v>
      </c>
      <c r="Q162" s="148" t="s">
        <v>1796</v>
      </c>
      <c r="R162" s="148" t="s">
        <v>1796</v>
      </c>
      <c r="S162" s="148" t="s">
        <v>1796</v>
      </c>
      <c r="T162" s="148" t="s">
        <v>1796</v>
      </c>
      <c r="U162" s="149" t="s">
        <v>1796</v>
      </c>
      <c r="V162" s="150" t="s">
        <v>1796</v>
      </c>
      <c r="W162" s="148" t="s">
        <v>1803</v>
      </c>
      <c r="X162" s="148" t="s">
        <v>1796</v>
      </c>
      <c r="Y162" s="148" t="s">
        <v>1794</v>
      </c>
      <c r="Z162" s="148" t="s">
        <v>1796</v>
      </c>
      <c r="AA162" s="148" t="s">
        <v>1795</v>
      </c>
      <c r="AC162" s="151" t="s">
        <v>1863</v>
      </c>
    </row>
    <row r="163" spans="1:29">
      <c r="A163" s="260"/>
      <c r="B163" s="153" t="s">
        <v>1864</v>
      </c>
      <c r="C163" s="153" t="s">
        <v>40</v>
      </c>
      <c r="D163" s="154">
        <v>0.6</v>
      </c>
      <c r="E163" s="154">
        <v>0.59499999999999997</v>
      </c>
      <c r="F163" s="154">
        <v>0.56000000000000005</v>
      </c>
      <c r="G163" s="154">
        <v>0.56999999999999995</v>
      </c>
      <c r="H163" s="154">
        <v>0.60499999999999998</v>
      </c>
      <c r="I163" s="154">
        <v>0.55000000000000004</v>
      </c>
      <c r="J163" s="155">
        <v>0.6</v>
      </c>
      <c r="K163" s="154">
        <v>0.6</v>
      </c>
      <c r="L163" s="154">
        <v>0.51</v>
      </c>
      <c r="M163" s="154">
        <v>0.59</v>
      </c>
      <c r="N163" s="154">
        <v>0.67500000000000004</v>
      </c>
      <c r="O163" s="154">
        <v>0.63</v>
      </c>
      <c r="P163" s="155">
        <v>0.61</v>
      </c>
      <c r="Q163" s="154">
        <v>0.59499999999999997</v>
      </c>
      <c r="R163" s="154">
        <v>0.61499999999999999</v>
      </c>
      <c r="S163" s="154">
        <v>0.59499999999999997</v>
      </c>
      <c r="T163" s="154">
        <v>0.59</v>
      </c>
      <c r="U163" s="154">
        <v>0.61499999999999999</v>
      </c>
      <c r="V163" s="155">
        <v>0.58499999999999996</v>
      </c>
      <c r="W163" s="154">
        <v>0.6</v>
      </c>
      <c r="X163" s="154">
        <v>0.59499999999999997</v>
      </c>
      <c r="Y163" s="154">
        <v>0.55500000000000005</v>
      </c>
      <c r="Z163" s="154">
        <v>0.54</v>
      </c>
      <c r="AA163" s="154">
        <v>0.625</v>
      </c>
      <c r="AB163" s="156">
        <f>_xlfn.STDEV.P(D163:AA163)</f>
        <v>3.2526031241658322E-2</v>
      </c>
      <c r="AC163" s="156"/>
    </row>
    <row r="164" spans="1:29">
      <c r="A164" s="260"/>
      <c r="B164" s="153"/>
      <c r="C164" s="153" t="s">
        <v>220</v>
      </c>
      <c r="D164" s="154">
        <v>1.0649999999999999</v>
      </c>
      <c r="E164" s="154">
        <v>1.0649999999999999</v>
      </c>
      <c r="F164" s="154">
        <v>1.0549999999999999</v>
      </c>
      <c r="G164" s="154">
        <v>1.1000000000000001</v>
      </c>
      <c r="H164" s="154">
        <v>1.07</v>
      </c>
      <c r="I164" s="154">
        <v>1.0549999999999999</v>
      </c>
      <c r="J164" s="155">
        <v>1.0649999999999999</v>
      </c>
      <c r="K164" s="154">
        <v>1.06</v>
      </c>
      <c r="L164" s="154">
        <v>1.075</v>
      </c>
      <c r="M164" s="154">
        <v>1.0900000000000001</v>
      </c>
      <c r="N164" s="154">
        <v>1.0649999999999999</v>
      </c>
      <c r="O164" s="154">
        <v>1.075</v>
      </c>
      <c r="P164" s="155">
        <v>1.0649999999999999</v>
      </c>
      <c r="Q164" s="154">
        <v>1.0549999999999999</v>
      </c>
      <c r="R164" s="154">
        <v>1.07</v>
      </c>
      <c r="S164" s="154">
        <v>1.0649999999999999</v>
      </c>
      <c r="T164" s="154">
        <v>1.0549999999999999</v>
      </c>
      <c r="U164" s="154">
        <v>1.08</v>
      </c>
      <c r="V164" s="155">
        <v>1.0649999999999999</v>
      </c>
      <c r="W164" s="154">
        <v>1.0549999999999999</v>
      </c>
      <c r="X164" s="154">
        <v>1.04</v>
      </c>
      <c r="Y164" s="154">
        <v>1.085</v>
      </c>
      <c r="Z164" s="154">
        <v>1.075</v>
      </c>
      <c r="AA164" s="154">
        <v>1.0449999999999999</v>
      </c>
      <c r="AB164" s="156">
        <f>_xlfn.STDEV.P(D164:AA164)</f>
        <v>1.3422553056537206E-2</v>
      </c>
      <c r="AC164" s="156"/>
    </row>
    <row r="165" spans="1:29">
      <c r="A165" s="260"/>
      <c r="B165" s="153"/>
      <c r="C165" s="153" t="s">
        <v>221</v>
      </c>
      <c r="D165" s="157">
        <v>0.65</v>
      </c>
      <c r="E165" s="157">
        <v>0.66</v>
      </c>
      <c r="F165" s="157">
        <v>0.61499999999999999</v>
      </c>
      <c r="G165" s="157">
        <v>0.625</v>
      </c>
      <c r="H165" s="157">
        <v>0.66</v>
      </c>
      <c r="I165" s="154">
        <v>0.66</v>
      </c>
      <c r="J165" s="158">
        <v>0.65500000000000003</v>
      </c>
      <c r="K165" s="157">
        <v>0.65</v>
      </c>
      <c r="L165" s="157">
        <v>0.66</v>
      </c>
      <c r="M165" s="157">
        <v>0.66500000000000004</v>
      </c>
      <c r="N165" s="157">
        <v>0.62</v>
      </c>
      <c r="O165" s="154">
        <v>0.59499999999999997</v>
      </c>
      <c r="P165" s="158">
        <v>0.63</v>
      </c>
      <c r="Q165" s="157">
        <v>0.625</v>
      </c>
      <c r="R165" s="157">
        <v>0.625</v>
      </c>
      <c r="S165" s="157">
        <v>0.625</v>
      </c>
      <c r="T165" s="157">
        <v>0.64</v>
      </c>
      <c r="U165" s="154">
        <v>0.59499999999999997</v>
      </c>
      <c r="V165" s="158">
        <v>0.67</v>
      </c>
      <c r="W165" s="157">
        <v>0.64500000000000002</v>
      </c>
      <c r="X165" s="157">
        <v>0.65500000000000003</v>
      </c>
      <c r="Y165" s="157">
        <v>0.67</v>
      </c>
      <c r="Z165" s="157">
        <v>0.65500000000000003</v>
      </c>
      <c r="AA165" s="157">
        <v>0.65</v>
      </c>
      <c r="AB165" s="156">
        <f>_xlfn.STDEV.P(D165:AA165)</f>
        <v>2.1441133883781029E-2</v>
      </c>
      <c r="AC165" s="164"/>
    </row>
    <row r="166" spans="1:29">
      <c r="A166" s="260"/>
      <c r="B166" s="159" t="s">
        <v>1865</v>
      </c>
      <c r="C166" s="153"/>
      <c r="D166" s="160" t="s">
        <v>1796</v>
      </c>
      <c r="E166" s="160" t="s">
        <v>1796</v>
      </c>
      <c r="F166" s="160" t="s">
        <v>1796</v>
      </c>
      <c r="G166" s="160" t="s">
        <v>1796</v>
      </c>
      <c r="H166" s="160" t="s">
        <v>1796</v>
      </c>
      <c r="I166" s="161" t="s">
        <v>1796</v>
      </c>
      <c r="J166" s="162" t="s">
        <v>1796</v>
      </c>
      <c r="K166" s="160" t="s">
        <v>1803</v>
      </c>
      <c r="L166" s="160" t="s">
        <v>1796</v>
      </c>
      <c r="M166" s="160" t="s">
        <v>1794</v>
      </c>
      <c r="N166" s="160" t="s">
        <v>1794</v>
      </c>
      <c r="O166" s="161" t="s">
        <v>1796</v>
      </c>
      <c r="P166" s="162" t="s">
        <v>1796</v>
      </c>
      <c r="Q166" s="160" t="s">
        <v>1796</v>
      </c>
      <c r="R166" s="160" t="s">
        <v>1796</v>
      </c>
      <c r="S166" s="160" t="s">
        <v>1794</v>
      </c>
      <c r="T166" s="160" t="s">
        <v>1794</v>
      </c>
      <c r="U166" s="161" t="s">
        <v>1796</v>
      </c>
      <c r="V166" s="162" t="s">
        <v>1796</v>
      </c>
      <c r="W166" s="160" t="s">
        <v>1796</v>
      </c>
      <c r="X166" s="160" t="s">
        <v>1794</v>
      </c>
      <c r="Y166" s="160" t="s">
        <v>1794</v>
      </c>
      <c r="Z166" s="160" t="s">
        <v>1803</v>
      </c>
      <c r="AA166" s="160" t="s">
        <v>1794</v>
      </c>
      <c r="AB166" s="153"/>
      <c r="AC166" s="165" t="s">
        <v>1866</v>
      </c>
    </row>
    <row r="167" spans="1:29">
      <c r="A167" s="260"/>
      <c r="B167" t="s">
        <v>1867</v>
      </c>
      <c r="C167" t="s">
        <v>40</v>
      </c>
      <c r="D167" s="141">
        <v>0.57999999999999996</v>
      </c>
      <c r="E167" s="141">
        <v>0.60499999999999998</v>
      </c>
      <c r="F167" s="141">
        <v>0.58499999999999996</v>
      </c>
      <c r="G167" s="141">
        <v>0.59499999999999997</v>
      </c>
      <c r="H167" s="141">
        <v>0.61499999999999999</v>
      </c>
      <c r="I167" s="141">
        <v>0.57999999999999996</v>
      </c>
      <c r="J167" s="142">
        <v>0.60499999999999998</v>
      </c>
      <c r="K167" s="141">
        <v>0.61499999999999999</v>
      </c>
      <c r="L167" s="141">
        <v>0.63500000000000001</v>
      </c>
      <c r="M167" s="141">
        <v>0.53500000000000003</v>
      </c>
      <c r="N167" s="141">
        <v>0.61499999999999999</v>
      </c>
      <c r="O167" s="141">
        <v>0.61</v>
      </c>
      <c r="P167" s="142">
        <v>0.59499999999999997</v>
      </c>
      <c r="Q167" s="141">
        <v>0.60499999999999998</v>
      </c>
      <c r="R167" s="141">
        <v>0.52500000000000002</v>
      </c>
      <c r="S167" s="141">
        <v>0.59499999999999997</v>
      </c>
      <c r="T167" s="141">
        <v>0.61499999999999999</v>
      </c>
      <c r="U167" s="141">
        <v>0.6</v>
      </c>
      <c r="V167" s="142">
        <v>0.57999999999999996</v>
      </c>
      <c r="W167" s="141">
        <v>0.6</v>
      </c>
      <c r="X167" s="141">
        <v>0.57999999999999996</v>
      </c>
      <c r="Y167" s="141">
        <v>0.59499999999999997</v>
      </c>
      <c r="Z167" s="141">
        <v>0.69499999999999995</v>
      </c>
      <c r="AA167" s="141">
        <v>0.69499999999999995</v>
      </c>
      <c r="AB167" s="143">
        <f>_xlfn.STDEV.P(D167:AA167)</f>
        <v>3.651424284516324E-2</v>
      </c>
      <c r="AC167" s="143"/>
    </row>
    <row r="168" spans="1:29">
      <c r="A168" s="260"/>
      <c r="C168" t="s">
        <v>220</v>
      </c>
      <c r="D168" s="141">
        <v>1.07</v>
      </c>
      <c r="E168" s="141">
        <v>1.06</v>
      </c>
      <c r="F168" s="141">
        <v>1.06</v>
      </c>
      <c r="G168" s="141">
        <v>1.0649999999999999</v>
      </c>
      <c r="H168" s="141">
        <v>1.04</v>
      </c>
      <c r="I168" s="141">
        <v>1.06</v>
      </c>
      <c r="J168" s="142">
        <v>1.06</v>
      </c>
      <c r="K168" s="141">
        <v>1.0649999999999999</v>
      </c>
      <c r="L168" s="141">
        <v>1.0649999999999999</v>
      </c>
      <c r="M168" s="141">
        <v>1.095</v>
      </c>
      <c r="N168" s="141">
        <v>1.0449999999999999</v>
      </c>
      <c r="O168" s="141">
        <v>1.075</v>
      </c>
      <c r="P168" s="142">
        <v>1.06</v>
      </c>
      <c r="Q168" s="141">
        <v>1.0649999999999999</v>
      </c>
      <c r="R168" s="141">
        <v>1.125</v>
      </c>
      <c r="S168" s="141">
        <v>1.0649999999999999</v>
      </c>
      <c r="T168" s="141">
        <v>1.0649999999999999</v>
      </c>
      <c r="U168" s="141">
        <v>1.06</v>
      </c>
      <c r="V168" s="142">
        <v>1.06</v>
      </c>
      <c r="W168" s="141">
        <v>1.06</v>
      </c>
      <c r="X168" s="141">
        <v>1.06</v>
      </c>
      <c r="Y168" s="141">
        <v>1.04</v>
      </c>
      <c r="Z168" s="141">
        <v>1.0449999999999999</v>
      </c>
      <c r="AA168" s="141">
        <v>1.0449999999999999</v>
      </c>
      <c r="AB168" s="143">
        <f>_xlfn.STDEV.P(D168:AA168)</f>
        <v>1.731549562931679E-2</v>
      </c>
      <c r="AC168" s="143"/>
    </row>
    <row r="169" spans="1:29">
      <c r="A169" s="260"/>
      <c r="C169" t="s">
        <v>221</v>
      </c>
      <c r="D169" s="144">
        <v>0.66</v>
      </c>
      <c r="E169" s="144">
        <v>0.65</v>
      </c>
      <c r="F169" s="144">
        <v>0.59</v>
      </c>
      <c r="G169" s="144">
        <v>0.64</v>
      </c>
      <c r="H169" s="144">
        <v>0.65500000000000003</v>
      </c>
      <c r="I169" s="141">
        <v>0.65500000000000003</v>
      </c>
      <c r="J169" s="145">
        <v>0.65</v>
      </c>
      <c r="K169" s="144">
        <v>0.64500000000000002</v>
      </c>
      <c r="L169" s="144">
        <v>0.62</v>
      </c>
      <c r="M169" s="144">
        <v>0.62</v>
      </c>
      <c r="N169" s="144">
        <v>0.64</v>
      </c>
      <c r="O169" s="141">
        <v>0.63500000000000001</v>
      </c>
      <c r="P169" s="145">
        <v>0.64500000000000002</v>
      </c>
      <c r="Q169" s="144">
        <v>0.625</v>
      </c>
      <c r="R169" s="144">
        <v>0.63500000000000001</v>
      </c>
      <c r="S169" s="144">
        <v>0.64</v>
      </c>
      <c r="T169" s="144">
        <v>0.61499999999999999</v>
      </c>
      <c r="U169" s="141">
        <v>0.63</v>
      </c>
      <c r="V169" s="145">
        <v>0.64500000000000002</v>
      </c>
      <c r="W169" s="144">
        <v>0.63500000000000001</v>
      </c>
      <c r="X169" s="144">
        <v>0.64500000000000002</v>
      </c>
      <c r="Y169" s="144">
        <v>0.64500000000000002</v>
      </c>
      <c r="Z169" s="144">
        <v>0.63500000000000001</v>
      </c>
      <c r="AA169" s="144">
        <v>0.63500000000000001</v>
      </c>
      <c r="AB169" s="143">
        <f>_xlfn.STDEV.P(D169:AA169)</f>
        <v>1.4924578907143609E-2</v>
      </c>
      <c r="AC169" s="146"/>
    </row>
    <row r="170" spans="1:29">
      <c r="A170" s="260"/>
      <c r="B170" s="147" t="s">
        <v>1868</v>
      </c>
      <c r="D170" s="148" t="s">
        <v>1794</v>
      </c>
      <c r="E170" s="148" t="s">
        <v>1794</v>
      </c>
      <c r="F170" s="148" t="s">
        <v>1794</v>
      </c>
      <c r="G170" s="148" t="s">
        <v>1794</v>
      </c>
      <c r="H170" s="148" t="s">
        <v>1794</v>
      </c>
      <c r="I170" s="149" t="s">
        <v>1794</v>
      </c>
      <c r="J170" s="150" t="s">
        <v>1794</v>
      </c>
      <c r="K170" s="148" t="s">
        <v>1794</v>
      </c>
      <c r="L170" s="148" t="s">
        <v>1794</v>
      </c>
      <c r="M170" s="148" t="s">
        <v>1794</v>
      </c>
      <c r="N170" s="148" t="s">
        <v>1794</v>
      </c>
      <c r="O170" s="149" t="s">
        <v>1794</v>
      </c>
      <c r="P170" s="150" t="s">
        <v>1794</v>
      </c>
      <c r="Q170" s="148" t="s">
        <v>1794</v>
      </c>
      <c r="R170" s="148" t="s">
        <v>1794</v>
      </c>
      <c r="S170" s="148" t="s">
        <v>1794</v>
      </c>
      <c r="T170" s="148" t="s">
        <v>1794</v>
      </c>
      <c r="U170" s="149" t="s">
        <v>1794</v>
      </c>
      <c r="V170" s="150" t="s">
        <v>1794</v>
      </c>
      <c r="W170" s="148" t="s">
        <v>1794</v>
      </c>
      <c r="X170" s="148" t="s">
        <v>1794</v>
      </c>
      <c r="Y170" s="148" t="s">
        <v>1794</v>
      </c>
      <c r="Z170" s="148" t="s">
        <v>1794</v>
      </c>
      <c r="AA170" s="148" t="s">
        <v>1794</v>
      </c>
      <c r="AC170" s="151" t="s">
        <v>1800</v>
      </c>
    </row>
    <row r="171" spans="1:29">
      <c r="A171" s="260"/>
      <c r="B171" t="s">
        <v>1869</v>
      </c>
      <c r="C171" t="s">
        <v>40</v>
      </c>
      <c r="D171" s="141">
        <v>0.58499999999999996</v>
      </c>
      <c r="E171" s="141">
        <v>0.58499999999999996</v>
      </c>
      <c r="F171" s="141">
        <v>0.55500000000000005</v>
      </c>
      <c r="G171" s="141">
        <v>0.56999999999999995</v>
      </c>
      <c r="H171" s="141">
        <v>0.56499999999999995</v>
      </c>
      <c r="I171" s="141">
        <v>0.59499999999999997</v>
      </c>
      <c r="J171" s="142">
        <v>0.57999999999999996</v>
      </c>
      <c r="K171" s="141">
        <v>0.57499999999999996</v>
      </c>
      <c r="L171" s="141">
        <v>0.57499999999999996</v>
      </c>
      <c r="M171" s="141">
        <v>0.57499999999999996</v>
      </c>
      <c r="N171" s="141">
        <v>0.63</v>
      </c>
      <c r="O171" s="141">
        <v>0.63</v>
      </c>
      <c r="P171" s="142">
        <v>0.58499999999999996</v>
      </c>
      <c r="Q171" s="141">
        <v>0.55000000000000004</v>
      </c>
      <c r="R171" s="141">
        <v>0.61499999999999999</v>
      </c>
      <c r="S171" s="141">
        <v>0.59499999999999997</v>
      </c>
      <c r="T171" s="141">
        <v>0.56499999999999995</v>
      </c>
      <c r="U171" s="141">
        <v>0.58499999999999996</v>
      </c>
      <c r="V171" s="142">
        <v>0.58499999999999996</v>
      </c>
      <c r="W171" s="141">
        <v>0.56499999999999995</v>
      </c>
      <c r="X171" s="141">
        <v>0.57499999999999996</v>
      </c>
      <c r="Y171" s="141">
        <v>0.57999999999999996</v>
      </c>
      <c r="Z171" s="141">
        <v>0.57999999999999996</v>
      </c>
      <c r="AA171" s="141">
        <v>0.56000000000000005</v>
      </c>
      <c r="AB171" s="143">
        <f>_xlfn.STDEV.P(D171:AA171)</f>
        <v>1.9930434571835666E-2</v>
      </c>
      <c r="AC171" s="143"/>
    </row>
    <row r="172" spans="1:29">
      <c r="A172" s="260"/>
      <c r="C172" t="s">
        <v>220</v>
      </c>
      <c r="D172" s="141">
        <v>1.06</v>
      </c>
      <c r="E172" s="141">
        <v>1.07</v>
      </c>
      <c r="F172" s="141">
        <v>1.085</v>
      </c>
      <c r="G172" s="141">
        <v>1.0549999999999999</v>
      </c>
      <c r="H172" s="141">
        <v>1.05</v>
      </c>
      <c r="I172" s="141">
        <v>1.0449999999999999</v>
      </c>
      <c r="J172" s="142">
        <v>1.06</v>
      </c>
      <c r="K172" s="141">
        <v>1.06</v>
      </c>
      <c r="L172" s="141">
        <v>1.0449999999999999</v>
      </c>
      <c r="M172" s="141">
        <v>1.0649999999999999</v>
      </c>
      <c r="N172" s="141">
        <v>1.05</v>
      </c>
      <c r="O172" s="141">
        <v>1.05</v>
      </c>
      <c r="P172" s="142">
        <v>1.0549999999999999</v>
      </c>
      <c r="Q172" s="141">
        <v>1.0649999999999999</v>
      </c>
      <c r="R172" s="141">
        <v>1.05</v>
      </c>
      <c r="S172" s="141">
        <v>1.0549999999999999</v>
      </c>
      <c r="T172" s="141">
        <v>1.0549999999999999</v>
      </c>
      <c r="U172" s="141">
        <v>1.06</v>
      </c>
      <c r="V172" s="142">
        <v>1.06</v>
      </c>
      <c r="W172" s="141">
        <v>1.06</v>
      </c>
      <c r="X172" s="141">
        <v>1.0549999999999999</v>
      </c>
      <c r="Y172" s="141">
        <v>1.07</v>
      </c>
      <c r="Z172" s="141">
        <v>1.07</v>
      </c>
      <c r="AA172" s="141">
        <v>1.0649999999999999</v>
      </c>
      <c r="AB172" s="143">
        <f>_xlfn.STDEV.P(D172:AA172)</f>
        <v>9.0114703141175815E-3</v>
      </c>
      <c r="AC172" s="143"/>
    </row>
    <row r="173" spans="1:29">
      <c r="A173" s="260"/>
      <c r="C173" t="s">
        <v>221</v>
      </c>
      <c r="D173" s="144">
        <v>0.66</v>
      </c>
      <c r="E173" s="144">
        <v>0.65500000000000003</v>
      </c>
      <c r="F173" s="144">
        <v>0.63</v>
      </c>
      <c r="G173" s="144">
        <v>0.66500000000000004</v>
      </c>
      <c r="H173" s="144">
        <v>0.65500000000000003</v>
      </c>
      <c r="I173" s="141">
        <v>0.69</v>
      </c>
      <c r="J173" s="145">
        <v>0.64</v>
      </c>
      <c r="K173" s="144">
        <v>0.66</v>
      </c>
      <c r="L173" s="144">
        <v>0.67500000000000004</v>
      </c>
      <c r="M173" s="144">
        <v>0.64</v>
      </c>
      <c r="N173" s="144">
        <v>0.66</v>
      </c>
      <c r="O173" s="141">
        <v>0.66</v>
      </c>
      <c r="P173" s="145">
        <v>0.63</v>
      </c>
      <c r="Q173" s="144">
        <v>0.64500000000000002</v>
      </c>
      <c r="R173" s="144">
        <v>0.65</v>
      </c>
      <c r="S173" s="144">
        <v>0.65500000000000003</v>
      </c>
      <c r="T173" s="144">
        <v>0.62</v>
      </c>
      <c r="U173" s="141">
        <v>0.64</v>
      </c>
      <c r="V173" s="145">
        <v>0.64500000000000002</v>
      </c>
      <c r="W173" s="144">
        <v>0.65</v>
      </c>
      <c r="X173" s="144">
        <v>0.65500000000000003</v>
      </c>
      <c r="Y173" s="144">
        <v>0.61499999999999999</v>
      </c>
      <c r="Z173" s="144">
        <v>0.61499999999999999</v>
      </c>
      <c r="AA173" s="144">
        <v>0.63</v>
      </c>
      <c r="AB173" s="143">
        <f>_xlfn.STDEV.P(D173:AA173)</f>
        <v>1.7911821050170567E-2</v>
      </c>
      <c r="AC173" s="146"/>
    </row>
    <row r="174" spans="1:29">
      <c r="A174" s="260"/>
      <c r="B174" s="147" t="s">
        <v>1870</v>
      </c>
      <c r="D174" s="148" t="s">
        <v>1794</v>
      </c>
      <c r="E174" s="148" t="s">
        <v>1794</v>
      </c>
      <c r="F174" s="148" t="s">
        <v>1794</v>
      </c>
      <c r="G174" s="148" t="s">
        <v>1794</v>
      </c>
      <c r="H174" s="148" t="s">
        <v>1794</v>
      </c>
      <c r="I174" s="149" t="s">
        <v>1794</v>
      </c>
      <c r="J174" s="150" t="s">
        <v>1794</v>
      </c>
      <c r="K174" s="148" t="s">
        <v>1794</v>
      </c>
      <c r="L174" s="148" t="s">
        <v>1794</v>
      </c>
      <c r="M174" s="148" t="s">
        <v>1794</v>
      </c>
      <c r="N174" s="148" t="s">
        <v>1794</v>
      </c>
      <c r="O174" s="149" t="s">
        <v>1794</v>
      </c>
      <c r="P174" s="150" t="s">
        <v>1794</v>
      </c>
      <c r="Q174" s="148" t="s">
        <v>1794</v>
      </c>
      <c r="R174" s="148" t="s">
        <v>1794</v>
      </c>
      <c r="S174" s="148" t="s">
        <v>1794</v>
      </c>
      <c r="T174" s="148" t="s">
        <v>1794</v>
      </c>
      <c r="U174" s="149" t="s">
        <v>1794</v>
      </c>
      <c r="V174" s="150" t="s">
        <v>1794</v>
      </c>
      <c r="W174" s="148" t="s">
        <v>1794</v>
      </c>
      <c r="X174" s="148" t="s">
        <v>1794</v>
      </c>
      <c r="Y174" s="148" t="s">
        <v>1794</v>
      </c>
      <c r="Z174" s="148" t="s">
        <v>1794</v>
      </c>
      <c r="AA174" s="148" t="s">
        <v>1794</v>
      </c>
      <c r="AC174" s="151" t="s">
        <v>1800</v>
      </c>
    </row>
    <row r="175" spans="1:29">
      <c r="A175" s="260"/>
    </row>
    <row r="176" spans="1:29">
      <c r="A176" s="260" t="s">
        <v>202</v>
      </c>
      <c r="B176" s="126" t="s">
        <v>1792</v>
      </c>
      <c r="C176" s="127" t="s">
        <v>40</v>
      </c>
      <c r="D176" s="128">
        <v>0.495</v>
      </c>
      <c r="E176" s="128">
        <v>0.48499999999999999</v>
      </c>
      <c r="F176" s="128">
        <v>0.5</v>
      </c>
      <c r="G176" s="128">
        <v>0.49</v>
      </c>
      <c r="H176" s="128">
        <v>0.48499999999999999</v>
      </c>
      <c r="I176" s="128">
        <v>0.505</v>
      </c>
      <c r="J176" s="129">
        <v>0.48</v>
      </c>
      <c r="K176" s="128">
        <v>0.48499999999999999</v>
      </c>
      <c r="L176" s="128">
        <v>0.495</v>
      </c>
      <c r="M176" s="128">
        <v>0.46500000000000002</v>
      </c>
      <c r="N176" s="128">
        <v>0.505</v>
      </c>
      <c r="O176" s="128">
        <v>0.48499999999999999</v>
      </c>
      <c r="P176" s="129">
        <v>0.48499999999999999</v>
      </c>
      <c r="Q176" s="128">
        <v>0.495</v>
      </c>
      <c r="R176" s="128">
        <v>0.5</v>
      </c>
      <c r="S176" s="128">
        <v>0.47499999999999998</v>
      </c>
      <c r="T176" s="128">
        <v>0.46500000000000002</v>
      </c>
      <c r="U176" s="128">
        <v>0.46500000000000002</v>
      </c>
      <c r="V176" s="129">
        <v>0.5</v>
      </c>
      <c r="W176" s="128">
        <v>0.48</v>
      </c>
      <c r="X176" s="128">
        <v>0.505</v>
      </c>
      <c r="Y176" s="128">
        <v>0.48</v>
      </c>
      <c r="Z176" s="128">
        <v>0.495</v>
      </c>
      <c r="AA176" s="128">
        <v>0.505</v>
      </c>
      <c r="AB176" s="132">
        <f>_xlfn.STDEV.P(D176:AA176)</f>
        <v>1.2539866980510152E-2</v>
      </c>
      <c r="AC176" s="132"/>
    </row>
    <row r="177" spans="1:29">
      <c r="A177" s="260"/>
      <c r="B177" s="126"/>
      <c r="C177" s="127" t="s">
        <v>220</v>
      </c>
      <c r="D177" s="128">
        <v>1.01</v>
      </c>
      <c r="E177" s="128">
        <v>1</v>
      </c>
      <c r="F177" s="128">
        <v>1</v>
      </c>
      <c r="G177" s="128">
        <v>1.0049999999999999</v>
      </c>
      <c r="H177" s="128">
        <v>1.0049999999999999</v>
      </c>
      <c r="I177" s="128">
        <v>1</v>
      </c>
      <c r="J177" s="129">
        <v>1.0149999999999999</v>
      </c>
      <c r="K177" s="128">
        <v>1.01</v>
      </c>
      <c r="L177" s="128">
        <v>0.995</v>
      </c>
      <c r="M177" s="128">
        <v>1.0449999999999999</v>
      </c>
      <c r="N177" s="128">
        <v>0.99</v>
      </c>
      <c r="O177" s="128">
        <v>1.0149999999999999</v>
      </c>
      <c r="P177" s="129">
        <v>1.0049999999999999</v>
      </c>
      <c r="Q177" s="128">
        <v>1.0049999999999999</v>
      </c>
      <c r="R177" s="128">
        <v>1.0049999999999999</v>
      </c>
      <c r="S177" s="128">
        <v>1.0349999999999999</v>
      </c>
      <c r="T177" s="128">
        <v>1.01</v>
      </c>
      <c r="U177" s="128">
        <v>1.0049999999999999</v>
      </c>
      <c r="V177" s="129">
        <v>1.01</v>
      </c>
      <c r="W177" s="128">
        <v>1.0249999999999999</v>
      </c>
      <c r="X177" s="128">
        <v>1.0049999999999999</v>
      </c>
      <c r="Y177" s="128">
        <v>1.02</v>
      </c>
      <c r="Z177" s="128">
        <v>1.01</v>
      </c>
      <c r="AA177" s="128">
        <v>1.0049999999999999</v>
      </c>
      <c r="AB177" s="132">
        <f>_xlfn.STDEV.P(D177:AA177)</f>
        <v>1.180718942942062E-2</v>
      </c>
      <c r="AC177" s="132"/>
    </row>
    <row r="178" spans="1:29">
      <c r="A178" s="260"/>
      <c r="B178" s="126"/>
      <c r="C178" s="127" t="s">
        <v>221</v>
      </c>
      <c r="D178" s="133">
        <v>0.52</v>
      </c>
      <c r="E178" s="133">
        <v>0.51</v>
      </c>
      <c r="F178" s="133">
        <v>0.51500000000000001</v>
      </c>
      <c r="G178" s="133">
        <v>0.51</v>
      </c>
      <c r="H178" s="133">
        <v>0.5</v>
      </c>
      <c r="I178" s="128">
        <v>0.52</v>
      </c>
      <c r="J178" s="134">
        <v>0.51</v>
      </c>
      <c r="K178" s="133">
        <v>0.505</v>
      </c>
      <c r="L178" s="133">
        <v>0.52500000000000002</v>
      </c>
      <c r="M178" s="133">
        <v>0.48</v>
      </c>
      <c r="N178" s="133">
        <v>0.505</v>
      </c>
      <c r="O178" s="128">
        <v>0.51500000000000001</v>
      </c>
      <c r="P178" s="134">
        <v>0.51</v>
      </c>
      <c r="Q178" s="133">
        <v>0.48499999999999999</v>
      </c>
      <c r="R178" s="133">
        <v>0.5</v>
      </c>
      <c r="S178" s="133">
        <v>0.48499999999999999</v>
      </c>
      <c r="T178" s="133">
        <v>0.505</v>
      </c>
      <c r="U178" s="128">
        <v>0.5</v>
      </c>
      <c r="V178" s="134">
        <v>0.49</v>
      </c>
      <c r="W178" s="133">
        <v>0.48499999999999999</v>
      </c>
      <c r="X178" s="133">
        <v>0.49</v>
      </c>
      <c r="Y178" s="133">
        <v>0.49</v>
      </c>
      <c r="Z178" s="133">
        <v>0.5</v>
      </c>
      <c r="AA178" s="133">
        <v>0.495</v>
      </c>
      <c r="AB178" s="132">
        <f>_xlfn.STDEV.P(D178:AA178)</f>
        <v>1.2325166214790876E-2</v>
      </c>
      <c r="AC178" s="135"/>
    </row>
    <row r="179" spans="1:29">
      <c r="A179" s="260"/>
      <c r="B179" s="136" t="s">
        <v>1793</v>
      </c>
      <c r="C179" s="127"/>
      <c r="D179" s="137" t="s">
        <v>1794</v>
      </c>
      <c r="E179" s="137" t="s">
        <v>1794</v>
      </c>
      <c r="F179" s="137" t="s">
        <v>1794</v>
      </c>
      <c r="G179" s="137" t="s">
        <v>1794</v>
      </c>
      <c r="H179" s="137" t="s">
        <v>1794</v>
      </c>
      <c r="I179" s="138" t="s">
        <v>1794</v>
      </c>
      <c r="J179" s="139" t="s">
        <v>1794</v>
      </c>
      <c r="K179" s="137" t="s">
        <v>1794</v>
      </c>
      <c r="L179" s="137" t="s">
        <v>1794</v>
      </c>
      <c r="M179" s="137" t="s">
        <v>1794</v>
      </c>
      <c r="N179" s="137" t="s">
        <v>1794</v>
      </c>
      <c r="O179" s="138" t="s">
        <v>1794</v>
      </c>
      <c r="P179" s="139" t="s">
        <v>1794</v>
      </c>
      <c r="Q179" s="137" t="s">
        <v>1794</v>
      </c>
      <c r="R179" s="137" t="s">
        <v>1794</v>
      </c>
      <c r="S179" s="137" t="s">
        <v>1794</v>
      </c>
      <c r="T179" s="137" t="s">
        <v>1794</v>
      </c>
      <c r="U179" s="138" t="s">
        <v>1794</v>
      </c>
      <c r="V179" s="139" t="s">
        <v>1794</v>
      </c>
      <c r="W179" s="137" t="s">
        <v>1794</v>
      </c>
      <c r="X179" s="137" t="s">
        <v>1794</v>
      </c>
      <c r="Y179" s="137" t="s">
        <v>1794</v>
      </c>
      <c r="Z179" s="137" t="s">
        <v>1794</v>
      </c>
      <c r="AA179" s="137" t="s">
        <v>1794</v>
      </c>
      <c r="AB179" s="127"/>
      <c r="AC179" s="140" t="s">
        <v>1800</v>
      </c>
    </row>
    <row r="180" spans="1:29">
      <c r="A180" s="260"/>
      <c r="B180" t="s">
        <v>1798</v>
      </c>
      <c r="C180" t="s">
        <v>40</v>
      </c>
      <c r="D180" s="141">
        <v>0.48499999999999999</v>
      </c>
      <c r="E180" s="141">
        <v>0.5</v>
      </c>
      <c r="F180" s="141">
        <v>0.45500000000000002</v>
      </c>
      <c r="G180" s="141">
        <v>0.48</v>
      </c>
      <c r="H180" s="141">
        <v>0.48499999999999999</v>
      </c>
      <c r="I180" s="141">
        <v>0.49</v>
      </c>
      <c r="J180" s="142">
        <v>0.49</v>
      </c>
      <c r="K180" s="141">
        <v>0.51</v>
      </c>
      <c r="L180" s="141">
        <v>0.51</v>
      </c>
      <c r="M180" s="141">
        <v>0.49</v>
      </c>
      <c r="N180" s="141">
        <v>0.47499999999999998</v>
      </c>
      <c r="O180" s="141">
        <v>0.47499999999999998</v>
      </c>
      <c r="P180" s="142">
        <v>0.48499999999999999</v>
      </c>
      <c r="Q180" s="141">
        <v>0.47</v>
      </c>
      <c r="R180" s="141">
        <v>0.5</v>
      </c>
      <c r="S180" s="141">
        <v>0.48499999999999999</v>
      </c>
      <c r="T180" s="141">
        <v>0.495</v>
      </c>
      <c r="U180" s="141">
        <v>0.48499999999999999</v>
      </c>
      <c r="V180" s="142">
        <v>0.495</v>
      </c>
      <c r="W180" s="141">
        <v>0.47499999999999998</v>
      </c>
      <c r="X180" s="141">
        <v>0.49</v>
      </c>
      <c r="Y180" s="141">
        <v>0.54500000000000004</v>
      </c>
      <c r="Z180" s="141">
        <v>0.505</v>
      </c>
      <c r="AA180" s="141">
        <v>0.45</v>
      </c>
      <c r="AB180" s="143">
        <f>_xlfn.STDEV.P(D180:AA180)</f>
        <v>1.8679264722026825E-2</v>
      </c>
      <c r="AC180" s="143"/>
    </row>
    <row r="181" spans="1:29">
      <c r="A181" s="260"/>
      <c r="C181" t="s">
        <v>220</v>
      </c>
      <c r="D181" s="141">
        <v>1.0149999999999999</v>
      </c>
      <c r="E181" s="141">
        <v>1.01</v>
      </c>
      <c r="F181" s="141">
        <v>1</v>
      </c>
      <c r="G181" s="141">
        <v>1.0049999999999999</v>
      </c>
      <c r="H181" s="141">
        <v>1.01</v>
      </c>
      <c r="I181" s="141">
        <v>1.01</v>
      </c>
      <c r="J181" s="142">
        <v>1.01</v>
      </c>
      <c r="K181" s="141">
        <v>1.01</v>
      </c>
      <c r="L181" s="141">
        <v>1</v>
      </c>
      <c r="M181" s="141">
        <v>1.0149999999999999</v>
      </c>
      <c r="N181" s="141">
        <v>1.0049999999999999</v>
      </c>
      <c r="O181" s="141">
        <v>1.0149999999999999</v>
      </c>
      <c r="P181" s="142">
        <v>1.01</v>
      </c>
      <c r="Q181" s="141">
        <v>1.01</v>
      </c>
      <c r="R181" s="141">
        <v>0.99</v>
      </c>
      <c r="S181" s="141">
        <v>1.0049999999999999</v>
      </c>
      <c r="T181" s="141">
        <v>1.0049999999999999</v>
      </c>
      <c r="U181" s="141">
        <v>1.0049999999999999</v>
      </c>
      <c r="V181" s="142">
        <v>1.0049999999999999</v>
      </c>
      <c r="W181" s="141">
        <v>1.0149999999999999</v>
      </c>
      <c r="X181" s="141">
        <v>1.0149999999999999</v>
      </c>
      <c r="Y181" s="141">
        <v>1</v>
      </c>
      <c r="Z181" s="141">
        <v>0.94</v>
      </c>
      <c r="AA181" s="141">
        <v>1.02</v>
      </c>
      <c r="AB181" s="143">
        <f>_xlfn.STDEV.P(D181:AA181)</f>
        <v>1.503323863606538E-2</v>
      </c>
      <c r="AC181" s="143"/>
    </row>
    <row r="182" spans="1:29">
      <c r="A182" s="260"/>
      <c r="C182" t="s">
        <v>221</v>
      </c>
      <c r="D182" s="144">
        <v>0.55000000000000004</v>
      </c>
      <c r="E182" s="144">
        <v>0.495</v>
      </c>
      <c r="F182" s="144">
        <v>0.5</v>
      </c>
      <c r="G182" s="144">
        <v>0.51500000000000001</v>
      </c>
      <c r="H182" s="144">
        <v>0.52</v>
      </c>
      <c r="I182" s="141">
        <v>0.51</v>
      </c>
      <c r="J182" s="145">
        <v>0.51</v>
      </c>
      <c r="K182" s="144">
        <v>0.51</v>
      </c>
      <c r="L182" s="144">
        <v>0.54</v>
      </c>
      <c r="M182" s="144">
        <v>0.5</v>
      </c>
      <c r="N182" s="144">
        <v>0.495</v>
      </c>
      <c r="O182" s="141">
        <v>0.505</v>
      </c>
      <c r="P182" s="145">
        <v>0.53500000000000003</v>
      </c>
      <c r="Q182" s="144">
        <v>0.52</v>
      </c>
      <c r="R182" s="144">
        <v>0.51</v>
      </c>
      <c r="S182" s="144">
        <v>0.51</v>
      </c>
      <c r="T182" s="144">
        <v>0.51500000000000001</v>
      </c>
      <c r="U182" s="141">
        <v>0.51</v>
      </c>
      <c r="V182" s="145">
        <v>0.505</v>
      </c>
      <c r="W182" s="144">
        <v>0.5</v>
      </c>
      <c r="X182" s="144">
        <v>0.51500000000000001</v>
      </c>
      <c r="Y182" s="144">
        <v>0.47499999999999998</v>
      </c>
      <c r="Z182" s="144">
        <v>0.56000000000000005</v>
      </c>
      <c r="AA182" s="144">
        <v>0.48499999999999999</v>
      </c>
      <c r="AB182" s="143">
        <f>_xlfn.STDEV.P(D182:AA182)</f>
        <v>1.8759256974150731E-2</v>
      </c>
      <c r="AC182" s="146"/>
    </row>
    <row r="183" spans="1:29">
      <c r="A183" s="260"/>
      <c r="B183" s="147" t="s">
        <v>1799</v>
      </c>
      <c r="D183" s="148" t="s">
        <v>1794</v>
      </c>
      <c r="E183" s="148" t="s">
        <v>1794</v>
      </c>
      <c r="F183" s="148" t="s">
        <v>1794</v>
      </c>
      <c r="G183" s="148" t="s">
        <v>1794</v>
      </c>
      <c r="H183" s="148" t="s">
        <v>1794</v>
      </c>
      <c r="I183" s="149" t="s">
        <v>1794</v>
      </c>
      <c r="J183" s="150" t="s">
        <v>1794</v>
      </c>
      <c r="K183" s="148" t="s">
        <v>1796</v>
      </c>
      <c r="L183" s="148" t="s">
        <v>1796</v>
      </c>
      <c r="M183" s="148" t="s">
        <v>1794</v>
      </c>
      <c r="N183" s="148" t="s">
        <v>1794</v>
      </c>
      <c r="O183" s="149" t="s">
        <v>1794</v>
      </c>
      <c r="P183" s="150" t="s">
        <v>1794</v>
      </c>
      <c r="Q183" s="148" t="s">
        <v>1796</v>
      </c>
      <c r="R183" s="148" t="s">
        <v>1796</v>
      </c>
      <c r="S183" s="148" t="s">
        <v>1794</v>
      </c>
      <c r="T183" s="148" t="s">
        <v>1794</v>
      </c>
      <c r="U183" s="149" t="s">
        <v>1794</v>
      </c>
      <c r="V183" s="150" t="s">
        <v>1796</v>
      </c>
      <c r="W183" s="148" t="s">
        <v>1794</v>
      </c>
      <c r="X183" s="148" t="s">
        <v>1796</v>
      </c>
      <c r="Y183" s="148" t="s">
        <v>1796</v>
      </c>
      <c r="Z183" s="148" t="s">
        <v>1796</v>
      </c>
      <c r="AA183" s="148" t="s">
        <v>1796</v>
      </c>
      <c r="AC183" s="151" t="s">
        <v>1871</v>
      </c>
    </row>
    <row r="184" spans="1:29">
      <c r="A184" s="260"/>
      <c r="B184" t="s">
        <v>1801</v>
      </c>
      <c r="C184" t="s">
        <v>40</v>
      </c>
      <c r="D184" s="141">
        <v>0.51</v>
      </c>
      <c r="E184" s="141">
        <v>0.51</v>
      </c>
      <c r="F184" s="141">
        <v>0.51</v>
      </c>
      <c r="G184" s="141">
        <v>0.5</v>
      </c>
      <c r="H184" s="141">
        <v>0.5</v>
      </c>
      <c r="I184" s="141">
        <v>0.5</v>
      </c>
      <c r="J184" s="142">
        <v>0.52</v>
      </c>
      <c r="K184" s="141">
        <v>0.49</v>
      </c>
      <c r="L184" s="141">
        <v>0.5</v>
      </c>
      <c r="M184" s="141">
        <v>0.505</v>
      </c>
      <c r="N184" s="141">
        <v>0.505</v>
      </c>
      <c r="O184" s="141">
        <v>0.52500000000000002</v>
      </c>
      <c r="P184" s="142">
        <v>0.5</v>
      </c>
      <c r="Q184" s="141">
        <v>0.5</v>
      </c>
      <c r="R184" s="141">
        <v>0.49</v>
      </c>
      <c r="S184" s="141">
        <v>0.5</v>
      </c>
      <c r="T184" s="141">
        <v>0.51</v>
      </c>
      <c r="U184" s="141">
        <v>0.51500000000000001</v>
      </c>
      <c r="V184" s="142">
        <v>0.48</v>
      </c>
      <c r="W184" s="141">
        <v>0.47</v>
      </c>
      <c r="X184" s="141">
        <v>0.5</v>
      </c>
      <c r="Y184" s="141">
        <v>0.505</v>
      </c>
      <c r="Z184" s="141">
        <v>0.495</v>
      </c>
      <c r="AA184" s="141">
        <v>0.505</v>
      </c>
      <c r="AB184" s="143">
        <f>_xlfn.STDEV.P(D184:AA184)</f>
        <v>1.1530078418351438E-2</v>
      </c>
      <c r="AC184" s="143"/>
    </row>
    <row r="185" spans="1:29">
      <c r="A185" s="260"/>
      <c r="C185" t="s">
        <v>220</v>
      </c>
      <c r="D185" s="141">
        <v>1.01</v>
      </c>
      <c r="E185" s="141">
        <v>0.99</v>
      </c>
      <c r="F185" s="141">
        <v>1.0149999999999999</v>
      </c>
      <c r="G185" s="141">
        <v>1.01</v>
      </c>
      <c r="H185" s="141">
        <v>1.01</v>
      </c>
      <c r="I185" s="141">
        <v>1.01</v>
      </c>
      <c r="J185" s="142">
        <v>0.995</v>
      </c>
      <c r="K185" s="141">
        <v>1.02</v>
      </c>
      <c r="L185" s="141">
        <v>1.0049999999999999</v>
      </c>
      <c r="M185" s="141">
        <v>1.0149999999999999</v>
      </c>
      <c r="N185" s="141">
        <v>1.0149999999999999</v>
      </c>
      <c r="O185" s="141">
        <v>1</v>
      </c>
      <c r="P185" s="142">
        <v>1.01</v>
      </c>
      <c r="Q185" s="141">
        <v>1.0049999999999999</v>
      </c>
      <c r="R185" s="141">
        <v>1.02</v>
      </c>
      <c r="S185" s="141">
        <v>1.02</v>
      </c>
      <c r="T185" s="141">
        <v>1.0049999999999999</v>
      </c>
      <c r="U185" s="141">
        <v>1.0049999999999999</v>
      </c>
      <c r="V185" s="142">
        <v>1.0049999999999999</v>
      </c>
      <c r="W185" s="141">
        <v>1.0049999999999999</v>
      </c>
      <c r="X185" s="141">
        <v>1.01</v>
      </c>
      <c r="Y185" s="141">
        <v>1.01</v>
      </c>
      <c r="Z185" s="141">
        <v>1.0049999999999999</v>
      </c>
      <c r="AA185" s="141">
        <v>1.02</v>
      </c>
      <c r="AB185" s="143">
        <f>_xlfn.STDEV.P(D185:AA185)</f>
        <v>7.4971059231027553E-3</v>
      </c>
      <c r="AC185" s="143"/>
    </row>
    <row r="186" spans="1:29">
      <c r="A186" s="260"/>
      <c r="C186" t="s">
        <v>221</v>
      </c>
      <c r="D186" s="144">
        <v>0.505</v>
      </c>
      <c r="E186" s="144">
        <v>0.495</v>
      </c>
      <c r="F186" s="144">
        <v>0.505</v>
      </c>
      <c r="G186" s="144">
        <v>0.5</v>
      </c>
      <c r="H186" s="144">
        <v>0.5</v>
      </c>
      <c r="I186" s="141">
        <v>0.505</v>
      </c>
      <c r="J186" s="145">
        <v>0.51</v>
      </c>
      <c r="K186" s="144">
        <v>0.5</v>
      </c>
      <c r="L186" s="144">
        <v>0.505</v>
      </c>
      <c r="M186" s="144">
        <v>0.48499999999999999</v>
      </c>
      <c r="N186" s="144">
        <v>0.5</v>
      </c>
      <c r="O186" s="141">
        <v>0.45500000000000002</v>
      </c>
      <c r="P186" s="145">
        <v>0.495</v>
      </c>
      <c r="Q186" s="144">
        <v>0.49</v>
      </c>
      <c r="R186" s="144">
        <v>0.48499999999999999</v>
      </c>
      <c r="S186" s="144">
        <v>0.47499999999999998</v>
      </c>
      <c r="T186" s="144">
        <v>0.47499999999999998</v>
      </c>
      <c r="U186" s="141">
        <v>0.52500000000000002</v>
      </c>
      <c r="V186" s="145">
        <v>0.505</v>
      </c>
      <c r="W186" s="144">
        <v>0.505</v>
      </c>
      <c r="X186" s="144">
        <v>0.505</v>
      </c>
      <c r="Y186" s="144">
        <v>0.495</v>
      </c>
      <c r="Z186" s="144">
        <v>0.495</v>
      </c>
      <c r="AA186" s="144">
        <v>0.51500000000000001</v>
      </c>
      <c r="AB186" s="143">
        <f>_xlfn.STDEV.P(D186:AA186)</f>
        <v>1.4209494087483282E-2</v>
      </c>
      <c r="AC186" s="146"/>
    </row>
    <row r="187" spans="1:29">
      <c r="A187" s="260"/>
      <c r="B187" s="147" t="s">
        <v>1802</v>
      </c>
      <c r="D187" s="148" t="s">
        <v>1794</v>
      </c>
      <c r="E187" s="148" t="s">
        <v>1794</v>
      </c>
      <c r="F187" s="148" t="s">
        <v>1794</v>
      </c>
      <c r="G187" s="148" t="s">
        <v>1794</v>
      </c>
      <c r="H187" s="148" t="s">
        <v>1794</v>
      </c>
      <c r="I187" s="149" t="s">
        <v>1803</v>
      </c>
      <c r="J187" s="150" t="s">
        <v>1796</v>
      </c>
      <c r="K187" s="148" t="s">
        <v>1795</v>
      </c>
      <c r="L187" s="148" t="s">
        <v>1796</v>
      </c>
      <c r="M187" s="148" t="s">
        <v>1794</v>
      </c>
      <c r="N187" s="148" t="s">
        <v>1796</v>
      </c>
      <c r="O187" s="149" t="s">
        <v>1794</v>
      </c>
      <c r="P187" s="150" t="s">
        <v>1796</v>
      </c>
      <c r="Q187" s="148" t="s">
        <v>1796</v>
      </c>
      <c r="R187" s="148" t="s">
        <v>1796</v>
      </c>
      <c r="S187" s="148" t="s">
        <v>1795</v>
      </c>
      <c r="T187" s="148" t="s">
        <v>1794</v>
      </c>
      <c r="U187" s="149" t="s">
        <v>1796</v>
      </c>
      <c r="V187" s="150" t="s">
        <v>1794</v>
      </c>
      <c r="W187" s="148" t="s">
        <v>1795</v>
      </c>
      <c r="X187" s="148" t="s">
        <v>1796</v>
      </c>
      <c r="Y187" s="148" t="s">
        <v>1794</v>
      </c>
      <c r="Z187" s="148" t="s">
        <v>1796</v>
      </c>
      <c r="AA187" s="148" t="s">
        <v>1796</v>
      </c>
      <c r="AC187" s="151" t="s">
        <v>1872</v>
      </c>
    </row>
    <row r="188" spans="1:29">
      <c r="A188" s="260"/>
      <c r="B188" t="s">
        <v>1805</v>
      </c>
      <c r="C188" t="s">
        <v>40</v>
      </c>
      <c r="D188" s="141">
        <v>0.49</v>
      </c>
      <c r="E188" s="141">
        <v>0.5</v>
      </c>
      <c r="F188" s="141">
        <v>0.47499999999999998</v>
      </c>
      <c r="G188" s="141">
        <v>0.5</v>
      </c>
      <c r="H188" s="141">
        <v>0.505</v>
      </c>
      <c r="I188" s="141">
        <v>0.48499999999999999</v>
      </c>
      <c r="J188" s="142">
        <v>0.51500000000000001</v>
      </c>
      <c r="K188" s="141">
        <v>0.51500000000000001</v>
      </c>
      <c r="L188" s="141">
        <v>0.51</v>
      </c>
      <c r="M188" s="141">
        <v>0.47</v>
      </c>
      <c r="N188" s="141">
        <v>0.42</v>
      </c>
      <c r="O188" s="141">
        <v>0.48499999999999999</v>
      </c>
      <c r="P188" s="142">
        <v>0.47</v>
      </c>
      <c r="Q188" s="141">
        <v>0.495</v>
      </c>
      <c r="R188" s="141">
        <v>0.495</v>
      </c>
      <c r="S188" s="141">
        <v>0.51</v>
      </c>
      <c r="T188" s="141">
        <v>0.48499999999999999</v>
      </c>
      <c r="U188" s="141">
        <v>0.505</v>
      </c>
      <c r="V188" s="142">
        <v>0.5</v>
      </c>
      <c r="W188" s="141">
        <v>0.48499999999999999</v>
      </c>
      <c r="X188" s="141">
        <v>0.47</v>
      </c>
      <c r="Y188" s="141">
        <v>0.5</v>
      </c>
      <c r="Z188" s="141">
        <v>0.505</v>
      </c>
      <c r="AA188" s="141">
        <v>0.48</v>
      </c>
      <c r="AB188" s="143">
        <f>_xlfn.STDEV.P(D188:AA188)</f>
        <v>2.0099578491987239E-2</v>
      </c>
      <c r="AC188" s="143"/>
    </row>
    <row r="189" spans="1:29">
      <c r="A189" s="260"/>
      <c r="C189" t="s">
        <v>220</v>
      </c>
      <c r="D189" s="141">
        <v>1.01</v>
      </c>
      <c r="E189" s="141">
        <v>1.0049999999999999</v>
      </c>
      <c r="F189" s="141">
        <v>1.01</v>
      </c>
      <c r="G189" s="141">
        <v>1.02</v>
      </c>
      <c r="H189" s="141">
        <v>1.0049999999999999</v>
      </c>
      <c r="I189" s="141">
        <v>1.01</v>
      </c>
      <c r="J189" s="142">
        <v>1.0049999999999999</v>
      </c>
      <c r="K189" s="141">
        <v>1</v>
      </c>
      <c r="L189" s="141">
        <v>1.0049999999999999</v>
      </c>
      <c r="M189" s="141">
        <v>1.01</v>
      </c>
      <c r="N189" s="141">
        <v>1.01</v>
      </c>
      <c r="O189" s="141">
        <v>0.995</v>
      </c>
      <c r="P189" s="142">
        <v>1.01</v>
      </c>
      <c r="Q189" s="141">
        <v>1.01</v>
      </c>
      <c r="R189" s="141">
        <v>1.0149999999999999</v>
      </c>
      <c r="S189" s="141">
        <v>1</v>
      </c>
      <c r="T189" s="141">
        <v>1.01</v>
      </c>
      <c r="U189" s="141">
        <v>1.0049999999999999</v>
      </c>
      <c r="V189" s="142">
        <v>1.0049999999999999</v>
      </c>
      <c r="W189" s="141">
        <v>1.01</v>
      </c>
      <c r="X189" s="141">
        <v>1.01</v>
      </c>
      <c r="Y189" s="141">
        <v>1.0049999999999999</v>
      </c>
      <c r="Z189" s="141">
        <v>1.01</v>
      </c>
      <c r="AA189" s="141">
        <v>1.0149999999999999</v>
      </c>
      <c r="AB189" s="143">
        <f>_xlfn.STDEV.P(D189:AA189)</f>
        <v>5.1874581658286492E-3</v>
      </c>
      <c r="AC189" s="143"/>
    </row>
    <row r="190" spans="1:29">
      <c r="A190" s="260"/>
      <c r="C190" t="s">
        <v>221</v>
      </c>
      <c r="D190" s="144">
        <v>0.51500000000000001</v>
      </c>
      <c r="E190" s="144">
        <v>0.52</v>
      </c>
      <c r="F190" s="144">
        <v>0.51</v>
      </c>
      <c r="G190" s="144">
        <v>0.505</v>
      </c>
      <c r="H190" s="144">
        <v>0.53</v>
      </c>
      <c r="I190" s="141">
        <v>0.51</v>
      </c>
      <c r="J190" s="145">
        <v>0.47499999999999998</v>
      </c>
      <c r="K190" s="144">
        <v>0.52</v>
      </c>
      <c r="L190" s="144">
        <v>0.52</v>
      </c>
      <c r="M190" s="144">
        <v>0.52500000000000002</v>
      </c>
      <c r="N190" s="144">
        <v>0.495</v>
      </c>
      <c r="O190" s="141">
        <v>0.51</v>
      </c>
      <c r="P190" s="145">
        <v>0.51</v>
      </c>
      <c r="Q190" s="144">
        <v>0.495</v>
      </c>
      <c r="R190" s="144">
        <v>0.51500000000000001</v>
      </c>
      <c r="S190" s="144">
        <v>0.51500000000000001</v>
      </c>
      <c r="T190" s="144">
        <v>0.51</v>
      </c>
      <c r="U190" s="141">
        <v>0.51500000000000001</v>
      </c>
      <c r="V190" s="145">
        <v>0.48499999999999999</v>
      </c>
      <c r="W190" s="144">
        <v>0.5</v>
      </c>
      <c r="X190" s="144">
        <v>0.495</v>
      </c>
      <c r="Y190" s="144">
        <v>0.49</v>
      </c>
      <c r="Z190" s="144">
        <v>0.495</v>
      </c>
      <c r="AA190" s="144">
        <v>0.54500000000000004</v>
      </c>
      <c r="AB190" s="143">
        <f>_xlfn.STDEV.P(D190:AA190)</f>
        <v>1.5102370582866211E-2</v>
      </c>
      <c r="AC190" s="146"/>
    </row>
    <row r="191" spans="1:29">
      <c r="A191" s="260"/>
      <c r="B191" s="147" t="s">
        <v>1806</v>
      </c>
      <c r="D191" s="148" t="s">
        <v>1794</v>
      </c>
      <c r="E191" s="148" t="s">
        <v>1796</v>
      </c>
      <c r="F191" s="148" t="s">
        <v>1796</v>
      </c>
      <c r="G191" s="148" t="s">
        <v>1796</v>
      </c>
      <c r="H191" s="148" t="s">
        <v>1796</v>
      </c>
      <c r="I191" s="149" t="s">
        <v>1796</v>
      </c>
      <c r="J191" s="150" t="s">
        <v>1796</v>
      </c>
      <c r="K191" s="148" t="s">
        <v>1795</v>
      </c>
      <c r="L191" s="148" t="s">
        <v>1795</v>
      </c>
      <c r="M191" s="148" t="s">
        <v>1795</v>
      </c>
      <c r="N191" s="148" t="s">
        <v>1794</v>
      </c>
      <c r="O191" s="149" t="s">
        <v>1796</v>
      </c>
      <c r="P191" s="150" t="s">
        <v>1794</v>
      </c>
      <c r="Q191" s="148" t="s">
        <v>1794</v>
      </c>
      <c r="R191" s="148" t="s">
        <v>1796</v>
      </c>
      <c r="S191" s="148" t="s">
        <v>1796</v>
      </c>
      <c r="T191" s="148" t="s">
        <v>1795</v>
      </c>
      <c r="U191" s="149" t="s">
        <v>1795</v>
      </c>
      <c r="V191" s="150" t="s">
        <v>1795</v>
      </c>
      <c r="W191" s="148" t="s">
        <v>1796</v>
      </c>
      <c r="X191" s="148" t="s">
        <v>1794</v>
      </c>
      <c r="Y191" s="148" t="s">
        <v>1794</v>
      </c>
      <c r="Z191" s="148" t="s">
        <v>1794</v>
      </c>
      <c r="AA191" s="148" t="s">
        <v>1794</v>
      </c>
      <c r="AC191" s="151" t="s">
        <v>1873</v>
      </c>
    </row>
    <row r="192" spans="1:29">
      <c r="A192" s="260"/>
      <c r="B192" t="s">
        <v>1807</v>
      </c>
      <c r="C192" t="s">
        <v>40</v>
      </c>
      <c r="D192" s="141">
        <v>0.47</v>
      </c>
      <c r="E192" s="141">
        <v>0.47</v>
      </c>
      <c r="F192" s="141">
        <v>0.47499999999999998</v>
      </c>
      <c r="G192" s="141">
        <v>0.47499999999999998</v>
      </c>
      <c r="H192" s="141">
        <v>0.46500000000000002</v>
      </c>
      <c r="I192" s="141">
        <v>0.48</v>
      </c>
      <c r="J192" s="142">
        <v>0.47499999999999998</v>
      </c>
      <c r="K192" s="141">
        <v>0.48</v>
      </c>
      <c r="L192" s="141">
        <v>0.495</v>
      </c>
      <c r="M192" s="141">
        <v>0.48</v>
      </c>
      <c r="N192" s="141">
        <v>0.48</v>
      </c>
      <c r="O192" s="141">
        <v>0.47499999999999998</v>
      </c>
      <c r="P192" s="142">
        <v>0.48</v>
      </c>
      <c r="Q192" s="141">
        <v>0.47</v>
      </c>
      <c r="R192" s="141">
        <v>0.52</v>
      </c>
      <c r="S192" s="141">
        <v>0.52</v>
      </c>
      <c r="T192" s="141">
        <v>0.48499999999999999</v>
      </c>
      <c r="U192" s="141">
        <v>0.47499999999999998</v>
      </c>
      <c r="V192" s="142">
        <v>0.495</v>
      </c>
      <c r="W192" s="141">
        <v>0.48</v>
      </c>
      <c r="X192" s="141">
        <v>0.48</v>
      </c>
      <c r="Y192" s="141">
        <v>0.495</v>
      </c>
      <c r="Z192" s="141">
        <v>0.5</v>
      </c>
      <c r="AA192" s="141">
        <v>0.5</v>
      </c>
      <c r="AB192" s="143">
        <f>_xlfn.STDEV.P(D192:AA192)</f>
        <v>1.4337208778404388E-2</v>
      </c>
      <c r="AC192" s="143"/>
    </row>
    <row r="193" spans="1:29">
      <c r="A193" s="260"/>
      <c r="C193" t="s">
        <v>220</v>
      </c>
      <c r="D193" s="141">
        <v>1</v>
      </c>
      <c r="E193" s="141">
        <v>1.01</v>
      </c>
      <c r="F193" s="141">
        <v>1.0049999999999999</v>
      </c>
      <c r="G193" s="141">
        <v>1.0049999999999999</v>
      </c>
      <c r="H193" s="141">
        <v>1.01</v>
      </c>
      <c r="I193" s="141">
        <v>1.01</v>
      </c>
      <c r="J193" s="142">
        <v>1.0049999999999999</v>
      </c>
      <c r="K193" s="141">
        <v>1.01</v>
      </c>
      <c r="L193" s="141">
        <v>1</v>
      </c>
      <c r="M193" s="141">
        <v>1.01</v>
      </c>
      <c r="N193" s="141">
        <v>1.01</v>
      </c>
      <c r="O193" s="141">
        <v>1</v>
      </c>
      <c r="P193" s="142">
        <v>1.01</v>
      </c>
      <c r="Q193" s="141">
        <v>1.0249999999999999</v>
      </c>
      <c r="R193" s="141">
        <v>0.99</v>
      </c>
      <c r="S193" s="141">
        <v>0.99</v>
      </c>
      <c r="T193" s="141">
        <v>1.01</v>
      </c>
      <c r="U193" s="141">
        <v>1.0049999999999999</v>
      </c>
      <c r="V193" s="142">
        <v>1.0049999999999999</v>
      </c>
      <c r="W193" s="141">
        <v>0.99</v>
      </c>
      <c r="X193" s="141">
        <v>1.01</v>
      </c>
      <c r="Y193" s="141">
        <v>1.01</v>
      </c>
      <c r="Z193" s="141">
        <v>1.01</v>
      </c>
      <c r="AA193" s="141">
        <v>1.01</v>
      </c>
      <c r="AB193" s="143">
        <f>_xlfn.STDEV.P(D193:AA193)</f>
        <v>7.7280154129130826E-3</v>
      </c>
      <c r="AC193" s="143"/>
    </row>
    <row r="194" spans="1:29">
      <c r="A194" s="260"/>
      <c r="C194" t="s">
        <v>221</v>
      </c>
      <c r="D194" s="144">
        <v>0.51</v>
      </c>
      <c r="E194" s="144">
        <v>0.52500000000000002</v>
      </c>
      <c r="F194" s="144">
        <v>0.52</v>
      </c>
      <c r="G194" s="144">
        <v>0.52500000000000002</v>
      </c>
      <c r="H194" s="144">
        <v>0.51500000000000001</v>
      </c>
      <c r="I194" s="141">
        <v>0.53</v>
      </c>
      <c r="J194" s="145">
        <v>0.52500000000000002</v>
      </c>
      <c r="K194" s="144">
        <v>0.52500000000000002</v>
      </c>
      <c r="L194" s="144">
        <v>0.54</v>
      </c>
      <c r="M194" s="144">
        <v>0.52</v>
      </c>
      <c r="N194" s="144">
        <v>0.52</v>
      </c>
      <c r="O194" s="141">
        <v>0.52500000000000002</v>
      </c>
      <c r="P194" s="145">
        <v>0.53</v>
      </c>
      <c r="Q194" s="144">
        <v>0.51500000000000001</v>
      </c>
      <c r="R194" s="144">
        <v>0.54500000000000004</v>
      </c>
      <c r="S194" s="144">
        <v>0.54500000000000004</v>
      </c>
      <c r="T194" s="144">
        <v>0.505</v>
      </c>
      <c r="U194" s="141">
        <v>0.51</v>
      </c>
      <c r="V194" s="145">
        <v>0.51</v>
      </c>
      <c r="W194" s="144">
        <v>0.51500000000000001</v>
      </c>
      <c r="X194" s="144">
        <v>0.52500000000000002</v>
      </c>
      <c r="Y194" s="144">
        <v>0.52500000000000002</v>
      </c>
      <c r="Z194" s="144">
        <v>0.51500000000000001</v>
      </c>
      <c r="AA194" s="144">
        <v>0.505</v>
      </c>
      <c r="AB194" s="143">
        <f>_xlfn.STDEV.P(D194:AA194)</f>
        <v>1.0783136912172954E-2</v>
      </c>
      <c r="AC194" s="146"/>
    </row>
    <row r="195" spans="1:29">
      <c r="A195" s="260"/>
      <c r="B195" s="147" t="s">
        <v>1808</v>
      </c>
      <c r="D195" s="148" t="s">
        <v>1794</v>
      </c>
      <c r="E195" s="148" t="s">
        <v>1796</v>
      </c>
      <c r="F195" s="148" t="s">
        <v>1796</v>
      </c>
      <c r="G195" s="148" t="s">
        <v>1795</v>
      </c>
      <c r="H195" s="148" t="s">
        <v>1795</v>
      </c>
      <c r="I195" s="149" t="s">
        <v>1795</v>
      </c>
      <c r="J195" s="150" t="s">
        <v>1795</v>
      </c>
      <c r="K195" s="148" t="s">
        <v>1795</v>
      </c>
      <c r="L195" s="148" t="s">
        <v>1796</v>
      </c>
      <c r="M195" s="148" t="s">
        <v>1796</v>
      </c>
      <c r="N195" s="148" t="s">
        <v>1796</v>
      </c>
      <c r="O195" s="149" t="s">
        <v>1796</v>
      </c>
      <c r="P195" s="150" t="s">
        <v>1795</v>
      </c>
      <c r="Q195" s="148" t="s">
        <v>1794</v>
      </c>
      <c r="R195" s="148" t="s">
        <v>1796</v>
      </c>
      <c r="S195" s="148" t="s">
        <v>1796</v>
      </c>
      <c r="T195" s="148" t="s">
        <v>1796</v>
      </c>
      <c r="U195" s="149" t="s">
        <v>1796</v>
      </c>
      <c r="V195" s="150" t="s">
        <v>1796</v>
      </c>
      <c r="W195" s="148" t="s">
        <v>1795</v>
      </c>
      <c r="X195" s="148" t="s">
        <v>1794</v>
      </c>
      <c r="Y195" s="148" t="s">
        <v>1794</v>
      </c>
      <c r="Z195" s="148" t="s">
        <v>1794</v>
      </c>
      <c r="AA195" s="148" t="s">
        <v>1794</v>
      </c>
      <c r="AC195" s="151" t="s">
        <v>1874</v>
      </c>
    </row>
    <row r="196" spans="1:29">
      <c r="A196" s="260"/>
      <c r="B196" t="s">
        <v>1809</v>
      </c>
      <c r="C196" t="s">
        <v>40</v>
      </c>
      <c r="D196" s="141">
        <v>0.5</v>
      </c>
      <c r="E196" s="141">
        <v>0.5</v>
      </c>
      <c r="F196" s="141">
        <v>0.48499999999999999</v>
      </c>
      <c r="G196" s="141">
        <v>0.505</v>
      </c>
      <c r="H196" s="141">
        <v>0.49</v>
      </c>
      <c r="I196" s="141">
        <v>0.49</v>
      </c>
      <c r="J196" s="142">
        <v>0.505</v>
      </c>
      <c r="K196" s="141">
        <v>0.49</v>
      </c>
      <c r="L196" s="141">
        <v>0.48</v>
      </c>
      <c r="M196" s="141">
        <v>0.51</v>
      </c>
      <c r="N196" s="141">
        <v>0.51</v>
      </c>
      <c r="O196" s="141">
        <v>0.48</v>
      </c>
      <c r="P196" s="142">
        <v>0.48499999999999999</v>
      </c>
      <c r="Q196" s="141">
        <v>0.48</v>
      </c>
      <c r="R196" s="141">
        <v>0.495</v>
      </c>
      <c r="S196" s="141">
        <v>0.495</v>
      </c>
      <c r="T196" s="141">
        <v>0.48499999999999999</v>
      </c>
      <c r="U196" s="141">
        <v>0.49</v>
      </c>
      <c r="V196" s="142">
        <v>0.5</v>
      </c>
      <c r="W196" s="141">
        <v>0.495</v>
      </c>
      <c r="X196" s="141">
        <v>0.5</v>
      </c>
      <c r="Y196" s="141">
        <v>0.48499999999999999</v>
      </c>
      <c r="Z196" s="141">
        <v>0.51</v>
      </c>
      <c r="AA196" s="141">
        <v>0.49</v>
      </c>
      <c r="AB196" s="143">
        <f>_xlfn.STDEV.P(D196:AA196)</f>
        <v>9.4625541243131446E-3</v>
      </c>
      <c r="AC196" s="143"/>
    </row>
    <row r="197" spans="1:29">
      <c r="A197" s="260"/>
      <c r="C197" t="s">
        <v>220</v>
      </c>
      <c r="D197" s="141">
        <v>1.0049999999999999</v>
      </c>
      <c r="E197" s="141">
        <v>1.0049999999999999</v>
      </c>
      <c r="F197" s="141">
        <v>1.0349999999999999</v>
      </c>
      <c r="G197" s="141">
        <v>1</v>
      </c>
      <c r="H197" s="141">
        <v>1</v>
      </c>
      <c r="I197" s="141">
        <v>1.01</v>
      </c>
      <c r="J197" s="142">
        <v>1.0049999999999999</v>
      </c>
      <c r="K197" s="141">
        <v>1.0049999999999999</v>
      </c>
      <c r="L197" s="141">
        <v>1.0149999999999999</v>
      </c>
      <c r="M197" s="141">
        <v>1.0049999999999999</v>
      </c>
      <c r="N197" s="141">
        <v>0.995</v>
      </c>
      <c r="O197" s="141">
        <v>1.01</v>
      </c>
      <c r="P197" s="142">
        <v>1.0049999999999999</v>
      </c>
      <c r="Q197" s="141">
        <v>1.02</v>
      </c>
      <c r="R197" s="141">
        <v>1.01</v>
      </c>
      <c r="S197" s="141">
        <v>1.01</v>
      </c>
      <c r="T197" s="141">
        <v>0.99</v>
      </c>
      <c r="U197" s="141">
        <v>0.995</v>
      </c>
      <c r="V197" s="142">
        <v>1.0049999999999999</v>
      </c>
      <c r="W197" s="141">
        <v>1.0049999999999999</v>
      </c>
      <c r="X197" s="141">
        <v>1.01</v>
      </c>
      <c r="Y197" s="141">
        <v>1.0049999999999999</v>
      </c>
      <c r="Z197" s="141">
        <v>1.0049999999999999</v>
      </c>
      <c r="AA197" s="141">
        <v>1.01</v>
      </c>
      <c r="AB197" s="143">
        <f>_xlfn.STDEV.P(D197:AA197)</f>
        <v>8.6200670273238328E-3</v>
      </c>
      <c r="AC197" s="143"/>
    </row>
    <row r="198" spans="1:29">
      <c r="A198" s="260"/>
      <c r="C198" t="s">
        <v>221</v>
      </c>
      <c r="D198" s="144">
        <v>0.53</v>
      </c>
      <c r="E198" s="144">
        <v>0.54</v>
      </c>
      <c r="F198" s="144">
        <v>0.505</v>
      </c>
      <c r="G198" s="144">
        <v>0.53</v>
      </c>
      <c r="H198" s="144">
        <v>0.53500000000000003</v>
      </c>
      <c r="I198" s="141">
        <v>0.54500000000000004</v>
      </c>
      <c r="J198" s="145">
        <v>0.54</v>
      </c>
      <c r="K198" s="144">
        <v>0.53500000000000003</v>
      </c>
      <c r="L198" s="144">
        <v>0.52500000000000002</v>
      </c>
      <c r="M198" s="144">
        <v>0.53500000000000003</v>
      </c>
      <c r="N198" s="144">
        <v>0.54500000000000004</v>
      </c>
      <c r="O198" s="141">
        <v>0.53500000000000003</v>
      </c>
      <c r="P198" s="145">
        <v>0.53500000000000003</v>
      </c>
      <c r="Q198" s="144">
        <v>0.53</v>
      </c>
      <c r="R198" s="144">
        <v>0.53500000000000003</v>
      </c>
      <c r="S198" s="144">
        <v>0.54</v>
      </c>
      <c r="T198" s="144">
        <v>0.52</v>
      </c>
      <c r="U198" s="141">
        <v>0.53500000000000003</v>
      </c>
      <c r="V198" s="145">
        <v>0.53500000000000003</v>
      </c>
      <c r="W198" s="144">
        <v>0.53500000000000003</v>
      </c>
      <c r="X198" s="144">
        <v>0.54</v>
      </c>
      <c r="Y198" s="144">
        <v>0.53500000000000003</v>
      </c>
      <c r="Z198" s="144">
        <v>0.54</v>
      </c>
      <c r="AA198" s="144">
        <v>0.53500000000000003</v>
      </c>
      <c r="AB198" s="143">
        <f>_xlfn.STDEV.P(D198:AA198)</f>
        <v>8.1623075100665642E-3</v>
      </c>
      <c r="AC198" s="146"/>
    </row>
    <row r="199" spans="1:29">
      <c r="A199" s="260"/>
      <c r="B199" s="147" t="s">
        <v>1810</v>
      </c>
      <c r="D199" s="148" t="s">
        <v>1794</v>
      </c>
      <c r="E199" s="148" t="s">
        <v>1796</v>
      </c>
      <c r="F199" s="148" t="s">
        <v>1794</v>
      </c>
      <c r="G199" s="148" t="s">
        <v>1794</v>
      </c>
      <c r="H199" s="148" t="s">
        <v>1796</v>
      </c>
      <c r="I199" s="149" t="s">
        <v>1794</v>
      </c>
      <c r="J199" s="150" t="s">
        <v>1795</v>
      </c>
      <c r="K199" s="148" t="s">
        <v>1803</v>
      </c>
      <c r="L199" s="148" t="s">
        <v>1796</v>
      </c>
      <c r="M199" s="148" t="s">
        <v>1796</v>
      </c>
      <c r="N199" s="148" t="s">
        <v>1796</v>
      </c>
      <c r="O199" s="149" t="s">
        <v>1796</v>
      </c>
      <c r="P199" s="150" t="s">
        <v>1795</v>
      </c>
      <c r="Q199" s="148" t="s">
        <v>1794</v>
      </c>
      <c r="R199" s="148" t="s">
        <v>1794</v>
      </c>
      <c r="S199" s="148" t="s">
        <v>1796</v>
      </c>
      <c r="T199" s="148" t="s">
        <v>1795</v>
      </c>
      <c r="U199" s="149" t="s">
        <v>1803</v>
      </c>
      <c r="V199" s="150" t="s">
        <v>1795</v>
      </c>
      <c r="W199" s="148" t="s">
        <v>1796</v>
      </c>
      <c r="X199" s="148" t="s">
        <v>1796</v>
      </c>
      <c r="Y199" s="148" t="s">
        <v>1794</v>
      </c>
      <c r="Z199" s="148" t="s">
        <v>1796</v>
      </c>
      <c r="AA199" s="148" t="s">
        <v>1796</v>
      </c>
      <c r="AC199" s="151" t="s">
        <v>1875</v>
      </c>
    </row>
    <row r="200" spans="1:29">
      <c r="A200" s="260"/>
      <c r="B200" t="s">
        <v>1811</v>
      </c>
      <c r="C200" t="s">
        <v>40</v>
      </c>
      <c r="D200" s="141">
        <v>0.5</v>
      </c>
      <c r="E200" s="141">
        <v>0.5</v>
      </c>
      <c r="F200" s="141">
        <v>0.47499999999999998</v>
      </c>
      <c r="G200" s="141">
        <v>0.52</v>
      </c>
      <c r="H200" s="141">
        <v>0.495</v>
      </c>
      <c r="I200" s="141">
        <v>0.5</v>
      </c>
      <c r="J200" s="142">
        <v>0.505</v>
      </c>
      <c r="K200" s="141">
        <v>0.505</v>
      </c>
      <c r="L200" s="141">
        <v>0.51</v>
      </c>
      <c r="M200" s="141">
        <v>0.51500000000000001</v>
      </c>
      <c r="N200" s="141">
        <v>0.51</v>
      </c>
      <c r="O200" s="141">
        <v>0.51500000000000001</v>
      </c>
      <c r="P200" s="142">
        <v>0.51</v>
      </c>
      <c r="Q200" s="141">
        <v>0.49</v>
      </c>
      <c r="R200" s="141">
        <v>0.48499999999999999</v>
      </c>
      <c r="S200" s="141">
        <v>0.5</v>
      </c>
      <c r="T200" s="141">
        <v>0.63500000000000001</v>
      </c>
      <c r="U200" s="141">
        <v>0.51</v>
      </c>
      <c r="V200" s="142">
        <v>0.5</v>
      </c>
      <c r="W200" s="141">
        <v>0.5</v>
      </c>
      <c r="X200" s="141">
        <v>0.495</v>
      </c>
      <c r="Y200" s="141">
        <v>0.48499999999999999</v>
      </c>
      <c r="Z200" s="141">
        <v>0.495</v>
      </c>
      <c r="AA200" s="141">
        <v>0.52</v>
      </c>
      <c r="AB200" s="143">
        <f>_xlfn.STDEV.P(D200:AA200)</f>
        <v>2.8794500584120038E-2</v>
      </c>
      <c r="AC200" s="143"/>
    </row>
    <row r="201" spans="1:29">
      <c r="A201" s="260"/>
      <c r="C201" t="s">
        <v>220</v>
      </c>
      <c r="D201" s="141">
        <v>1.01</v>
      </c>
      <c r="E201" s="141">
        <v>1.01</v>
      </c>
      <c r="F201" s="141">
        <v>1</v>
      </c>
      <c r="G201" s="141">
        <v>0.98499999999999999</v>
      </c>
      <c r="H201" s="141">
        <v>1</v>
      </c>
      <c r="I201" s="141">
        <v>1.01</v>
      </c>
      <c r="J201" s="142">
        <v>1.0049999999999999</v>
      </c>
      <c r="K201" s="141">
        <v>1.01</v>
      </c>
      <c r="L201" s="141">
        <v>1.01</v>
      </c>
      <c r="M201" s="141">
        <v>1.0149999999999999</v>
      </c>
      <c r="N201" s="141">
        <v>1.0049999999999999</v>
      </c>
      <c r="O201" s="141">
        <v>0.995</v>
      </c>
      <c r="P201" s="142">
        <v>1.01</v>
      </c>
      <c r="Q201" s="141">
        <v>1.0149999999999999</v>
      </c>
      <c r="R201" s="141">
        <v>1.0149999999999999</v>
      </c>
      <c r="S201" s="141">
        <v>1</v>
      </c>
      <c r="T201" s="141">
        <v>0.98</v>
      </c>
      <c r="U201" s="141">
        <v>1</v>
      </c>
      <c r="V201" s="142">
        <v>1.0049999999999999</v>
      </c>
      <c r="W201" s="141">
        <v>1.01</v>
      </c>
      <c r="X201" s="141">
        <v>1.01</v>
      </c>
      <c r="Y201" s="141">
        <v>1.01</v>
      </c>
      <c r="Z201" s="141">
        <v>1.01</v>
      </c>
      <c r="AA201" s="141">
        <v>1.01</v>
      </c>
      <c r="AB201" s="143">
        <f>_xlfn.STDEV.P(D201:AA201)</f>
        <v>8.6502247883444502E-3</v>
      </c>
      <c r="AC201" s="143"/>
    </row>
    <row r="202" spans="1:29">
      <c r="A202" s="260"/>
      <c r="C202" t="s">
        <v>221</v>
      </c>
      <c r="D202" s="144">
        <v>0.53</v>
      </c>
      <c r="E202" s="144">
        <v>0.53500000000000003</v>
      </c>
      <c r="F202" s="144">
        <v>0.53500000000000003</v>
      </c>
      <c r="G202" s="144">
        <v>0.54500000000000004</v>
      </c>
      <c r="H202" s="144">
        <v>0.54</v>
      </c>
      <c r="I202" s="141">
        <v>0.56000000000000005</v>
      </c>
      <c r="J202" s="145">
        <v>0.52500000000000002</v>
      </c>
      <c r="K202" s="144">
        <v>0.53</v>
      </c>
      <c r="L202" s="144">
        <v>0.53500000000000003</v>
      </c>
      <c r="M202" s="144">
        <v>0.53</v>
      </c>
      <c r="N202" s="144">
        <v>0.51</v>
      </c>
      <c r="O202" s="141">
        <v>0.54</v>
      </c>
      <c r="P202" s="145">
        <v>0.52</v>
      </c>
      <c r="Q202" s="144">
        <v>0.52500000000000002</v>
      </c>
      <c r="R202" s="144">
        <v>0.52500000000000002</v>
      </c>
      <c r="S202" s="144">
        <v>0.52</v>
      </c>
      <c r="T202" s="144">
        <v>0.53</v>
      </c>
      <c r="U202" s="141">
        <v>0.52500000000000002</v>
      </c>
      <c r="V202" s="145">
        <v>0.51500000000000001</v>
      </c>
      <c r="W202" s="144">
        <v>0.53500000000000003</v>
      </c>
      <c r="X202" s="144">
        <v>0.53500000000000003</v>
      </c>
      <c r="Y202" s="144">
        <v>0.52</v>
      </c>
      <c r="Z202" s="144">
        <v>0.53</v>
      </c>
      <c r="AA202" s="144">
        <v>0.53500000000000003</v>
      </c>
      <c r="AB202" s="143">
        <f>_xlfn.STDEV.P(D202:AA202)</f>
        <v>1.0197698542100357E-2</v>
      </c>
      <c r="AC202" s="146"/>
    </row>
    <row r="203" spans="1:29">
      <c r="A203" s="260"/>
      <c r="B203" s="147" t="s">
        <v>1812</v>
      </c>
      <c r="D203" s="148" t="s">
        <v>1794</v>
      </c>
      <c r="E203" s="148" t="s">
        <v>1796</v>
      </c>
      <c r="F203" s="148" t="s">
        <v>1796</v>
      </c>
      <c r="G203" s="148" t="s">
        <v>1796</v>
      </c>
      <c r="H203" s="148" t="s">
        <v>1796</v>
      </c>
      <c r="I203" s="149" t="s">
        <v>1796</v>
      </c>
      <c r="J203" s="150" t="s">
        <v>1794</v>
      </c>
      <c r="K203" s="148" t="s">
        <v>1803</v>
      </c>
      <c r="L203" s="148" t="s">
        <v>1796</v>
      </c>
      <c r="M203" s="148" t="s">
        <v>1796</v>
      </c>
      <c r="N203" s="148" t="s">
        <v>1796</v>
      </c>
      <c r="O203" s="149" t="s">
        <v>1803</v>
      </c>
      <c r="P203" s="150" t="s">
        <v>1795</v>
      </c>
      <c r="Q203" s="148" t="s">
        <v>1796</v>
      </c>
      <c r="R203" s="148" t="s">
        <v>1796</v>
      </c>
      <c r="S203" s="148" t="s">
        <v>1796</v>
      </c>
      <c r="T203" s="148" t="s">
        <v>1796</v>
      </c>
      <c r="U203" s="149" t="s">
        <v>1803</v>
      </c>
      <c r="V203" s="150" t="s">
        <v>1794</v>
      </c>
      <c r="W203" s="148" t="s">
        <v>1795</v>
      </c>
      <c r="X203" s="148" t="s">
        <v>1796</v>
      </c>
      <c r="Y203" s="148" t="s">
        <v>1796</v>
      </c>
      <c r="Z203" s="148" t="s">
        <v>1796</v>
      </c>
      <c r="AA203" s="148" t="s">
        <v>1803</v>
      </c>
      <c r="AC203" s="151" t="s">
        <v>1876</v>
      </c>
    </row>
    <row r="204" spans="1:29">
      <c r="A204" s="260"/>
      <c r="B204" t="s">
        <v>1813</v>
      </c>
      <c r="C204" t="s">
        <v>40</v>
      </c>
      <c r="D204" s="141">
        <v>0.505</v>
      </c>
      <c r="E204" s="141">
        <v>0.5</v>
      </c>
      <c r="F204" s="141">
        <v>0.49</v>
      </c>
      <c r="G204" s="141">
        <v>0.495</v>
      </c>
      <c r="H204" s="141">
        <v>0.495</v>
      </c>
      <c r="I204" s="141">
        <v>0.49</v>
      </c>
      <c r="J204" s="142">
        <v>0.48</v>
      </c>
      <c r="K204" s="141">
        <v>0.48</v>
      </c>
      <c r="L204" s="141">
        <v>0.46500000000000002</v>
      </c>
      <c r="M204" s="141">
        <v>0.48</v>
      </c>
      <c r="N204" s="141">
        <v>0.48</v>
      </c>
      <c r="O204" s="141">
        <v>0.6</v>
      </c>
      <c r="P204" s="142">
        <v>0.45500000000000002</v>
      </c>
      <c r="Q204" s="141">
        <v>0.47499999999999998</v>
      </c>
      <c r="R204" s="141">
        <v>0.48</v>
      </c>
      <c r="S204" s="141">
        <v>0.47</v>
      </c>
      <c r="T204" s="141">
        <v>0.48</v>
      </c>
      <c r="U204" s="141">
        <v>0.48</v>
      </c>
      <c r="V204" s="142">
        <v>0.48</v>
      </c>
      <c r="W204" s="141">
        <v>0.48</v>
      </c>
      <c r="X204" s="141">
        <v>0.48</v>
      </c>
      <c r="Y204" s="141">
        <v>0.46500000000000002</v>
      </c>
      <c r="Z204" s="141">
        <v>0.48</v>
      </c>
      <c r="AA204" s="141">
        <v>0.48499999999999999</v>
      </c>
      <c r="AB204" s="143">
        <f>_xlfn.STDEV.P(D204:AA204)</f>
        <v>2.6110741723155487E-2</v>
      </c>
      <c r="AC204" s="143"/>
    </row>
    <row r="205" spans="1:29">
      <c r="A205" s="260"/>
      <c r="C205" t="s">
        <v>220</v>
      </c>
      <c r="D205" s="141">
        <v>1.0049999999999999</v>
      </c>
      <c r="E205" s="141">
        <v>1.01</v>
      </c>
      <c r="F205" s="141">
        <v>1.01</v>
      </c>
      <c r="G205" s="141">
        <v>0.99</v>
      </c>
      <c r="H205" s="141">
        <v>1.01</v>
      </c>
      <c r="I205" s="141">
        <v>1.0049999999999999</v>
      </c>
      <c r="J205" s="142">
        <v>1.0049999999999999</v>
      </c>
      <c r="K205" s="141">
        <v>1.01</v>
      </c>
      <c r="L205" s="141">
        <v>1.01</v>
      </c>
      <c r="M205" s="141">
        <v>1.0149999999999999</v>
      </c>
      <c r="N205" s="141">
        <v>1.01</v>
      </c>
      <c r="O205" s="141">
        <v>0.99</v>
      </c>
      <c r="P205" s="142">
        <v>1.01</v>
      </c>
      <c r="Q205" s="141">
        <v>1.01</v>
      </c>
      <c r="R205" s="141">
        <v>1.0049999999999999</v>
      </c>
      <c r="S205" s="141">
        <v>1</v>
      </c>
      <c r="T205" s="141">
        <v>1.01</v>
      </c>
      <c r="U205" s="141">
        <v>1.01</v>
      </c>
      <c r="V205" s="142">
        <v>1.0049999999999999</v>
      </c>
      <c r="W205" s="141">
        <v>1.0049999999999999</v>
      </c>
      <c r="X205" s="141">
        <v>0.995</v>
      </c>
      <c r="Y205" s="141">
        <v>1.01</v>
      </c>
      <c r="Z205" s="141">
        <v>0.995</v>
      </c>
      <c r="AA205" s="141">
        <v>1.0149999999999999</v>
      </c>
      <c r="AB205" s="143">
        <f>_xlfn.STDEV.P(D205:AA205)</f>
        <v>6.8718427093627642E-3</v>
      </c>
      <c r="AC205" s="143"/>
    </row>
    <row r="206" spans="1:29">
      <c r="A206" s="260"/>
      <c r="C206" t="s">
        <v>221</v>
      </c>
      <c r="D206" s="144">
        <v>0.52500000000000002</v>
      </c>
      <c r="E206" s="144">
        <v>0.53500000000000003</v>
      </c>
      <c r="F206" s="144">
        <v>0.53</v>
      </c>
      <c r="G206" s="144">
        <v>0.54</v>
      </c>
      <c r="H206" s="144">
        <v>0.53</v>
      </c>
      <c r="I206" s="141">
        <v>0.53</v>
      </c>
      <c r="J206" s="145">
        <v>0.51</v>
      </c>
      <c r="K206" s="144">
        <v>0.52</v>
      </c>
      <c r="L206" s="144">
        <v>0.51500000000000001</v>
      </c>
      <c r="M206" s="144">
        <v>0.5</v>
      </c>
      <c r="N206" s="144">
        <v>0.52</v>
      </c>
      <c r="O206" s="141">
        <v>0.53</v>
      </c>
      <c r="P206" s="145">
        <v>0.51</v>
      </c>
      <c r="Q206" s="144">
        <v>0.52</v>
      </c>
      <c r="R206" s="144">
        <v>0.52</v>
      </c>
      <c r="S206" s="144">
        <v>0.5</v>
      </c>
      <c r="T206" s="144">
        <v>0.52500000000000002</v>
      </c>
      <c r="U206" s="141">
        <v>0.52500000000000002</v>
      </c>
      <c r="V206" s="145">
        <v>0.52</v>
      </c>
      <c r="W206" s="144">
        <v>0.51500000000000001</v>
      </c>
      <c r="X206" s="144">
        <v>0.52</v>
      </c>
      <c r="Y206" s="144">
        <v>0.51500000000000001</v>
      </c>
      <c r="Z206" s="144">
        <v>0.52</v>
      </c>
      <c r="AA206" s="144">
        <v>0.51</v>
      </c>
      <c r="AB206" s="143">
        <f>_xlfn.STDEV.P(D206:AA206)</f>
        <v>9.7338719885197312E-3</v>
      </c>
      <c r="AC206" s="146"/>
    </row>
    <row r="207" spans="1:29">
      <c r="A207" s="260"/>
      <c r="B207" s="147" t="s">
        <v>1814</v>
      </c>
      <c r="D207" s="148" t="s">
        <v>1794</v>
      </c>
      <c r="E207" s="148" t="s">
        <v>1796</v>
      </c>
      <c r="F207" s="148" t="s">
        <v>1796</v>
      </c>
      <c r="G207" s="148" t="s">
        <v>1796</v>
      </c>
      <c r="H207" s="148" t="s">
        <v>1796</v>
      </c>
      <c r="I207" s="149" t="s">
        <v>1796</v>
      </c>
      <c r="J207" s="150" t="s">
        <v>1794</v>
      </c>
      <c r="K207" s="148" t="s">
        <v>1795</v>
      </c>
      <c r="L207" s="148" t="s">
        <v>1796</v>
      </c>
      <c r="M207" s="148" t="s">
        <v>1794</v>
      </c>
      <c r="N207" s="148" t="s">
        <v>1795</v>
      </c>
      <c r="O207" s="149" t="s">
        <v>1795</v>
      </c>
      <c r="P207" s="150" t="s">
        <v>1795</v>
      </c>
      <c r="Q207" s="148" t="s">
        <v>1796</v>
      </c>
      <c r="R207" s="148" t="s">
        <v>1796</v>
      </c>
      <c r="S207" s="148" t="s">
        <v>1794</v>
      </c>
      <c r="T207" s="148" t="s">
        <v>1796</v>
      </c>
      <c r="U207" s="149" t="s">
        <v>1796</v>
      </c>
      <c r="V207" s="150" t="s">
        <v>1794</v>
      </c>
      <c r="W207" s="148" t="s">
        <v>1796</v>
      </c>
      <c r="X207" s="148" t="s">
        <v>1796</v>
      </c>
      <c r="Y207" s="148" t="s">
        <v>1796</v>
      </c>
      <c r="Z207" s="148" t="s">
        <v>1794</v>
      </c>
      <c r="AA207" s="148" t="s">
        <v>1796</v>
      </c>
      <c r="AC207" s="151" t="s">
        <v>1877</v>
      </c>
    </row>
    <row r="208" spans="1:29">
      <c r="A208" s="260"/>
      <c r="B208" s="127" t="s">
        <v>1835</v>
      </c>
      <c r="C208" s="127" t="s">
        <v>40</v>
      </c>
      <c r="D208" s="128">
        <v>0.49</v>
      </c>
      <c r="E208" s="128">
        <v>0.49</v>
      </c>
      <c r="F208" s="128">
        <v>0.49</v>
      </c>
      <c r="G208" s="128">
        <v>0.48499999999999999</v>
      </c>
      <c r="H208" s="128">
        <v>0.49</v>
      </c>
      <c r="I208" s="128">
        <v>0.49</v>
      </c>
      <c r="J208" s="129">
        <v>0.48499999999999999</v>
      </c>
      <c r="K208" s="128">
        <v>0.49</v>
      </c>
      <c r="L208" s="128">
        <v>0.49</v>
      </c>
      <c r="M208" s="128">
        <v>0.49</v>
      </c>
      <c r="N208" s="128">
        <v>0.49</v>
      </c>
      <c r="O208" s="128">
        <v>0.49</v>
      </c>
      <c r="P208" s="129">
        <v>0.495</v>
      </c>
      <c r="Q208" s="128">
        <v>0.49</v>
      </c>
      <c r="R208" s="128">
        <v>0.48499999999999999</v>
      </c>
      <c r="S208" s="128">
        <v>0.48499999999999999</v>
      </c>
      <c r="T208" s="128">
        <v>0.48499999999999999</v>
      </c>
      <c r="U208" s="128">
        <v>0.49</v>
      </c>
      <c r="V208" s="129">
        <v>0.48499999999999999</v>
      </c>
      <c r="W208" s="128">
        <v>0.48499999999999999</v>
      </c>
      <c r="X208" s="128">
        <v>0.48</v>
      </c>
      <c r="Y208" s="128">
        <v>0.48</v>
      </c>
      <c r="Z208" s="128">
        <v>0.48499999999999999</v>
      </c>
      <c r="AA208" s="128">
        <v>0.48</v>
      </c>
      <c r="AB208" s="132">
        <f>_xlfn.STDEV.P(D208:AA208)</f>
        <v>3.8131260870256549E-3</v>
      </c>
      <c r="AC208" s="132"/>
    </row>
    <row r="209" spans="1:29">
      <c r="A209" s="260"/>
      <c r="B209" s="127"/>
      <c r="C209" s="127" t="s">
        <v>220</v>
      </c>
      <c r="D209" s="128">
        <v>1.01</v>
      </c>
      <c r="E209" s="128">
        <v>1.01</v>
      </c>
      <c r="F209" s="128">
        <v>1.01</v>
      </c>
      <c r="G209" s="128">
        <v>1.01</v>
      </c>
      <c r="H209" s="128">
        <v>1.01</v>
      </c>
      <c r="I209" s="128">
        <v>1.01</v>
      </c>
      <c r="J209" s="129">
        <v>1.01</v>
      </c>
      <c r="K209" s="128">
        <v>1.01</v>
      </c>
      <c r="L209" s="128">
        <v>1.0149999999999999</v>
      </c>
      <c r="M209" s="128">
        <v>1.01</v>
      </c>
      <c r="N209" s="128">
        <v>1.01</v>
      </c>
      <c r="O209" s="128">
        <v>1.01</v>
      </c>
      <c r="P209" s="129">
        <v>1.01</v>
      </c>
      <c r="Q209" s="128">
        <v>1.01</v>
      </c>
      <c r="R209" s="128">
        <v>1.01</v>
      </c>
      <c r="S209" s="128">
        <v>1.01</v>
      </c>
      <c r="T209" s="128">
        <v>1.01</v>
      </c>
      <c r="U209" s="128">
        <v>1.01</v>
      </c>
      <c r="V209" s="129">
        <v>1.0049999999999999</v>
      </c>
      <c r="W209" s="128">
        <v>1.01</v>
      </c>
      <c r="X209" s="128">
        <v>1.0049999999999999</v>
      </c>
      <c r="Y209" s="128">
        <v>1.01</v>
      </c>
      <c r="Z209" s="128">
        <v>1.01</v>
      </c>
      <c r="AA209" s="128">
        <v>1.0049999999999999</v>
      </c>
      <c r="AB209" s="132">
        <f>_xlfn.STDEV.P(D209:AA209)</f>
        <v>1.9982631347136544E-3</v>
      </c>
      <c r="AC209" s="132"/>
    </row>
    <row r="210" spans="1:29">
      <c r="A210" s="260"/>
      <c r="B210" s="127"/>
      <c r="C210" s="127" t="s">
        <v>221</v>
      </c>
      <c r="D210" s="133">
        <v>0.505</v>
      </c>
      <c r="E210" s="133">
        <v>0.505</v>
      </c>
      <c r="F210" s="133">
        <v>0.505</v>
      </c>
      <c r="G210" s="133">
        <v>0.5</v>
      </c>
      <c r="H210" s="133">
        <v>0.51</v>
      </c>
      <c r="I210" s="128">
        <v>0.505</v>
      </c>
      <c r="J210" s="134">
        <v>0.51</v>
      </c>
      <c r="K210" s="133">
        <v>0.505</v>
      </c>
      <c r="L210" s="133">
        <v>0.505</v>
      </c>
      <c r="M210" s="133">
        <v>0.505</v>
      </c>
      <c r="N210" s="133">
        <v>0.51</v>
      </c>
      <c r="O210" s="128">
        <v>0.505</v>
      </c>
      <c r="P210" s="134">
        <v>0.51500000000000001</v>
      </c>
      <c r="Q210" s="133">
        <v>0.505</v>
      </c>
      <c r="R210" s="133">
        <v>0.51</v>
      </c>
      <c r="S210" s="133">
        <v>0.505</v>
      </c>
      <c r="T210" s="133">
        <v>0.51</v>
      </c>
      <c r="U210" s="128">
        <v>0.51</v>
      </c>
      <c r="V210" s="134">
        <v>0.5</v>
      </c>
      <c r="W210" s="133">
        <v>0.51</v>
      </c>
      <c r="X210" s="133">
        <v>0.5</v>
      </c>
      <c r="Y210" s="133">
        <v>0.5</v>
      </c>
      <c r="Z210" s="133">
        <v>0.505</v>
      </c>
      <c r="AA210" s="133">
        <v>0.5</v>
      </c>
      <c r="AB210" s="132">
        <f>_xlfn.STDEV.P(D210:AA210)</f>
        <v>3.9965262694272698E-3</v>
      </c>
      <c r="AC210" s="135"/>
    </row>
    <row r="211" spans="1:29">
      <c r="A211" s="260"/>
      <c r="B211" s="169" t="s">
        <v>1836</v>
      </c>
      <c r="C211" s="127"/>
      <c r="D211" s="137" t="s">
        <v>1794</v>
      </c>
      <c r="E211" s="137" t="s">
        <v>1794</v>
      </c>
      <c r="F211" s="137" t="s">
        <v>1794</v>
      </c>
      <c r="G211" s="137" t="s">
        <v>1794</v>
      </c>
      <c r="H211" s="137" t="s">
        <v>1794</v>
      </c>
      <c r="I211" s="138" t="s">
        <v>1794</v>
      </c>
      <c r="J211" s="139" t="s">
        <v>1794</v>
      </c>
      <c r="K211" s="137" t="s">
        <v>1794</v>
      </c>
      <c r="L211" s="137" t="s">
        <v>1794</v>
      </c>
      <c r="M211" s="137" t="s">
        <v>1794</v>
      </c>
      <c r="N211" s="137" t="s">
        <v>1794</v>
      </c>
      <c r="O211" s="138" t="s">
        <v>1794</v>
      </c>
      <c r="P211" s="139" t="s">
        <v>1794</v>
      </c>
      <c r="Q211" s="137" t="s">
        <v>1794</v>
      </c>
      <c r="R211" s="137" t="s">
        <v>1794</v>
      </c>
      <c r="S211" s="137" t="s">
        <v>1794</v>
      </c>
      <c r="T211" s="137" t="s">
        <v>1794</v>
      </c>
      <c r="U211" s="138" t="s">
        <v>1794</v>
      </c>
      <c r="V211" s="139" t="s">
        <v>1794</v>
      </c>
      <c r="W211" s="137" t="s">
        <v>1794</v>
      </c>
      <c r="X211" s="137" t="s">
        <v>1794</v>
      </c>
      <c r="Y211" s="137" t="s">
        <v>1794</v>
      </c>
      <c r="Z211" s="137" t="s">
        <v>1794</v>
      </c>
      <c r="AA211" s="137" t="s">
        <v>1794</v>
      </c>
      <c r="AB211" s="127"/>
      <c r="AC211" s="140" t="s">
        <v>1800</v>
      </c>
    </row>
    <row r="212" spans="1:29">
      <c r="A212" s="260"/>
      <c r="B212" t="s">
        <v>1839</v>
      </c>
      <c r="C212" t="s">
        <v>40</v>
      </c>
      <c r="D212" s="141">
        <v>0.46500000000000002</v>
      </c>
      <c r="E212" s="141">
        <v>0.46500000000000002</v>
      </c>
      <c r="F212" s="141">
        <v>0.46500000000000002</v>
      </c>
      <c r="G212" s="141">
        <v>0.47</v>
      </c>
      <c r="H212" s="141">
        <v>0.44</v>
      </c>
      <c r="I212" s="141">
        <v>0.48</v>
      </c>
      <c r="J212" s="142">
        <v>0.45</v>
      </c>
      <c r="K212" s="141">
        <v>0.45500000000000002</v>
      </c>
      <c r="L212" s="141">
        <v>0.46500000000000002</v>
      </c>
      <c r="M212" s="141">
        <v>0.47</v>
      </c>
      <c r="N212" s="141">
        <v>0.46</v>
      </c>
      <c r="O212" s="141">
        <v>0.46</v>
      </c>
      <c r="P212" s="142">
        <v>0.46</v>
      </c>
      <c r="Q212" s="141">
        <v>0.45500000000000002</v>
      </c>
      <c r="R212" s="141">
        <v>0.45</v>
      </c>
      <c r="S212" s="141">
        <v>0.45500000000000002</v>
      </c>
      <c r="T212" s="141">
        <v>0.45500000000000002</v>
      </c>
      <c r="U212" s="141">
        <v>0.46</v>
      </c>
      <c r="V212" s="142">
        <v>0.46</v>
      </c>
      <c r="W212" s="141">
        <v>0.46</v>
      </c>
      <c r="X212" s="141">
        <v>0.45500000000000002</v>
      </c>
      <c r="Y212" s="141">
        <v>0.45500000000000002</v>
      </c>
      <c r="Z212" s="141">
        <v>0.46</v>
      </c>
      <c r="AA212" s="141">
        <v>0.44</v>
      </c>
      <c r="AB212" s="143">
        <f>_xlfn.STDEV.P(D212:AA212)</f>
        <v>8.6902723394225827E-3</v>
      </c>
      <c r="AC212" s="143"/>
    </row>
    <row r="213" spans="1:29">
      <c r="A213" s="260"/>
      <c r="C213" t="s">
        <v>220</v>
      </c>
      <c r="D213" s="141">
        <v>1.0049999999999999</v>
      </c>
      <c r="E213" s="141">
        <v>1.01</v>
      </c>
      <c r="F213" s="141">
        <v>1.0049999999999999</v>
      </c>
      <c r="G213" s="141">
        <v>1.01</v>
      </c>
      <c r="H213" s="141">
        <v>1.0049999999999999</v>
      </c>
      <c r="I213" s="141">
        <v>1.0049999999999999</v>
      </c>
      <c r="J213" s="142">
        <v>1.0049999999999999</v>
      </c>
      <c r="K213" s="141">
        <v>1.01</v>
      </c>
      <c r="L213" s="141">
        <v>1.0049999999999999</v>
      </c>
      <c r="M213" s="141">
        <v>1.0049999999999999</v>
      </c>
      <c r="N213" s="141">
        <v>1.01</v>
      </c>
      <c r="O213" s="141">
        <v>1.01</v>
      </c>
      <c r="P213" s="142">
        <v>1.01</v>
      </c>
      <c r="Q213" s="141">
        <v>1.0049999999999999</v>
      </c>
      <c r="R213" s="141">
        <v>1.0049999999999999</v>
      </c>
      <c r="S213" s="141">
        <v>1.0049999999999999</v>
      </c>
      <c r="T213" s="141">
        <v>1.0049999999999999</v>
      </c>
      <c r="U213" s="141">
        <v>1.01</v>
      </c>
      <c r="V213" s="142">
        <v>1.0049999999999999</v>
      </c>
      <c r="W213" s="141">
        <v>1.0049999999999999</v>
      </c>
      <c r="X213" s="141">
        <v>1.01</v>
      </c>
      <c r="Y213" s="141">
        <v>1.01</v>
      </c>
      <c r="Z213" s="141">
        <v>1.0049999999999999</v>
      </c>
      <c r="AA213" s="141">
        <v>1.0049999999999999</v>
      </c>
      <c r="AB213" s="143">
        <f>_xlfn.STDEV.P(D213:AA213)</f>
        <v>2.4206145913796915E-3</v>
      </c>
      <c r="AC213" s="143"/>
    </row>
    <row r="214" spans="1:29">
      <c r="A214" s="260"/>
      <c r="C214" t="s">
        <v>221</v>
      </c>
      <c r="D214" s="144">
        <v>0.5</v>
      </c>
      <c r="E214" s="144">
        <v>0.5</v>
      </c>
      <c r="F214" s="144">
        <v>0.495</v>
      </c>
      <c r="G214" s="144">
        <v>0.5</v>
      </c>
      <c r="H214" s="144">
        <v>0.47</v>
      </c>
      <c r="I214" s="141">
        <v>0.505</v>
      </c>
      <c r="J214" s="145">
        <v>0.505</v>
      </c>
      <c r="K214" s="144">
        <v>0.52</v>
      </c>
      <c r="L214" s="144">
        <v>0.51</v>
      </c>
      <c r="M214" s="144">
        <v>0.51500000000000001</v>
      </c>
      <c r="N214" s="144">
        <v>0.51500000000000001</v>
      </c>
      <c r="O214" s="141">
        <v>0.5</v>
      </c>
      <c r="P214" s="145">
        <v>0.51500000000000001</v>
      </c>
      <c r="Q214" s="144">
        <v>0.51500000000000001</v>
      </c>
      <c r="R214" s="144">
        <v>0.51</v>
      </c>
      <c r="S214" s="144">
        <v>0.505</v>
      </c>
      <c r="T214" s="144">
        <v>0.51</v>
      </c>
      <c r="U214" s="141">
        <v>0.51</v>
      </c>
      <c r="V214" s="145">
        <v>0.505</v>
      </c>
      <c r="W214" s="144">
        <v>0.51500000000000001</v>
      </c>
      <c r="X214" s="144">
        <v>0.505</v>
      </c>
      <c r="Y214" s="144">
        <v>0.505</v>
      </c>
      <c r="Z214" s="144">
        <v>0.505</v>
      </c>
      <c r="AA214" s="144">
        <v>0.495</v>
      </c>
      <c r="AB214" s="143">
        <f>_xlfn.STDEV.P(D214:AA214)</f>
        <v>9.886508764753903E-3</v>
      </c>
      <c r="AC214" s="146"/>
    </row>
    <row r="215" spans="1:29">
      <c r="A215" s="260"/>
      <c r="B215" s="147" t="s">
        <v>1840</v>
      </c>
      <c r="D215" s="148" t="s">
        <v>1794</v>
      </c>
      <c r="E215" s="148" t="s">
        <v>1794</v>
      </c>
      <c r="F215" s="148" t="s">
        <v>1794</v>
      </c>
      <c r="G215" s="148" t="s">
        <v>1794</v>
      </c>
      <c r="H215" s="148" t="s">
        <v>1794</v>
      </c>
      <c r="I215" s="149" t="s">
        <v>1794</v>
      </c>
      <c r="J215" s="150" t="s">
        <v>1794</v>
      </c>
      <c r="K215" s="148" t="s">
        <v>1794</v>
      </c>
      <c r="L215" s="148" t="s">
        <v>1794</v>
      </c>
      <c r="M215" s="148" t="s">
        <v>1794</v>
      </c>
      <c r="N215" s="148" t="s">
        <v>1794</v>
      </c>
      <c r="O215" s="149" t="s">
        <v>1794</v>
      </c>
      <c r="P215" s="150" t="s">
        <v>1794</v>
      </c>
      <c r="Q215" s="148" t="s">
        <v>1794</v>
      </c>
      <c r="R215" s="148" t="s">
        <v>1794</v>
      </c>
      <c r="S215" s="148" t="s">
        <v>1794</v>
      </c>
      <c r="T215" s="148" t="s">
        <v>1794</v>
      </c>
      <c r="U215" s="149" t="s">
        <v>1794</v>
      </c>
      <c r="V215" s="150" t="s">
        <v>1794</v>
      </c>
      <c r="W215" s="148" t="s">
        <v>1794</v>
      </c>
      <c r="X215" s="148" t="s">
        <v>1794</v>
      </c>
      <c r="Y215" s="148" t="s">
        <v>1794</v>
      </c>
      <c r="Z215" s="148" t="s">
        <v>1794</v>
      </c>
      <c r="AA215" s="148" t="s">
        <v>1794</v>
      </c>
      <c r="AC215" s="151" t="s">
        <v>1800</v>
      </c>
    </row>
    <row r="216" spans="1:29">
      <c r="A216" s="260"/>
      <c r="B216" t="s">
        <v>1842</v>
      </c>
      <c r="C216" t="s">
        <v>40</v>
      </c>
      <c r="D216" s="141">
        <v>0.48</v>
      </c>
      <c r="E216" s="141">
        <v>0.48499999999999999</v>
      </c>
      <c r="F216" s="141">
        <v>0.48499999999999999</v>
      </c>
      <c r="G216" s="141">
        <v>0.505</v>
      </c>
      <c r="H216" s="141">
        <v>0.48</v>
      </c>
      <c r="I216" s="141">
        <v>0.47499999999999998</v>
      </c>
      <c r="J216" s="142">
        <v>0.48499999999999999</v>
      </c>
      <c r="K216" s="141">
        <v>0.48499999999999999</v>
      </c>
      <c r="L216" s="141">
        <v>0.48</v>
      </c>
      <c r="M216" s="141">
        <v>0.48499999999999999</v>
      </c>
      <c r="N216" s="141">
        <v>0.46500000000000002</v>
      </c>
      <c r="O216" s="141">
        <v>0.57499999999999996</v>
      </c>
      <c r="P216" s="142">
        <v>0.49</v>
      </c>
      <c r="Q216" s="141">
        <v>0.49</v>
      </c>
      <c r="R216" s="141">
        <v>0.47499999999999998</v>
      </c>
      <c r="S216" s="141">
        <v>0.5</v>
      </c>
      <c r="T216" s="141">
        <v>0.49</v>
      </c>
      <c r="U216" s="141">
        <v>0.46</v>
      </c>
      <c r="V216" s="142">
        <v>0.48499999999999999</v>
      </c>
      <c r="W216" s="141">
        <v>0.46500000000000002</v>
      </c>
      <c r="X216" s="141">
        <v>0.47</v>
      </c>
      <c r="Y216" s="141">
        <v>0.48</v>
      </c>
      <c r="Z216" s="141">
        <v>0.42499999999999999</v>
      </c>
      <c r="AA216" s="141">
        <v>0.46</v>
      </c>
      <c r="AB216" s="143">
        <f>_xlfn.STDEV.P(D216:AA216)</f>
        <v>2.4831900126427869E-2</v>
      </c>
      <c r="AC216" s="143"/>
    </row>
    <row r="217" spans="1:29">
      <c r="A217" s="260"/>
      <c r="C217" t="s">
        <v>220</v>
      </c>
      <c r="D217" s="141">
        <v>1.01</v>
      </c>
      <c r="E217" s="141">
        <v>1.0049999999999999</v>
      </c>
      <c r="F217" s="141">
        <v>1.01</v>
      </c>
      <c r="G217" s="141">
        <v>1.02</v>
      </c>
      <c r="H217" s="141">
        <v>1</v>
      </c>
      <c r="I217" s="141">
        <v>1.0049999999999999</v>
      </c>
      <c r="J217" s="142">
        <v>1.0049999999999999</v>
      </c>
      <c r="K217" s="141">
        <v>1.01</v>
      </c>
      <c r="L217" s="141">
        <v>1.0049999999999999</v>
      </c>
      <c r="M217" s="141">
        <v>1.0049999999999999</v>
      </c>
      <c r="N217" s="141">
        <v>1.01</v>
      </c>
      <c r="O217" s="141">
        <v>0.99</v>
      </c>
      <c r="P217" s="142">
        <v>1.01</v>
      </c>
      <c r="Q217" s="141">
        <v>1.0049999999999999</v>
      </c>
      <c r="R217" s="141">
        <v>1.01</v>
      </c>
      <c r="S217" s="141">
        <v>1.02</v>
      </c>
      <c r="T217" s="141">
        <v>1.0049999999999999</v>
      </c>
      <c r="U217" s="141">
        <v>1.0049999999999999</v>
      </c>
      <c r="V217" s="142">
        <v>1.01</v>
      </c>
      <c r="W217" s="141">
        <v>1.0049999999999999</v>
      </c>
      <c r="X217" s="141">
        <v>1</v>
      </c>
      <c r="Y217" s="141">
        <v>1</v>
      </c>
      <c r="Z217" s="141">
        <v>1.03</v>
      </c>
      <c r="AA217" s="141">
        <v>1.0049999999999999</v>
      </c>
      <c r="AB217" s="143">
        <f>_xlfn.STDEV.P(D217:AA217)</f>
        <v>7.6376261582597549E-3</v>
      </c>
      <c r="AC217" s="143"/>
    </row>
    <row r="218" spans="1:29">
      <c r="A218" s="260"/>
      <c r="C218" t="s">
        <v>221</v>
      </c>
      <c r="D218" s="144">
        <v>0.5</v>
      </c>
      <c r="E218" s="144">
        <v>0.495</v>
      </c>
      <c r="F218" s="144">
        <v>0.47</v>
      </c>
      <c r="G218" s="144">
        <v>0.51</v>
      </c>
      <c r="H218" s="144">
        <v>0.505</v>
      </c>
      <c r="I218" s="141">
        <v>0.5</v>
      </c>
      <c r="J218" s="145">
        <v>0.48499999999999999</v>
      </c>
      <c r="K218" s="144">
        <v>0.495</v>
      </c>
      <c r="L218" s="144">
        <v>0.495</v>
      </c>
      <c r="M218" s="144">
        <v>0.505</v>
      </c>
      <c r="N218" s="144">
        <v>0.51500000000000001</v>
      </c>
      <c r="O218" s="141">
        <v>0.48499999999999999</v>
      </c>
      <c r="P218" s="145">
        <v>0.495</v>
      </c>
      <c r="Q218" s="144">
        <v>0.5</v>
      </c>
      <c r="R218" s="144">
        <v>0.495</v>
      </c>
      <c r="S218" s="144">
        <v>0.45500000000000002</v>
      </c>
      <c r="T218" s="144">
        <v>0.5</v>
      </c>
      <c r="U218" s="141">
        <v>0.47499999999999998</v>
      </c>
      <c r="V218" s="145">
        <v>0.5</v>
      </c>
      <c r="W218" s="144">
        <v>0.5</v>
      </c>
      <c r="X218" s="144">
        <v>0.5</v>
      </c>
      <c r="Y218" s="144">
        <v>0.495</v>
      </c>
      <c r="Z218" s="144">
        <v>0.51</v>
      </c>
      <c r="AA218" s="144">
        <v>0.51500000000000001</v>
      </c>
      <c r="AB218" s="143">
        <f>_xlfn.STDEV.P(D218:AA218)</f>
        <v>1.3591255358583411E-2</v>
      </c>
      <c r="AC218" s="146"/>
    </row>
    <row r="219" spans="1:29">
      <c r="A219" s="260"/>
      <c r="B219" s="147" t="s">
        <v>1843</v>
      </c>
      <c r="D219" s="148" t="s">
        <v>1794</v>
      </c>
      <c r="E219" s="148" t="s">
        <v>1796</v>
      </c>
      <c r="F219" s="148" t="s">
        <v>1796</v>
      </c>
      <c r="G219" s="148" t="s">
        <v>1795</v>
      </c>
      <c r="H219" s="148" t="s">
        <v>1794</v>
      </c>
      <c r="I219" s="149" t="s">
        <v>1794</v>
      </c>
      <c r="J219" s="150" t="s">
        <v>1794</v>
      </c>
      <c r="K219" s="148" t="s">
        <v>1794</v>
      </c>
      <c r="L219" s="148" t="s">
        <v>1794</v>
      </c>
      <c r="M219" s="148" t="s">
        <v>1794</v>
      </c>
      <c r="N219" s="148" t="s">
        <v>1794</v>
      </c>
      <c r="O219" s="149" t="s">
        <v>1794</v>
      </c>
      <c r="P219" s="150" t="s">
        <v>1794</v>
      </c>
      <c r="Q219" s="148" t="s">
        <v>1796</v>
      </c>
      <c r="R219" s="148" t="s">
        <v>1794</v>
      </c>
      <c r="S219" s="148" t="s">
        <v>1796</v>
      </c>
      <c r="T219" s="148" t="s">
        <v>1794</v>
      </c>
      <c r="U219" s="149" t="s">
        <v>1794</v>
      </c>
      <c r="V219" s="150" t="s">
        <v>1794</v>
      </c>
      <c r="W219" s="148" t="s">
        <v>1795</v>
      </c>
      <c r="X219" s="148" t="s">
        <v>1794</v>
      </c>
      <c r="Y219" s="148" t="s">
        <v>1794</v>
      </c>
      <c r="Z219" s="148" t="s">
        <v>1794</v>
      </c>
      <c r="AA219" s="148" t="s">
        <v>1794</v>
      </c>
      <c r="AC219" s="151" t="s">
        <v>1878</v>
      </c>
    </row>
    <row r="220" spans="1:29">
      <c r="A220" s="260"/>
      <c r="B220" t="s">
        <v>1845</v>
      </c>
      <c r="C220" t="s">
        <v>40</v>
      </c>
      <c r="D220" s="141">
        <v>0.44</v>
      </c>
      <c r="E220" s="141">
        <v>0.44500000000000001</v>
      </c>
      <c r="F220" s="141">
        <v>0.45500000000000002</v>
      </c>
      <c r="G220" s="141">
        <v>0.45500000000000002</v>
      </c>
      <c r="H220" s="141">
        <v>0.48</v>
      </c>
      <c r="I220" s="141">
        <v>0.48</v>
      </c>
      <c r="J220" s="142">
        <v>0.46</v>
      </c>
      <c r="K220" s="141">
        <v>0.46500000000000002</v>
      </c>
      <c r="L220" s="141">
        <v>0.46</v>
      </c>
      <c r="M220" s="141">
        <v>0.46</v>
      </c>
      <c r="N220" s="141">
        <v>0.47</v>
      </c>
      <c r="O220" s="141">
        <v>0.46500000000000002</v>
      </c>
      <c r="P220" s="142">
        <v>0.46500000000000002</v>
      </c>
      <c r="Q220" s="141">
        <v>0.48</v>
      </c>
      <c r="R220" s="141">
        <v>0.47499999999999998</v>
      </c>
      <c r="S220" s="141">
        <v>0.47</v>
      </c>
      <c r="T220" s="141">
        <v>0.48499999999999999</v>
      </c>
      <c r="U220" s="141">
        <v>0.47</v>
      </c>
      <c r="V220" s="142">
        <v>0.45500000000000002</v>
      </c>
      <c r="W220" s="141">
        <v>0.45</v>
      </c>
      <c r="X220" s="141">
        <v>0.45</v>
      </c>
      <c r="Y220" s="141">
        <v>0.45500000000000002</v>
      </c>
      <c r="Z220" s="141">
        <v>0.39</v>
      </c>
      <c r="AA220" s="141">
        <v>0.45500000000000002</v>
      </c>
      <c r="AB220" s="143">
        <f>_xlfn.STDEV.P(D220:AA220)</f>
        <v>1.8567397876086154E-2</v>
      </c>
      <c r="AC220" s="143"/>
    </row>
    <row r="221" spans="1:29">
      <c r="A221" s="260"/>
      <c r="C221" t="s">
        <v>220</v>
      </c>
      <c r="D221" s="141">
        <v>1.0049999999999999</v>
      </c>
      <c r="E221" s="141">
        <v>1.02</v>
      </c>
      <c r="F221" s="141">
        <v>1.0149999999999999</v>
      </c>
      <c r="G221" s="141">
        <v>1.01</v>
      </c>
      <c r="H221" s="141">
        <v>1</v>
      </c>
      <c r="I221" s="141">
        <v>1</v>
      </c>
      <c r="J221" s="142">
        <v>1.0049999999999999</v>
      </c>
      <c r="K221" s="141">
        <v>1.0049999999999999</v>
      </c>
      <c r="L221" s="141">
        <v>1.0149999999999999</v>
      </c>
      <c r="M221" s="141">
        <v>1.01</v>
      </c>
      <c r="N221" s="141">
        <v>1.01</v>
      </c>
      <c r="O221" s="141">
        <v>1.01</v>
      </c>
      <c r="P221" s="142">
        <v>1.0049999999999999</v>
      </c>
      <c r="Q221" s="141">
        <v>1.01</v>
      </c>
      <c r="R221" s="141">
        <v>1</v>
      </c>
      <c r="S221" s="141">
        <v>1.0149999999999999</v>
      </c>
      <c r="T221" s="141">
        <v>1.0049999999999999</v>
      </c>
      <c r="U221" s="141">
        <v>1.0049999999999999</v>
      </c>
      <c r="V221" s="142">
        <v>1.0049999999999999</v>
      </c>
      <c r="W221" s="141">
        <v>1.01</v>
      </c>
      <c r="X221" s="141">
        <v>1.0149999999999999</v>
      </c>
      <c r="Y221" s="141">
        <v>1.0049999999999999</v>
      </c>
      <c r="Z221" s="141">
        <v>0.995</v>
      </c>
      <c r="AA221" s="141">
        <v>1.0049999999999999</v>
      </c>
      <c r="AB221" s="143">
        <f>_xlfn.STDEV.P(D221:AA221)</f>
        <v>5.7735026918962571E-3</v>
      </c>
      <c r="AC221" s="143"/>
    </row>
    <row r="222" spans="1:29">
      <c r="A222" s="260"/>
      <c r="C222" t="s">
        <v>221</v>
      </c>
      <c r="D222" s="144">
        <v>0.49</v>
      </c>
      <c r="E222" s="144">
        <v>0.54500000000000004</v>
      </c>
      <c r="F222" s="144">
        <v>0.5</v>
      </c>
      <c r="G222" s="144">
        <v>0.5</v>
      </c>
      <c r="H222" s="144">
        <v>0.51</v>
      </c>
      <c r="I222" s="141">
        <v>0.51</v>
      </c>
      <c r="J222" s="145">
        <v>0.51</v>
      </c>
      <c r="K222" s="144">
        <v>0.505</v>
      </c>
      <c r="L222" s="144">
        <v>0.505</v>
      </c>
      <c r="M222" s="144">
        <v>0.51</v>
      </c>
      <c r="N222" s="144">
        <v>0.51</v>
      </c>
      <c r="O222" s="141">
        <v>0.5</v>
      </c>
      <c r="P222" s="145">
        <v>0.51</v>
      </c>
      <c r="Q222" s="144">
        <v>0.505</v>
      </c>
      <c r="R222" s="144">
        <v>0.5</v>
      </c>
      <c r="S222" s="144">
        <v>0.52</v>
      </c>
      <c r="T222" s="144">
        <v>0.505</v>
      </c>
      <c r="U222" s="141">
        <v>0.505</v>
      </c>
      <c r="V222" s="145">
        <v>0.5</v>
      </c>
      <c r="W222" s="144">
        <v>0.51</v>
      </c>
      <c r="X222" s="144">
        <v>0.52</v>
      </c>
      <c r="Y222" s="144">
        <v>0.49</v>
      </c>
      <c r="Z222" s="144">
        <v>0.52</v>
      </c>
      <c r="AA222" s="144">
        <v>0.49</v>
      </c>
      <c r="AB222" s="143">
        <f>_xlfn.STDEV.P(D222:AA222)</f>
        <v>1.1448859720028414E-2</v>
      </c>
      <c r="AC222" s="146"/>
    </row>
    <row r="223" spans="1:29">
      <c r="A223" s="260"/>
      <c r="B223" s="147" t="s">
        <v>1846</v>
      </c>
      <c r="D223" s="148" t="s">
        <v>1794</v>
      </c>
      <c r="E223" s="148" t="s">
        <v>1796</v>
      </c>
      <c r="F223" s="148" t="s">
        <v>1796</v>
      </c>
      <c r="G223" s="148" t="s">
        <v>1803</v>
      </c>
      <c r="H223" s="148" t="s">
        <v>1794</v>
      </c>
      <c r="I223" s="149" t="s">
        <v>1794</v>
      </c>
      <c r="J223" s="150" t="s">
        <v>1794</v>
      </c>
      <c r="K223" s="148" t="s">
        <v>1803</v>
      </c>
      <c r="L223" s="148" t="s">
        <v>1794</v>
      </c>
      <c r="M223" s="148" t="s">
        <v>1794</v>
      </c>
      <c r="N223" s="148" t="s">
        <v>1794</v>
      </c>
      <c r="O223" s="149" t="s">
        <v>1794</v>
      </c>
      <c r="P223" s="150" t="s">
        <v>1794</v>
      </c>
      <c r="Q223" s="148" t="s">
        <v>1796</v>
      </c>
      <c r="R223" s="148" t="s">
        <v>1796</v>
      </c>
      <c r="S223" s="148" t="s">
        <v>1796</v>
      </c>
      <c r="T223" s="148" t="s">
        <v>1794</v>
      </c>
      <c r="U223" s="149" t="s">
        <v>1794</v>
      </c>
      <c r="V223" s="150" t="s">
        <v>1794</v>
      </c>
      <c r="W223" s="148" t="s">
        <v>1795</v>
      </c>
      <c r="X223" s="148" t="s">
        <v>1794</v>
      </c>
      <c r="Y223" s="148" t="s">
        <v>1794</v>
      </c>
      <c r="Z223" s="148" t="s">
        <v>1794</v>
      </c>
      <c r="AA223" s="148" t="s">
        <v>1794</v>
      </c>
      <c r="AB223" s="143"/>
      <c r="AC223" s="151" t="s">
        <v>1879</v>
      </c>
    </row>
    <row r="224" spans="1:29">
      <c r="A224" s="260"/>
      <c r="B224" t="s">
        <v>1848</v>
      </c>
      <c r="C224" t="s">
        <v>40</v>
      </c>
      <c r="D224" s="141">
        <v>0.47</v>
      </c>
      <c r="E224" s="141">
        <v>0.47499999999999998</v>
      </c>
      <c r="F224" s="141">
        <v>0.48</v>
      </c>
      <c r="G224" s="141">
        <v>0.47499999999999998</v>
      </c>
      <c r="H224" s="141">
        <v>0.46500000000000002</v>
      </c>
      <c r="I224" s="141">
        <v>0.47</v>
      </c>
      <c r="J224" s="142">
        <v>0.47499999999999998</v>
      </c>
      <c r="K224" s="141">
        <v>0.47499999999999998</v>
      </c>
      <c r="L224" s="141">
        <v>0.48</v>
      </c>
      <c r="M224" s="141">
        <v>0.47499999999999998</v>
      </c>
      <c r="N224" s="141">
        <v>0.47</v>
      </c>
      <c r="O224" s="141">
        <v>0.59</v>
      </c>
      <c r="P224" s="142">
        <v>0.49</v>
      </c>
      <c r="Q224" s="141">
        <v>0.46500000000000002</v>
      </c>
      <c r="R224" s="141">
        <v>0.48</v>
      </c>
      <c r="S224" s="141">
        <v>0.47499999999999998</v>
      </c>
      <c r="T224" s="141">
        <v>0.46500000000000002</v>
      </c>
      <c r="U224" s="141">
        <v>0.48499999999999999</v>
      </c>
      <c r="V224" s="142">
        <v>0.44500000000000001</v>
      </c>
      <c r="W224" s="141">
        <v>0.45500000000000002</v>
      </c>
      <c r="X224" s="141">
        <v>0.45</v>
      </c>
      <c r="Y224" s="141">
        <v>0.45500000000000002</v>
      </c>
      <c r="Z224" s="141">
        <v>0.51</v>
      </c>
      <c r="AA224" s="141">
        <v>0.47499999999999998</v>
      </c>
      <c r="AB224" s="143">
        <f>_xlfn.STDEV.P(D224:AA224)</f>
        <v>2.6961263364727955E-2</v>
      </c>
      <c r="AC224" s="143"/>
    </row>
    <row r="225" spans="1:29">
      <c r="A225" s="260"/>
      <c r="C225" t="s">
        <v>220</v>
      </c>
      <c r="D225" s="141">
        <v>1.01</v>
      </c>
      <c r="E225" s="141">
        <v>1.0049999999999999</v>
      </c>
      <c r="F225" s="141">
        <v>0.995</v>
      </c>
      <c r="G225" s="141">
        <v>1.01</v>
      </c>
      <c r="H225" s="141">
        <v>1.0049999999999999</v>
      </c>
      <c r="I225" s="141">
        <v>1.0149999999999999</v>
      </c>
      <c r="J225" s="142">
        <v>1.01</v>
      </c>
      <c r="K225" s="141">
        <v>1.01</v>
      </c>
      <c r="L225" s="141">
        <v>1</v>
      </c>
      <c r="M225" s="141">
        <v>1.02</v>
      </c>
      <c r="N225" s="141">
        <v>1.0149999999999999</v>
      </c>
      <c r="O225" s="141">
        <v>1.01</v>
      </c>
      <c r="P225" s="142">
        <v>1.0049999999999999</v>
      </c>
      <c r="Q225" s="141">
        <v>1.01</v>
      </c>
      <c r="R225" s="141">
        <v>1.01</v>
      </c>
      <c r="S225" s="141">
        <v>1.01</v>
      </c>
      <c r="T225" s="141">
        <v>0.99</v>
      </c>
      <c r="U225" s="141">
        <v>1.0049999999999999</v>
      </c>
      <c r="V225" s="142">
        <v>1.0049999999999999</v>
      </c>
      <c r="W225" s="141">
        <v>1.0049999999999999</v>
      </c>
      <c r="X225" s="141">
        <v>1.0049999999999999</v>
      </c>
      <c r="Y225" s="141">
        <v>1.01</v>
      </c>
      <c r="Z225" s="141">
        <v>0.995</v>
      </c>
      <c r="AA225" s="141">
        <v>1</v>
      </c>
      <c r="AB225" s="143">
        <f>_xlfn.STDEV.P(D225:AA225)</f>
        <v>6.6894143158343026E-3</v>
      </c>
      <c r="AC225" s="143"/>
    </row>
    <row r="226" spans="1:29">
      <c r="A226" s="260"/>
      <c r="C226" t="s">
        <v>221</v>
      </c>
      <c r="D226" s="144">
        <v>0.51500000000000001</v>
      </c>
      <c r="E226" s="144">
        <v>0.505</v>
      </c>
      <c r="F226" s="144">
        <v>0.52</v>
      </c>
      <c r="G226" s="144">
        <v>0.495</v>
      </c>
      <c r="H226" s="144">
        <v>0.495</v>
      </c>
      <c r="I226" s="141">
        <v>0.505</v>
      </c>
      <c r="J226" s="145">
        <v>0.5</v>
      </c>
      <c r="K226" s="144">
        <v>0.505</v>
      </c>
      <c r="L226" s="144">
        <v>0.49</v>
      </c>
      <c r="M226" s="144">
        <v>0.505</v>
      </c>
      <c r="N226" s="144">
        <v>0.505</v>
      </c>
      <c r="O226" s="141">
        <v>0.48</v>
      </c>
      <c r="P226" s="145">
        <v>0.495</v>
      </c>
      <c r="Q226" s="144">
        <v>0.51500000000000001</v>
      </c>
      <c r="R226" s="144">
        <v>0.52</v>
      </c>
      <c r="S226" s="144">
        <v>0.495</v>
      </c>
      <c r="T226" s="144">
        <v>0.505</v>
      </c>
      <c r="U226" s="141">
        <v>0.48499999999999999</v>
      </c>
      <c r="V226" s="145">
        <v>0.52</v>
      </c>
      <c r="W226" s="144">
        <v>0.505</v>
      </c>
      <c r="X226" s="144">
        <v>0.505</v>
      </c>
      <c r="Y226" s="144">
        <v>0.505</v>
      </c>
      <c r="Z226" s="144">
        <v>0.52</v>
      </c>
      <c r="AA226" s="144">
        <v>0.52500000000000002</v>
      </c>
      <c r="AB226" s="143">
        <f>_xlfn.STDEV.P(D226:AA226)</f>
        <v>1.1499924516660494E-2</v>
      </c>
      <c r="AC226" s="146"/>
    </row>
    <row r="227" spans="1:29">
      <c r="A227" s="260"/>
      <c r="B227" s="147" t="s">
        <v>1849</v>
      </c>
      <c r="D227" s="148" t="s">
        <v>1794</v>
      </c>
      <c r="E227" s="148" t="s">
        <v>1796</v>
      </c>
      <c r="F227" s="148" t="s">
        <v>1796</v>
      </c>
      <c r="G227" s="148" t="s">
        <v>1803</v>
      </c>
      <c r="H227" s="148" t="s">
        <v>1794</v>
      </c>
      <c r="I227" s="149" t="s">
        <v>1794</v>
      </c>
      <c r="J227" s="150" t="s">
        <v>1794</v>
      </c>
      <c r="K227" s="148" t="s">
        <v>1796</v>
      </c>
      <c r="L227" s="148" t="s">
        <v>1794</v>
      </c>
      <c r="M227" s="148" t="s">
        <v>1795</v>
      </c>
      <c r="N227" s="148" t="s">
        <v>1796</v>
      </c>
      <c r="O227" s="149" t="s">
        <v>1794</v>
      </c>
      <c r="P227" s="150" t="s">
        <v>1794</v>
      </c>
      <c r="Q227" s="148" t="s">
        <v>1794</v>
      </c>
      <c r="R227" s="148" t="s">
        <v>1796</v>
      </c>
      <c r="S227" s="148" t="s">
        <v>1796</v>
      </c>
      <c r="T227" s="148" t="s">
        <v>1794</v>
      </c>
      <c r="U227" s="149" t="s">
        <v>1794</v>
      </c>
      <c r="V227" s="150" t="s">
        <v>1794</v>
      </c>
      <c r="W227" s="148" t="s">
        <v>1794</v>
      </c>
      <c r="X227" s="148" t="s">
        <v>1796</v>
      </c>
      <c r="Y227" s="148" t="s">
        <v>1794</v>
      </c>
      <c r="Z227" s="148" t="s">
        <v>1794</v>
      </c>
      <c r="AA227" s="148" t="s">
        <v>1794</v>
      </c>
      <c r="AB227" s="143"/>
      <c r="AC227" s="151" t="s">
        <v>1880</v>
      </c>
    </row>
    <row r="228" spans="1:29">
      <c r="A228" s="260"/>
      <c r="B228" t="s">
        <v>1850</v>
      </c>
      <c r="C228" t="s">
        <v>40</v>
      </c>
      <c r="D228" s="141">
        <v>0.505</v>
      </c>
      <c r="E228" s="141">
        <v>0.49</v>
      </c>
      <c r="F228" s="141">
        <v>0.49</v>
      </c>
      <c r="G228" s="141">
        <v>0.47499999999999998</v>
      </c>
      <c r="H228" s="141">
        <v>0.48499999999999999</v>
      </c>
      <c r="I228" s="141">
        <v>0.47499999999999998</v>
      </c>
      <c r="J228" s="142">
        <v>0.48499999999999999</v>
      </c>
      <c r="K228" s="141">
        <v>0.47499999999999998</v>
      </c>
      <c r="L228" s="141">
        <v>0.47</v>
      </c>
      <c r="M228" s="141">
        <v>0.48499999999999999</v>
      </c>
      <c r="N228" s="141">
        <v>0.505</v>
      </c>
      <c r="O228" s="141">
        <v>0.47</v>
      </c>
      <c r="P228" s="142">
        <v>0.49</v>
      </c>
      <c r="Q228" s="141">
        <v>0.48</v>
      </c>
      <c r="R228" s="141">
        <v>0.49</v>
      </c>
      <c r="S228" s="141">
        <v>0.49</v>
      </c>
      <c r="T228" s="141">
        <v>0.49</v>
      </c>
      <c r="U228" s="141">
        <v>0.47</v>
      </c>
      <c r="V228" s="142">
        <v>0.48499999999999999</v>
      </c>
      <c r="W228" s="141">
        <v>0.48499999999999999</v>
      </c>
      <c r="X228" s="141">
        <v>0.46</v>
      </c>
      <c r="Y228" s="141">
        <v>0.44500000000000001</v>
      </c>
      <c r="Z228" s="141">
        <v>0.48499999999999999</v>
      </c>
      <c r="AA228" s="141">
        <v>0.495</v>
      </c>
      <c r="AB228" s="143">
        <f>_xlfn.STDEV.P(D228:AA228)</f>
        <v>1.3068662156301831E-2</v>
      </c>
      <c r="AC228" s="143"/>
    </row>
    <row r="229" spans="1:29">
      <c r="A229" s="260"/>
      <c r="C229" t="s">
        <v>220</v>
      </c>
      <c r="D229" s="141">
        <v>1.0149999999999999</v>
      </c>
      <c r="E229" s="141">
        <v>1.01</v>
      </c>
      <c r="F229" s="141">
        <v>1.01</v>
      </c>
      <c r="G229" s="141">
        <v>1</v>
      </c>
      <c r="H229" s="141">
        <v>1.01</v>
      </c>
      <c r="I229" s="141">
        <v>1.0049999999999999</v>
      </c>
      <c r="J229" s="142">
        <v>1.02</v>
      </c>
      <c r="K229" s="141">
        <v>1.01</v>
      </c>
      <c r="L229" s="141">
        <v>1.01</v>
      </c>
      <c r="M229" s="141">
        <v>1</v>
      </c>
      <c r="N229" s="141">
        <v>1.0049999999999999</v>
      </c>
      <c r="O229" s="141">
        <v>1.0049999999999999</v>
      </c>
      <c r="P229" s="142">
        <v>1.01</v>
      </c>
      <c r="Q229" s="141">
        <v>1.01</v>
      </c>
      <c r="R229" s="141">
        <v>1.01</v>
      </c>
      <c r="S229" s="141">
        <v>1.0049999999999999</v>
      </c>
      <c r="T229" s="141">
        <v>1.01</v>
      </c>
      <c r="U229" s="141">
        <v>1.0049999999999999</v>
      </c>
      <c r="V229" s="142">
        <v>1.01</v>
      </c>
      <c r="W229" s="141">
        <v>1.01</v>
      </c>
      <c r="X229" s="141">
        <v>1.01</v>
      </c>
      <c r="Y229" s="141">
        <v>1.0149999999999999</v>
      </c>
      <c r="Z229" s="141">
        <v>1.0049999999999999</v>
      </c>
      <c r="AA229" s="141">
        <v>1.0049999999999999</v>
      </c>
      <c r="AB229" s="143">
        <f>_xlfn.STDEV.P(D229:AA229)</f>
        <v>4.4439018766045026E-3</v>
      </c>
      <c r="AC229" s="143"/>
    </row>
    <row r="230" spans="1:29">
      <c r="A230" s="260"/>
      <c r="C230" t="s">
        <v>221</v>
      </c>
      <c r="D230" s="144">
        <v>0.54</v>
      </c>
      <c r="E230" s="144">
        <v>0.53</v>
      </c>
      <c r="F230" s="144">
        <v>0.52</v>
      </c>
      <c r="G230" s="144">
        <v>0.53500000000000003</v>
      </c>
      <c r="H230" s="144">
        <v>0.49</v>
      </c>
      <c r="I230" s="141">
        <v>0.51500000000000001</v>
      </c>
      <c r="J230" s="145">
        <v>0.5</v>
      </c>
      <c r="K230" s="144">
        <v>0.51</v>
      </c>
      <c r="L230" s="144">
        <v>0.5</v>
      </c>
      <c r="M230" s="144">
        <v>0.53</v>
      </c>
      <c r="N230" s="144">
        <v>0.505</v>
      </c>
      <c r="O230" s="141">
        <v>0.5</v>
      </c>
      <c r="P230" s="145">
        <v>0.5</v>
      </c>
      <c r="Q230" s="144">
        <v>0.51</v>
      </c>
      <c r="R230" s="144">
        <v>0.51</v>
      </c>
      <c r="S230" s="144">
        <v>0.51</v>
      </c>
      <c r="T230" s="144">
        <v>0.51</v>
      </c>
      <c r="U230" s="141">
        <v>0.505</v>
      </c>
      <c r="V230" s="145">
        <v>0.505</v>
      </c>
      <c r="W230" s="144">
        <v>0.51</v>
      </c>
      <c r="X230" s="144">
        <v>0.48</v>
      </c>
      <c r="Y230" s="144">
        <v>0.51</v>
      </c>
      <c r="Z230" s="144">
        <v>0.505</v>
      </c>
      <c r="AA230" s="144">
        <v>0.505</v>
      </c>
      <c r="AB230" s="143">
        <f>_xlfn.STDEV.P(D230:AA230)</f>
        <v>1.3344721698942338E-2</v>
      </c>
      <c r="AC230" s="146"/>
    </row>
    <row r="231" spans="1:29">
      <c r="A231" s="260"/>
      <c r="B231" s="147" t="s">
        <v>1851</v>
      </c>
      <c r="D231" s="148" t="s">
        <v>1794</v>
      </c>
      <c r="E231" s="148" t="s">
        <v>1796</v>
      </c>
      <c r="F231" s="148" t="s">
        <v>1796</v>
      </c>
      <c r="G231" s="148" t="s">
        <v>1796</v>
      </c>
      <c r="H231" s="148" t="s">
        <v>1796</v>
      </c>
      <c r="I231" s="149" t="s">
        <v>1794</v>
      </c>
      <c r="J231" s="150" t="s">
        <v>1794</v>
      </c>
      <c r="K231" s="148" t="s">
        <v>1794</v>
      </c>
      <c r="L231" s="148" t="s">
        <v>1794</v>
      </c>
      <c r="M231" s="148" t="s">
        <v>1794</v>
      </c>
      <c r="N231" s="148" t="s">
        <v>1794</v>
      </c>
      <c r="O231" s="149" t="s">
        <v>1794</v>
      </c>
      <c r="P231" s="150" t="s">
        <v>1795</v>
      </c>
      <c r="Q231" s="148" t="s">
        <v>1796</v>
      </c>
      <c r="R231" s="148" t="s">
        <v>1794</v>
      </c>
      <c r="S231" s="148" t="s">
        <v>1795</v>
      </c>
      <c r="T231" s="148" t="s">
        <v>1795</v>
      </c>
      <c r="U231" s="149" t="s">
        <v>1803</v>
      </c>
      <c r="V231" s="150" t="s">
        <v>1795</v>
      </c>
      <c r="W231" s="148" t="s">
        <v>1796</v>
      </c>
      <c r="X231" s="148" t="s">
        <v>1796</v>
      </c>
      <c r="Y231" s="148" t="s">
        <v>1794</v>
      </c>
      <c r="Z231" s="148" t="s">
        <v>1794</v>
      </c>
      <c r="AA231" s="148" t="s">
        <v>1794</v>
      </c>
      <c r="AB231" s="143"/>
      <c r="AC231" s="151" t="s">
        <v>1804</v>
      </c>
    </row>
    <row r="232" spans="1:29">
      <c r="A232" s="260"/>
      <c r="B232" t="s">
        <v>1853</v>
      </c>
      <c r="C232" t="s">
        <v>40</v>
      </c>
      <c r="D232" s="141">
        <v>0.48</v>
      </c>
      <c r="E232" s="141">
        <v>0.48</v>
      </c>
      <c r="F232" s="141">
        <v>0.5</v>
      </c>
      <c r="G232" s="141">
        <v>0.47499999999999998</v>
      </c>
      <c r="H232" s="141">
        <v>0.48499999999999999</v>
      </c>
      <c r="I232" s="141">
        <v>0.47499999999999998</v>
      </c>
      <c r="J232" s="142">
        <v>0.47</v>
      </c>
      <c r="K232" s="141">
        <v>0.48499999999999999</v>
      </c>
      <c r="L232" s="141">
        <v>0.48</v>
      </c>
      <c r="M232" s="141">
        <v>0.46</v>
      </c>
      <c r="N232" s="141">
        <v>0.48</v>
      </c>
      <c r="O232" s="141">
        <v>0.45500000000000002</v>
      </c>
      <c r="P232" s="142">
        <v>0.47499999999999998</v>
      </c>
      <c r="Q232" s="141">
        <v>0.49</v>
      </c>
      <c r="R232" s="141">
        <v>0.48</v>
      </c>
      <c r="S232" s="141">
        <v>0.48499999999999999</v>
      </c>
      <c r="T232" s="141">
        <v>0.48</v>
      </c>
      <c r="U232" s="141">
        <v>0.47</v>
      </c>
      <c r="V232" s="142">
        <v>0.48</v>
      </c>
      <c r="W232" s="141">
        <v>0.47499999999999998</v>
      </c>
      <c r="X232" s="141">
        <v>0.49</v>
      </c>
      <c r="Y232" s="141">
        <v>0.47</v>
      </c>
      <c r="Z232" s="141">
        <v>0.4</v>
      </c>
      <c r="AA232" s="141">
        <v>0.52500000000000002</v>
      </c>
      <c r="AB232" s="143">
        <f>_xlfn.STDEV.P(D232:AA232)</f>
        <v>2.0706908066311265E-2</v>
      </c>
      <c r="AC232" s="143"/>
    </row>
    <row r="233" spans="1:29">
      <c r="A233" s="260"/>
      <c r="C233" t="s">
        <v>220</v>
      </c>
      <c r="D233" s="141">
        <v>1.0049999999999999</v>
      </c>
      <c r="E233" s="141">
        <v>1.01</v>
      </c>
      <c r="F233" s="141">
        <v>1.0049999999999999</v>
      </c>
      <c r="G233" s="141">
        <v>1.0149999999999999</v>
      </c>
      <c r="H233" s="141">
        <v>1.0049999999999999</v>
      </c>
      <c r="I233" s="141">
        <v>1.0049999999999999</v>
      </c>
      <c r="J233" s="142">
        <v>1.0049999999999999</v>
      </c>
      <c r="K233" s="141">
        <v>1.01</v>
      </c>
      <c r="L233" s="141">
        <v>1.0049999999999999</v>
      </c>
      <c r="M233" s="141">
        <v>1.0149999999999999</v>
      </c>
      <c r="N233" s="141">
        <v>1.01</v>
      </c>
      <c r="O233" s="141">
        <v>1.0149999999999999</v>
      </c>
      <c r="P233" s="142">
        <v>1.01</v>
      </c>
      <c r="Q233" s="141">
        <v>1.01</v>
      </c>
      <c r="R233" s="141">
        <v>1.01</v>
      </c>
      <c r="S233" s="141">
        <v>1.0049999999999999</v>
      </c>
      <c r="T233" s="141">
        <v>1.0149999999999999</v>
      </c>
      <c r="U233" s="141">
        <v>1.0049999999999999</v>
      </c>
      <c r="V233" s="142">
        <v>1.01</v>
      </c>
      <c r="W233" s="141">
        <v>1.0049999999999999</v>
      </c>
      <c r="X233" s="141">
        <v>1.01</v>
      </c>
      <c r="Y233" s="141">
        <v>1.01</v>
      </c>
      <c r="Z233" s="141">
        <v>1.0049999999999999</v>
      </c>
      <c r="AA233" s="141">
        <v>0.99</v>
      </c>
      <c r="AB233" s="143">
        <f>_xlfn.STDEV.P(D233:AA233)</f>
        <v>5.187458165828644E-3</v>
      </c>
      <c r="AC233" s="143"/>
    </row>
    <row r="234" spans="1:29">
      <c r="A234" s="260"/>
      <c r="C234" t="s">
        <v>221</v>
      </c>
      <c r="D234" s="144">
        <v>0.51500000000000001</v>
      </c>
      <c r="E234" s="144">
        <v>0.52</v>
      </c>
      <c r="F234" s="144">
        <v>0.52</v>
      </c>
      <c r="G234" s="144">
        <v>0.52</v>
      </c>
      <c r="H234" s="144">
        <v>0.51500000000000001</v>
      </c>
      <c r="I234" s="141">
        <v>0.51500000000000001</v>
      </c>
      <c r="J234" s="145">
        <v>0.51500000000000001</v>
      </c>
      <c r="K234" s="144">
        <v>0.51500000000000001</v>
      </c>
      <c r="L234" s="144">
        <v>0.51500000000000001</v>
      </c>
      <c r="M234" s="144">
        <v>0.53</v>
      </c>
      <c r="N234" s="144">
        <v>0.52</v>
      </c>
      <c r="O234" s="141">
        <v>0.505</v>
      </c>
      <c r="P234" s="145">
        <v>0.5</v>
      </c>
      <c r="Q234" s="144">
        <v>0.51</v>
      </c>
      <c r="R234" s="144">
        <v>0.52500000000000002</v>
      </c>
      <c r="S234" s="144">
        <v>0.51</v>
      </c>
      <c r="T234" s="144">
        <v>0.51500000000000001</v>
      </c>
      <c r="U234" s="141">
        <v>0.505</v>
      </c>
      <c r="V234" s="145">
        <v>0.51500000000000001</v>
      </c>
      <c r="W234" s="144">
        <v>0.51</v>
      </c>
      <c r="X234" s="144">
        <v>0.51500000000000001</v>
      </c>
      <c r="Y234" s="144">
        <v>0.51</v>
      </c>
      <c r="Z234" s="144">
        <v>0.53</v>
      </c>
      <c r="AA234" s="144">
        <v>0.52</v>
      </c>
      <c r="AB234" s="143">
        <f>_xlfn.STDEV.P(D234:AA234)</f>
        <v>7.058780977540596E-3</v>
      </c>
      <c r="AC234" s="146"/>
    </row>
    <row r="235" spans="1:29">
      <c r="A235" s="260"/>
      <c r="B235" s="147" t="s">
        <v>1854</v>
      </c>
      <c r="D235" s="148" t="s">
        <v>1794</v>
      </c>
      <c r="E235" s="148" t="s">
        <v>1796</v>
      </c>
      <c r="F235" s="148" t="s">
        <v>1796</v>
      </c>
      <c r="G235" s="148" t="s">
        <v>1796</v>
      </c>
      <c r="H235" s="148" t="s">
        <v>1794</v>
      </c>
      <c r="I235" s="149" t="s">
        <v>1803</v>
      </c>
      <c r="J235" s="150" t="s">
        <v>1794</v>
      </c>
      <c r="K235" s="148" t="s">
        <v>1796</v>
      </c>
      <c r="L235" s="148" t="s">
        <v>1796</v>
      </c>
      <c r="M235" s="148" t="s">
        <v>1796</v>
      </c>
      <c r="N235" s="148" t="s">
        <v>1803</v>
      </c>
      <c r="O235" s="149" t="s">
        <v>1803</v>
      </c>
      <c r="P235" s="150" t="s">
        <v>1794</v>
      </c>
      <c r="Q235" s="148" t="s">
        <v>1796</v>
      </c>
      <c r="R235" s="148" t="s">
        <v>1794</v>
      </c>
      <c r="S235" s="148" t="s">
        <v>1796</v>
      </c>
      <c r="T235" s="148" t="s">
        <v>1794</v>
      </c>
      <c r="U235" s="149" t="s">
        <v>1794</v>
      </c>
      <c r="V235" s="150" t="s">
        <v>1794</v>
      </c>
      <c r="W235" s="148" t="s">
        <v>1796</v>
      </c>
      <c r="X235" s="148" t="s">
        <v>1796</v>
      </c>
      <c r="Y235" s="148" t="s">
        <v>1795</v>
      </c>
      <c r="Z235" s="148" t="s">
        <v>1794</v>
      </c>
      <c r="AA235" s="148" t="s">
        <v>1794</v>
      </c>
      <c r="AB235" s="143"/>
      <c r="AC235" s="151" t="s">
        <v>1872</v>
      </c>
    </row>
    <row r="236" spans="1:29">
      <c r="A236" s="260"/>
      <c r="B236" t="s">
        <v>1856</v>
      </c>
      <c r="C236" t="s">
        <v>40</v>
      </c>
      <c r="D236" s="141">
        <v>0.48499999999999999</v>
      </c>
      <c r="E236" s="141">
        <v>0.5</v>
      </c>
      <c r="F236" s="141">
        <v>0.47499999999999998</v>
      </c>
      <c r="G236" s="141">
        <v>0.48499999999999999</v>
      </c>
      <c r="H236" s="141">
        <v>0.48499999999999999</v>
      </c>
      <c r="I236" s="141">
        <v>0.49</v>
      </c>
      <c r="J236" s="142">
        <v>0.495</v>
      </c>
      <c r="K236" s="141">
        <v>0.47499999999999998</v>
      </c>
      <c r="L236" s="141">
        <v>0.48499999999999999</v>
      </c>
      <c r="M236" s="141">
        <v>0.47</v>
      </c>
      <c r="N236" s="141">
        <v>0.44500000000000001</v>
      </c>
      <c r="O236" s="141">
        <v>0.38500000000000001</v>
      </c>
      <c r="P236" s="142">
        <v>0.505</v>
      </c>
      <c r="Q236" s="141">
        <v>0.48499999999999999</v>
      </c>
      <c r="R236" s="141">
        <v>0.495</v>
      </c>
      <c r="S236" s="141">
        <v>0.495</v>
      </c>
      <c r="T236" s="141">
        <v>0.47499999999999998</v>
      </c>
      <c r="U236" s="141">
        <v>0.52</v>
      </c>
      <c r="V236" s="142">
        <v>0.47</v>
      </c>
      <c r="W236" s="141">
        <v>0.48</v>
      </c>
      <c r="X236" s="141">
        <v>0.47499999999999998</v>
      </c>
      <c r="Y236" s="141">
        <v>0.47499999999999998</v>
      </c>
      <c r="Z236" s="141">
        <v>0.51</v>
      </c>
      <c r="AA236" s="141">
        <v>0.5</v>
      </c>
      <c r="AB236" s="143">
        <f>_xlfn.STDEV.P(D236:AA236)</f>
        <v>2.5276251480171832E-2</v>
      </c>
      <c r="AC236" s="143"/>
    </row>
    <row r="237" spans="1:29">
      <c r="A237" s="260"/>
      <c r="C237" t="s">
        <v>220</v>
      </c>
      <c r="D237" s="141">
        <v>1.01</v>
      </c>
      <c r="E237" s="141">
        <v>1.01</v>
      </c>
      <c r="F237" s="141">
        <v>1.0149999999999999</v>
      </c>
      <c r="G237" s="141">
        <v>0.995</v>
      </c>
      <c r="H237" s="141">
        <v>1.01</v>
      </c>
      <c r="I237" s="141">
        <v>1.01</v>
      </c>
      <c r="J237" s="142">
        <v>1.01</v>
      </c>
      <c r="K237" s="141">
        <v>1.01</v>
      </c>
      <c r="L237" s="141">
        <v>1.01</v>
      </c>
      <c r="M237" s="141">
        <v>1.01</v>
      </c>
      <c r="N237" s="141">
        <v>1.01</v>
      </c>
      <c r="O237" s="141">
        <v>1.0049999999999999</v>
      </c>
      <c r="P237" s="142">
        <v>0.995</v>
      </c>
      <c r="Q237" s="141">
        <v>1.01</v>
      </c>
      <c r="R237" s="141">
        <v>1</v>
      </c>
      <c r="S237" s="141">
        <v>1.0049999999999999</v>
      </c>
      <c r="T237" s="141">
        <v>1.01</v>
      </c>
      <c r="U237" s="141">
        <v>1.0049999999999999</v>
      </c>
      <c r="V237" s="142">
        <v>1.01</v>
      </c>
      <c r="W237" s="141">
        <v>1</v>
      </c>
      <c r="X237" s="141">
        <v>1.0049999999999999</v>
      </c>
      <c r="Y237" s="141">
        <v>1.0049999999999999</v>
      </c>
      <c r="Z237" s="141">
        <v>1.0049999999999999</v>
      </c>
      <c r="AA237" s="141">
        <v>1.01</v>
      </c>
      <c r="AB237" s="143">
        <f>_xlfn.STDEV.P(D237:AA237)</f>
        <v>4.9607837082461135E-3</v>
      </c>
      <c r="AC237" s="143"/>
    </row>
    <row r="238" spans="1:29">
      <c r="A238" s="260"/>
      <c r="C238" t="s">
        <v>221</v>
      </c>
      <c r="D238" s="144">
        <v>0.54</v>
      </c>
      <c r="E238" s="144">
        <v>0.53</v>
      </c>
      <c r="F238" s="144">
        <v>0.51500000000000001</v>
      </c>
      <c r="G238" s="144">
        <v>0.53</v>
      </c>
      <c r="H238" s="144">
        <v>0.52</v>
      </c>
      <c r="I238" s="141">
        <v>0.51500000000000001</v>
      </c>
      <c r="J238" s="145">
        <v>0.505</v>
      </c>
      <c r="K238" s="144">
        <v>0.52500000000000002</v>
      </c>
      <c r="L238" s="144">
        <v>0.53</v>
      </c>
      <c r="M238" s="144">
        <v>0.51500000000000001</v>
      </c>
      <c r="N238" s="144">
        <v>0.53</v>
      </c>
      <c r="O238" s="141">
        <v>0.53</v>
      </c>
      <c r="P238" s="145">
        <v>0.52500000000000002</v>
      </c>
      <c r="Q238" s="144">
        <v>0.51500000000000001</v>
      </c>
      <c r="R238" s="144">
        <v>0.5</v>
      </c>
      <c r="S238" s="144">
        <v>0.53</v>
      </c>
      <c r="T238" s="144">
        <v>0.51</v>
      </c>
      <c r="U238" s="141">
        <v>0.46500000000000002</v>
      </c>
      <c r="V238" s="145">
        <v>0.51500000000000001</v>
      </c>
      <c r="W238" s="144">
        <v>0.51</v>
      </c>
      <c r="X238" s="144">
        <v>0.51500000000000001</v>
      </c>
      <c r="Y238" s="144">
        <v>0.52500000000000002</v>
      </c>
      <c r="Z238" s="144">
        <v>0.52500000000000002</v>
      </c>
      <c r="AA238" s="144">
        <v>0.52</v>
      </c>
      <c r="AB238" s="143">
        <f>_xlfn.STDEV.P(D238:AA238)</f>
        <v>1.4481789330818978E-2</v>
      </c>
      <c r="AC238" s="146"/>
    </row>
    <row r="239" spans="1:29">
      <c r="A239" s="260"/>
      <c r="B239" s="147" t="s">
        <v>1857</v>
      </c>
      <c r="D239" s="148" t="s">
        <v>1794</v>
      </c>
      <c r="E239" s="148" t="s">
        <v>1796</v>
      </c>
      <c r="F239" s="148" t="s">
        <v>1796</v>
      </c>
      <c r="G239" s="148" t="s">
        <v>1796</v>
      </c>
      <c r="H239" s="148" t="s">
        <v>1796</v>
      </c>
      <c r="I239" s="149" t="s">
        <v>1796</v>
      </c>
      <c r="J239" s="150" t="s">
        <v>1794</v>
      </c>
      <c r="K239" s="148" t="s">
        <v>1795</v>
      </c>
      <c r="L239" s="148" t="s">
        <v>1796</v>
      </c>
      <c r="M239" s="148" t="s">
        <v>1803</v>
      </c>
      <c r="N239" s="148" t="s">
        <v>1795</v>
      </c>
      <c r="O239" s="149" t="s">
        <v>1794</v>
      </c>
      <c r="P239" s="150" t="s">
        <v>1794</v>
      </c>
      <c r="Q239" s="148" t="s">
        <v>1796</v>
      </c>
      <c r="R239" s="148" t="s">
        <v>1796</v>
      </c>
      <c r="S239" s="148" t="s">
        <v>1796</v>
      </c>
      <c r="T239" s="148" t="s">
        <v>1796</v>
      </c>
      <c r="U239" s="149" t="s">
        <v>1803</v>
      </c>
      <c r="V239" s="150" t="s">
        <v>1796</v>
      </c>
      <c r="W239" s="148" t="s">
        <v>1803</v>
      </c>
      <c r="X239" s="148" t="s">
        <v>1796</v>
      </c>
      <c r="Y239" s="148" t="s">
        <v>1794</v>
      </c>
      <c r="Z239" s="148" t="s">
        <v>1796</v>
      </c>
      <c r="AA239" s="148" t="s">
        <v>1794</v>
      </c>
      <c r="AB239" s="143"/>
      <c r="AC239" s="151" t="s">
        <v>1881</v>
      </c>
    </row>
    <row r="240" spans="1:29">
      <c r="A240" s="260"/>
      <c r="B240" t="s">
        <v>1858</v>
      </c>
      <c r="C240" t="s">
        <v>40</v>
      </c>
      <c r="D240" s="141">
        <v>0.48</v>
      </c>
      <c r="E240" s="141">
        <v>0.48499999999999999</v>
      </c>
      <c r="F240" s="141">
        <v>0.48499999999999999</v>
      </c>
      <c r="G240" s="141">
        <v>0.46</v>
      </c>
      <c r="H240" s="141">
        <v>0.47</v>
      </c>
      <c r="I240" s="141">
        <v>0.49</v>
      </c>
      <c r="J240" s="142">
        <v>0.48499999999999999</v>
      </c>
      <c r="K240" s="141">
        <v>0.47499999999999998</v>
      </c>
      <c r="L240" s="141">
        <v>0.46500000000000002</v>
      </c>
      <c r="M240" s="141">
        <v>0.48</v>
      </c>
      <c r="N240" s="141">
        <v>0.47499999999999998</v>
      </c>
      <c r="O240" s="141">
        <v>0.45500000000000002</v>
      </c>
      <c r="P240" s="142">
        <v>0.505</v>
      </c>
      <c r="Q240" s="141">
        <v>0.48</v>
      </c>
      <c r="R240" s="141">
        <v>0.49</v>
      </c>
      <c r="S240" s="141">
        <v>0.48499999999999999</v>
      </c>
      <c r="T240" s="141">
        <v>0.53500000000000003</v>
      </c>
      <c r="U240" s="141">
        <v>0.48499999999999999</v>
      </c>
      <c r="V240" s="142">
        <v>0.49</v>
      </c>
      <c r="W240" s="141">
        <v>0.48</v>
      </c>
      <c r="X240" s="141">
        <v>0.45500000000000002</v>
      </c>
      <c r="Y240" s="141">
        <v>0.505</v>
      </c>
      <c r="Z240" s="141">
        <v>0.49</v>
      </c>
      <c r="AA240" s="141">
        <v>0.48499999999999999</v>
      </c>
      <c r="AB240" s="143">
        <f>_xlfn.STDEV.P(D240:AA240)</f>
        <v>1.664060462309655E-2</v>
      </c>
      <c r="AC240" s="143"/>
    </row>
    <row r="241" spans="1:29">
      <c r="A241" s="260"/>
      <c r="C241" t="s">
        <v>220</v>
      </c>
      <c r="D241" s="141">
        <v>1.01</v>
      </c>
      <c r="E241" s="141">
        <v>1.01</v>
      </c>
      <c r="F241" s="141">
        <v>1.0049999999999999</v>
      </c>
      <c r="G241" s="141">
        <v>1.0049999999999999</v>
      </c>
      <c r="H241" s="141">
        <v>1.02</v>
      </c>
      <c r="I241" s="141">
        <v>1.0049999999999999</v>
      </c>
      <c r="J241" s="142">
        <v>1.0049999999999999</v>
      </c>
      <c r="K241" s="141">
        <v>1.01</v>
      </c>
      <c r="L241" s="141">
        <v>1.01</v>
      </c>
      <c r="M241" s="141">
        <v>1.0149999999999999</v>
      </c>
      <c r="N241" s="141">
        <v>1.01</v>
      </c>
      <c r="O241" s="141">
        <v>1.0049999999999999</v>
      </c>
      <c r="P241" s="142">
        <v>1.01</v>
      </c>
      <c r="Q241" s="141">
        <v>1.0049999999999999</v>
      </c>
      <c r="R241" s="141">
        <v>1.01</v>
      </c>
      <c r="S241" s="141">
        <v>1.0149999999999999</v>
      </c>
      <c r="T241" s="141">
        <v>1.0049999999999999</v>
      </c>
      <c r="U241" s="141">
        <v>1.01</v>
      </c>
      <c r="V241" s="142">
        <v>1.01</v>
      </c>
      <c r="W241" s="141">
        <v>1.01</v>
      </c>
      <c r="X241" s="141">
        <v>1.0049999999999999</v>
      </c>
      <c r="Y241" s="141">
        <v>1.0049999999999999</v>
      </c>
      <c r="Z241" s="141">
        <v>1</v>
      </c>
      <c r="AA241" s="141">
        <v>1.0049999999999999</v>
      </c>
      <c r="AB241" s="143">
        <f>_xlfn.STDEV.P(D241:AA241)</f>
        <v>4.249182927994013E-3</v>
      </c>
      <c r="AC241" s="143"/>
    </row>
    <row r="242" spans="1:29">
      <c r="A242" s="260"/>
      <c r="C242" t="s">
        <v>221</v>
      </c>
      <c r="D242" s="144">
        <v>0.52</v>
      </c>
      <c r="E242" s="144">
        <v>0.51</v>
      </c>
      <c r="F242" s="144">
        <v>0.51</v>
      </c>
      <c r="G242" s="144">
        <v>0.52</v>
      </c>
      <c r="H242" s="144">
        <v>0.505</v>
      </c>
      <c r="I242" s="141">
        <v>0.51500000000000001</v>
      </c>
      <c r="J242" s="145">
        <v>0.51500000000000001</v>
      </c>
      <c r="K242" s="144">
        <v>0.51500000000000001</v>
      </c>
      <c r="L242" s="144">
        <v>0.52</v>
      </c>
      <c r="M242" s="144">
        <v>0.51500000000000001</v>
      </c>
      <c r="N242" s="144">
        <v>0.51</v>
      </c>
      <c r="O242" s="141">
        <v>0.51500000000000001</v>
      </c>
      <c r="P242" s="145">
        <v>0.53500000000000003</v>
      </c>
      <c r="Q242" s="144">
        <v>0.505</v>
      </c>
      <c r="R242" s="144">
        <v>0.51500000000000001</v>
      </c>
      <c r="S242" s="144">
        <v>0.52</v>
      </c>
      <c r="T242" s="144">
        <v>0.49</v>
      </c>
      <c r="U242" s="141">
        <v>0.505</v>
      </c>
      <c r="V242" s="145">
        <v>0.52</v>
      </c>
      <c r="W242" s="144">
        <v>0.505</v>
      </c>
      <c r="X242" s="144">
        <v>0.51</v>
      </c>
      <c r="Y242" s="144">
        <v>0.51</v>
      </c>
      <c r="Z242" s="144">
        <v>0.52</v>
      </c>
      <c r="AA242" s="144">
        <v>0.5</v>
      </c>
      <c r="AB242" s="143">
        <f>_xlfn.STDEV.P(D242:AA242)</f>
        <v>8.6577478146584036E-3</v>
      </c>
      <c r="AC242" s="146"/>
    </row>
    <row r="243" spans="1:29">
      <c r="A243" s="260"/>
      <c r="B243" s="147" t="s">
        <v>1859</v>
      </c>
      <c r="D243" s="148" t="s">
        <v>1794</v>
      </c>
      <c r="E243" s="148" t="s">
        <v>1796</v>
      </c>
      <c r="F243" s="148" t="s">
        <v>1796</v>
      </c>
      <c r="G243" s="148" t="s">
        <v>1796</v>
      </c>
      <c r="H243" s="148" t="s">
        <v>1803</v>
      </c>
      <c r="I243" s="149" t="s">
        <v>1796</v>
      </c>
      <c r="J243" s="150" t="s">
        <v>1803</v>
      </c>
      <c r="K243" s="148" t="s">
        <v>1795</v>
      </c>
      <c r="L243" s="148" t="s">
        <v>1796</v>
      </c>
      <c r="M243" s="148" t="s">
        <v>1803</v>
      </c>
      <c r="N243" s="148" t="s">
        <v>1796</v>
      </c>
      <c r="O243" s="149" t="s">
        <v>1803</v>
      </c>
      <c r="P243" s="150" t="s">
        <v>1795</v>
      </c>
      <c r="Q243" s="148" t="s">
        <v>1796</v>
      </c>
      <c r="R243" s="148" t="s">
        <v>1796</v>
      </c>
      <c r="S243" s="148" t="s">
        <v>1796</v>
      </c>
      <c r="T243" s="148" t="s">
        <v>1796</v>
      </c>
      <c r="U243" s="149" t="s">
        <v>1795</v>
      </c>
      <c r="V243" s="150" t="s">
        <v>1796</v>
      </c>
      <c r="W243" s="148" t="s">
        <v>1803</v>
      </c>
      <c r="X243" s="148" t="s">
        <v>1796</v>
      </c>
      <c r="Y243" s="148" t="s">
        <v>1803</v>
      </c>
      <c r="Z243" s="148" t="s">
        <v>1796</v>
      </c>
      <c r="AA243" s="148" t="s">
        <v>1796</v>
      </c>
      <c r="AB243" s="143"/>
      <c r="AC243" s="151" t="s">
        <v>1882</v>
      </c>
    </row>
    <row r="244" spans="1:29">
      <c r="A244" s="260"/>
      <c r="B244" t="s">
        <v>1861</v>
      </c>
      <c r="C244" t="s">
        <v>40</v>
      </c>
      <c r="D244" s="141">
        <v>0.48499999999999999</v>
      </c>
      <c r="E244" s="141">
        <v>0.49</v>
      </c>
      <c r="F244" s="141">
        <v>0.49</v>
      </c>
      <c r="G244" s="141">
        <v>0.47</v>
      </c>
      <c r="H244" s="141">
        <v>0.505</v>
      </c>
      <c r="I244" s="141">
        <v>0.47499999999999998</v>
      </c>
      <c r="J244" s="142">
        <v>0.48499999999999999</v>
      </c>
      <c r="K244" s="141">
        <v>0.49</v>
      </c>
      <c r="L244" s="141">
        <v>0.47499999999999998</v>
      </c>
      <c r="M244" s="141">
        <v>0.47499999999999998</v>
      </c>
      <c r="N244" s="141">
        <v>0.46</v>
      </c>
      <c r="O244" s="141">
        <v>0.5</v>
      </c>
      <c r="P244" s="142">
        <v>0.46500000000000002</v>
      </c>
      <c r="Q244" s="141">
        <v>0.48</v>
      </c>
      <c r="R244" s="141">
        <v>0.46</v>
      </c>
      <c r="S244" s="141">
        <v>0.47499999999999998</v>
      </c>
      <c r="T244" s="141">
        <v>0.47</v>
      </c>
      <c r="U244" s="141">
        <v>0.495</v>
      </c>
      <c r="V244" s="142">
        <v>0.48</v>
      </c>
      <c r="W244" s="141">
        <v>0.48</v>
      </c>
      <c r="X244" s="141">
        <v>0.47499999999999998</v>
      </c>
      <c r="Y244" s="141">
        <v>0.46500000000000002</v>
      </c>
      <c r="Z244" s="141">
        <v>0.46500000000000002</v>
      </c>
      <c r="AA244" s="141">
        <v>0.42499999999999999</v>
      </c>
      <c r="AB244" s="143">
        <f>_xlfn.STDEV.P(D244:AA244)</f>
        <v>1.5973882763922975E-2</v>
      </c>
      <c r="AC244" s="143"/>
    </row>
    <row r="245" spans="1:29">
      <c r="A245" s="260"/>
      <c r="C245" t="s">
        <v>220</v>
      </c>
      <c r="D245" s="141">
        <v>1.01</v>
      </c>
      <c r="E245" s="141">
        <v>1.01</v>
      </c>
      <c r="F245" s="141">
        <v>1.0049999999999999</v>
      </c>
      <c r="G245" s="141">
        <v>1.01</v>
      </c>
      <c r="H245" s="141">
        <v>1.0049999999999999</v>
      </c>
      <c r="I245" s="141">
        <v>1.01</v>
      </c>
      <c r="J245" s="142">
        <v>1.01</v>
      </c>
      <c r="K245" s="141">
        <v>1.0049999999999999</v>
      </c>
      <c r="L245" s="141">
        <v>1.0049999999999999</v>
      </c>
      <c r="M245" s="141">
        <v>1.0149999999999999</v>
      </c>
      <c r="N245" s="141">
        <v>1.0249999999999999</v>
      </c>
      <c r="O245" s="141">
        <v>1.01</v>
      </c>
      <c r="P245" s="142">
        <v>1.0149999999999999</v>
      </c>
      <c r="Q245" s="141">
        <v>1.0049999999999999</v>
      </c>
      <c r="R245" s="141">
        <v>1.01</v>
      </c>
      <c r="S245" s="141">
        <v>1.0049999999999999</v>
      </c>
      <c r="T245" s="141">
        <v>1.02</v>
      </c>
      <c r="U245" s="141">
        <v>1.0049999999999999</v>
      </c>
      <c r="V245" s="142">
        <v>1.0049999999999999</v>
      </c>
      <c r="W245" s="141">
        <v>1.01</v>
      </c>
      <c r="X245" s="141">
        <v>1.01</v>
      </c>
      <c r="Y245" s="141">
        <v>1.0149999999999999</v>
      </c>
      <c r="Z245" s="141">
        <v>1.01</v>
      </c>
      <c r="AA245" s="141">
        <v>1.0149999999999999</v>
      </c>
      <c r="AB245" s="143">
        <f>_xlfn.STDEV.P(D245:AA245)</f>
        <v>5.0988492710501848E-3</v>
      </c>
      <c r="AC245" s="143"/>
    </row>
    <row r="246" spans="1:29">
      <c r="A246" s="260"/>
      <c r="C246" t="s">
        <v>221</v>
      </c>
      <c r="D246" s="144">
        <v>0.51</v>
      </c>
      <c r="E246" s="144">
        <v>0.505</v>
      </c>
      <c r="F246" s="144">
        <v>0.5</v>
      </c>
      <c r="G246" s="144">
        <v>0.505</v>
      </c>
      <c r="H246" s="144">
        <v>0.51</v>
      </c>
      <c r="I246" s="141">
        <v>0.51500000000000001</v>
      </c>
      <c r="J246" s="145">
        <v>0.51</v>
      </c>
      <c r="K246" s="144">
        <v>0.505</v>
      </c>
      <c r="L246" s="144">
        <v>0.5</v>
      </c>
      <c r="M246" s="144">
        <v>0.5</v>
      </c>
      <c r="N246" s="144">
        <v>0.495</v>
      </c>
      <c r="O246" s="141">
        <v>0.52500000000000002</v>
      </c>
      <c r="P246" s="145">
        <v>0.52</v>
      </c>
      <c r="Q246" s="144">
        <v>0.52</v>
      </c>
      <c r="R246" s="144">
        <v>0.51500000000000001</v>
      </c>
      <c r="S246" s="144">
        <v>0.51500000000000001</v>
      </c>
      <c r="T246" s="144">
        <v>0.51</v>
      </c>
      <c r="U246" s="141">
        <v>0.52500000000000002</v>
      </c>
      <c r="V246" s="145">
        <v>0.51500000000000001</v>
      </c>
      <c r="W246" s="144">
        <v>0.52</v>
      </c>
      <c r="X246" s="144">
        <v>0.52</v>
      </c>
      <c r="Y246" s="144">
        <v>0.495</v>
      </c>
      <c r="Z246" s="144">
        <v>0.51</v>
      </c>
      <c r="AA246" s="144">
        <v>0.51500000000000001</v>
      </c>
      <c r="AB246" s="143">
        <f>_xlfn.STDEV.P(D246:AA246)</f>
        <v>8.6200670273238415E-3</v>
      </c>
      <c r="AC246" s="146"/>
    </row>
    <row r="247" spans="1:29">
      <c r="A247" s="260"/>
      <c r="B247" s="147" t="s">
        <v>1862</v>
      </c>
      <c r="D247" s="148" t="s">
        <v>1794</v>
      </c>
      <c r="E247" s="148" t="s">
        <v>1796</v>
      </c>
      <c r="F247" s="148" t="s">
        <v>1796</v>
      </c>
      <c r="G247" s="148" t="s">
        <v>1795</v>
      </c>
      <c r="H247" s="148" t="s">
        <v>1795</v>
      </c>
      <c r="I247" s="149" t="s">
        <v>1803</v>
      </c>
      <c r="J247" s="150" t="s">
        <v>1803</v>
      </c>
      <c r="K247" s="148" t="s">
        <v>1803</v>
      </c>
      <c r="L247" s="148" t="s">
        <v>1796</v>
      </c>
      <c r="M247" s="148" t="s">
        <v>1796</v>
      </c>
      <c r="N247" s="148" t="s">
        <v>1803</v>
      </c>
      <c r="O247" s="149" t="s">
        <v>1795</v>
      </c>
      <c r="P247" s="150" t="s">
        <v>1795</v>
      </c>
      <c r="Q247" s="148" t="s">
        <v>1796</v>
      </c>
      <c r="R247" s="148" t="s">
        <v>1796</v>
      </c>
      <c r="S247" s="148" t="s">
        <v>1796</v>
      </c>
      <c r="T247" s="148" t="s">
        <v>1803</v>
      </c>
      <c r="U247" s="149" t="s">
        <v>1795</v>
      </c>
      <c r="V247" s="150" t="s">
        <v>1796</v>
      </c>
      <c r="W247" s="148" t="s">
        <v>1803</v>
      </c>
      <c r="X247" s="148" t="s">
        <v>1796</v>
      </c>
      <c r="Y247" s="148" t="s">
        <v>1803</v>
      </c>
      <c r="Z247" s="148" t="s">
        <v>1795</v>
      </c>
      <c r="AA247" s="148" t="s">
        <v>1794</v>
      </c>
      <c r="AB247" s="143"/>
      <c r="AC247" s="151" t="s">
        <v>1883</v>
      </c>
    </row>
    <row r="248" spans="1:29">
      <c r="A248" s="260"/>
      <c r="B248" t="s">
        <v>1864</v>
      </c>
      <c r="C248" t="s">
        <v>40</v>
      </c>
      <c r="D248" s="141">
        <v>0.49</v>
      </c>
      <c r="E248" s="141">
        <v>0.48499999999999999</v>
      </c>
      <c r="F248" s="141">
        <v>0.49</v>
      </c>
      <c r="G248" s="141">
        <v>0.48499999999999999</v>
      </c>
      <c r="H248" s="141">
        <v>0.48499999999999999</v>
      </c>
      <c r="I248" s="141">
        <v>0.48499999999999999</v>
      </c>
      <c r="J248" s="142">
        <v>0.48499999999999999</v>
      </c>
      <c r="K248" s="141">
        <v>0.48</v>
      </c>
      <c r="L248" s="141">
        <v>0.46500000000000002</v>
      </c>
      <c r="M248" s="141">
        <v>0.495</v>
      </c>
      <c r="N248" s="141">
        <v>0.48</v>
      </c>
      <c r="O248" s="141">
        <v>0.49</v>
      </c>
      <c r="P248" s="142">
        <v>0.47</v>
      </c>
      <c r="Q248" s="141">
        <v>0.495</v>
      </c>
      <c r="R248" s="141">
        <v>0.495</v>
      </c>
      <c r="S248" s="141">
        <v>0.56499999999999995</v>
      </c>
      <c r="T248" s="141">
        <v>0.48499999999999999</v>
      </c>
      <c r="U248" s="141">
        <v>0.40500000000000003</v>
      </c>
      <c r="V248" s="142">
        <v>0.495</v>
      </c>
      <c r="W248" s="141">
        <v>0.48</v>
      </c>
      <c r="X248" s="141">
        <v>0.48499999999999999</v>
      </c>
      <c r="Y248" s="141">
        <v>0.48499999999999999</v>
      </c>
      <c r="Z248" s="141">
        <v>0.47499999999999998</v>
      </c>
      <c r="AA248" s="141">
        <v>0.47</v>
      </c>
      <c r="AB248" s="143">
        <f>_xlfn.STDEV.P(D248:AA248)</f>
        <v>2.4395468613840735E-2</v>
      </c>
      <c r="AC248" s="143"/>
    </row>
    <row r="249" spans="1:29">
      <c r="A249" s="260"/>
      <c r="C249" t="s">
        <v>220</v>
      </c>
      <c r="D249" s="141">
        <v>1.01</v>
      </c>
      <c r="E249" s="141">
        <v>1.0049999999999999</v>
      </c>
      <c r="F249" s="141">
        <v>1.01</v>
      </c>
      <c r="G249" s="141">
        <v>1.0049999999999999</v>
      </c>
      <c r="H249" s="141">
        <v>1.01</v>
      </c>
      <c r="I249" s="141">
        <v>1.01</v>
      </c>
      <c r="J249" s="142">
        <v>1.01</v>
      </c>
      <c r="K249" s="141">
        <v>1.0049999999999999</v>
      </c>
      <c r="L249" s="141">
        <v>1.0149999999999999</v>
      </c>
      <c r="M249" s="141">
        <v>1.0149999999999999</v>
      </c>
      <c r="N249" s="141">
        <v>1.0149999999999999</v>
      </c>
      <c r="O249" s="141">
        <v>1.01</v>
      </c>
      <c r="P249" s="142">
        <v>1.0149999999999999</v>
      </c>
      <c r="Q249" s="141">
        <v>1.02</v>
      </c>
      <c r="R249" s="141">
        <v>1.0049999999999999</v>
      </c>
      <c r="S249" s="141">
        <v>1</v>
      </c>
      <c r="T249" s="141">
        <v>1.01</v>
      </c>
      <c r="U249" s="141">
        <v>1.0249999999999999</v>
      </c>
      <c r="V249" s="142">
        <v>0.995</v>
      </c>
      <c r="W249" s="141">
        <v>1.0049999999999999</v>
      </c>
      <c r="X249" s="141">
        <v>1.01</v>
      </c>
      <c r="Y249" s="141">
        <v>1.01</v>
      </c>
      <c r="Z249" s="141">
        <v>0.995</v>
      </c>
      <c r="AA249" s="141">
        <v>1.02</v>
      </c>
      <c r="AB249" s="143">
        <f>_xlfn.STDEV.P(D249:AA249)</f>
        <v>7.0587809775405873E-3</v>
      </c>
      <c r="AC249" s="143"/>
    </row>
    <row r="250" spans="1:29">
      <c r="A250" s="260"/>
      <c r="C250" t="s">
        <v>221</v>
      </c>
      <c r="D250" s="144">
        <v>0.51500000000000001</v>
      </c>
      <c r="E250" s="144">
        <v>0.52500000000000002</v>
      </c>
      <c r="F250" s="144">
        <v>0.51500000000000001</v>
      </c>
      <c r="G250" s="144">
        <v>0.52500000000000002</v>
      </c>
      <c r="H250" s="144">
        <v>0.52</v>
      </c>
      <c r="I250" s="141">
        <v>0.52500000000000002</v>
      </c>
      <c r="J250" s="145">
        <v>0.52500000000000002</v>
      </c>
      <c r="K250" s="144">
        <v>0.52</v>
      </c>
      <c r="L250" s="144">
        <v>0.51500000000000001</v>
      </c>
      <c r="M250" s="144">
        <v>0.52</v>
      </c>
      <c r="N250" s="144">
        <v>0.53500000000000003</v>
      </c>
      <c r="O250" s="141">
        <v>0.52</v>
      </c>
      <c r="P250" s="145">
        <v>0.51500000000000001</v>
      </c>
      <c r="Q250" s="144">
        <v>0.52500000000000002</v>
      </c>
      <c r="R250" s="144">
        <v>0.53</v>
      </c>
      <c r="S250" s="144">
        <v>0.56000000000000005</v>
      </c>
      <c r="T250" s="144">
        <v>0.53500000000000003</v>
      </c>
      <c r="U250" s="141">
        <v>0.505</v>
      </c>
      <c r="V250" s="145">
        <v>0.53</v>
      </c>
      <c r="W250" s="144">
        <v>0.52500000000000002</v>
      </c>
      <c r="X250" s="144">
        <v>0.52</v>
      </c>
      <c r="Y250" s="144">
        <v>0.51500000000000001</v>
      </c>
      <c r="Z250" s="144">
        <v>0.52500000000000002</v>
      </c>
      <c r="AA250" s="144">
        <v>0.505</v>
      </c>
      <c r="AB250" s="143">
        <f>_xlfn.STDEV.P(D250:AA250)</f>
        <v>1.0793194872490523E-2</v>
      </c>
      <c r="AC250" s="146"/>
    </row>
    <row r="251" spans="1:29">
      <c r="A251" s="260"/>
      <c r="B251" s="147" t="s">
        <v>1865</v>
      </c>
      <c r="D251" s="148" t="s">
        <v>1794</v>
      </c>
      <c r="E251" s="148" t="s">
        <v>1794</v>
      </c>
      <c r="F251" s="148" t="s">
        <v>1794</v>
      </c>
      <c r="G251" s="148" t="s">
        <v>1794</v>
      </c>
      <c r="H251" s="148" t="s">
        <v>1794</v>
      </c>
      <c r="I251" s="149" t="s">
        <v>1803</v>
      </c>
      <c r="J251" s="150" t="s">
        <v>1796</v>
      </c>
      <c r="K251" s="148" t="s">
        <v>1796</v>
      </c>
      <c r="L251" s="148" t="s">
        <v>1796</v>
      </c>
      <c r="M251" s="148" t="s">
        <v>1796</v>
      </c>
      <c r="N251" s="148" t="s">
        <v>1796</v>
      </c>
      <c r="O251" s="149" t="s">
        <v>1796</v>
      </c>
      <c r="P251" s="150" t="s">
        <v>1795</v>
      </c>
      <c r="Q251" s="148" t="s">
        <v>1803</v>
      </c>
      <c r="R251" s="148" t="s">
        <v>1796</v>
      </c>
      <c r="S251" s="148" t="s">
        <v>1796</v>
      </c>
      <c r="T251" s="148" t="s">
        <v>1796</v>
      </c>
      <c r="U251" s="149" t="s">
        <v>1795</v>
      </c>
      <c r="V251" s="150" t="s">
        <v>1796</v>
      </c>
      <c r="W251" s="148" t="s">
        <v>1796</v>
      </c>
      <c r="X251" s="148" t="s">
        <v>1796</v>
      </c>
      <c r="Y251" s="148" t="s">
        <v>1796</v>
      </c>
      <c r="Z251" s="148" t="s">
        <v>1796</v>
      </c>
      <c r="AA251" s="148" t="s">
        <v>1796</v>
      </c>
      <c r="AB251" s="143"/>
      <c r="AC251" s="151" t="s">
        <v>1884</v>
      </c>
    </row>
    <row r="252" spans="1:29">
      <c r="A252" s="260"/>
      <c r="B252" t="s">
        <v>1867</v>
      </c>
      <c r="C252" t="s">
        <v>40</v>
      </c>
      <c r="D252" s="141">
        <v>0.48</v>
      </c>
      <c r="E252" s="141">
        <v>0.48499999999999999</v>
      </c>
      <c r="F252" s="141">
        <v>0.48</v>
      </c>
      <c r="G252" s="141">
        <v>0.47</v>
      </c>
      <c r="H252" s="141">
        <v>0.505</v>
      </c>
      <c r="I252" s="141">
        <v>0.46500000000000002</v>
      </c>
      <c r="J252" s="142">
        <v>0.48</v>
      </c>
      <c r="K252" s="141">
        <v>0.47499999999999998</v>
      </c>
      <c r="L252" s="141">
        <v>0.47499999999999998</v>
      </c>
      <c r="M252" s="141">
        <v>0.47499999999999998</v>
      </c>
      <c r="N252" s="141">
        <v>0.45500000000000002</v>
      </c>
      <c r="O252" s="141">
        <v>0.52</v>
      </c>
      <c r="P252" s="142">
        <v>0.48</v>
      </c>
      <c r="Q252" s="141">
        <v>0.47499999999999998</v>
      </c>
      <c r="R252" s="141">
        <v>0.47</v>
      </c>
      <c r="S252" s="141">
        <v>0.47499999999999998</v>
      </c>
      <c r="T252" s="141">
        <v>0.47499999999999998</v>
      </c>
      <c r="U252" s="141">
        <v>0.47</v>
      </c>
      <c r="V252" s="142">
        <v>0.48</v>
      </c>
      <c r="W252" s="141">
        <v>0.48499999999999999</v>
      </c>
      <c r="X252" s="141">
        <v>0.48</v>
      </c>
      <c r="Y252" s="141">
        <v>0.49</v>
      </c>
      <c r="Z252" s="141">
        <v>0.44</v>
      </c>
      <c r="AA252" s="141">
        <v>0.315</v>
      </c>
      <c r="AB252" s="143">
        <f>_xlfn.STDEV.P(D252:AA252)</f>
        <v>3.5639007967238491E-2</v>
      </c>
      <c r="AC252" s="143"/>
    </row>
    <row r="253" spans="1:29">
      <c r="A253" s="260"/>
      <c r="C253" t="s">
        <v>220</v>
      </c>
      <c r="D253" s="141">
        <v>1.01</v>
      </c>
      <c r="E253" s="141">
        <v>1.01</v>
      </c>
      <c r="F253" s="141">
        <v>1.01</v>
      </c>
      <c r="G253" s="141">
        <v>1.01</v>
      </c>
      <c r="H253" s="141">
        <v>1.0149999999999999</v>
      </c>
      <c r="I253" s="141">
        <v>1.0149999999999999</v>
      </c>
      <c r="J253" s="142">
        <v>1</v>
      </c>
      <c r="K253" s="141">
        <v>1.01</v>
      </c>
      <c r="L253" s="141">
        <v>1.01</v>
      </c>
      <c r="M253" s="141">
        <v>1.01</v>
      </c>
      <c r="N253" s="141">
        <v>1.01</v>
      </c>
      <c r="O253" s="141">
        <v>1</v>
      </c>
      <c r="P253" s="142">
        <v>1.0049999999999999</v>
      </c>
      <c r="Q253" s="141">
        <v>1.01</v>
      </c>
      <c r="R253" s="141">
        <v>1.01</v>
      </c>
      <c r="S253" s="141">
        <v>1.02</v>
      </c>
      <c r="T253" s="141">
        <v>1.0249999999999999</v>
      </c>
      <c r="U253" s="141">
        <v>1.01</v>
      </c>
      <c r="V253" s="142">
        <v>1.01</v>
      </c>
      <c r="W253" s="141">
        <v>1.01</v>
      </c>
      <c r="X253" s="141">
        <v>1.01</v>
      </c>
      <c r="Y253" s="141">
        <v>1.0049999999999999</v>
      </c>
      <c r="Z253" s="141">
        <v>1.02</v>
      </c>
      <c r="AA253" s="141">
        <v>1.0149999999999999</v>
      </c>
      <c r="AB253" s="143">
        <f>_xlfn.STDEV.P(D253:AA253)</f>
        <v>5.5277079839256586E-3</v>
      </c>
      <c r="AC253" s="143"/>
    </row>
    <row r="254" spans="1:29">
      <c r="A254" s="260"/>
      <c r="C254" t="s">
        <v>221</v>
      </c>
      <c r="D254" s="144">
        <v>0.52</v>
      </c>
      <c r="E254" s="144">
        <v>0.51500000000000001</v>
      </c>
      <c r="F254" s="144">
        <v>0.52</v>
      </c>
      <c r="G254" s="144">
        <v>0.52</v>
      </c>
      <c r="H254" s="144">
        <v>0.505</v>
      </c>
      <c r="I254" s="141">
        <v>0.52</v>
      </c>
      <c r="J254" s="145">
        <v>0.505</v>
      </c>
      <c r="K254" s="144">
        <v>0.51</v>
      </c>
      <c r="L254" s="144">
        <v>0.51</v>
      </c>
      <c r="M254" s="144">
        <v>0.5</v>
      </c>
      <c r="N254" s="144">
        <v>0.51500000000000001</v>
      </c>
      <c r="O254" s="141">
        <v>0.54</v>
      </c>
      <c r="P254" s="145">
        <v>0.505</v>
      </c>
      <c r="Q254" s="144">
        <v>0.51</v>
      </c>
      <c r="R254" s="144">
        <v>0.505</v>
      </c>
      <c r="S254" s="144">
        <v>0.48</v>
      </c>
      <c r="T254" s="144">
        <v>0.5</v>
      </c>
      <c r="U254" s="141">
        <v>0.495</v>
      </c>
      <c r="V254" s="145">
        <v>0.51</v>
      </c>
      <c r="W254" s="144">
        <v>0.51</v>
      </c>
      <c r="X254" s="144">
        <v>0.51</v>
      </c>
      <c r="Y254" s="144">
        <v>0.51500000000000001</v>
      </c>
      <c r="Z254" s="144">
        <v>0.51500000000000001</v>
      </c>
      <c r="AA254" s="144">
        <v>0.51500000000000001</v>
      </c>
      <c r="AB254" s="143">
        <f>_xlfn.STDEV.P(D254:AA254)</f>
        <v>1.0889278621143325E-2</v>
      </c>
      <c r="AC254" s="146"/>
    </row>
    <row r="255" spans="1:29">
      <c r="A255" s="260"/>
      <c r="B255" s="147" t="s">
        <v>1868</v>
      </c>
      <c r="D255" s="148" t="s">
        <v>1794</v>
      </c>
      <c r="E255" s="148" t="s">
        <v>1796</v>
      </c>
      <c r="F255" s="148" t="s">
        <v>1796</v>
      </c>
      <c r="G255" s="148" t="s">
        <v>1796</v>
      </c>
      <c r="H255" s="148" t="s">
        <v>1803</v>
      </c>
      <c r="I255" s="149" t="s">
        <v>1803</v>
      </c>
      <c r="J255" s="150" t="s">
        <v>1803</v>
      </c>
      <c r="K255" s="148" t="s">
        <v>1803</v>
      </c>
      <c r="L255" s="148" t="s">
        <v>1796</v>
      </c>
      <c r="M255" s="148" t="s">
        <v>1803</v>
      </c>
      <c r="N255" s="148" t="s">
        <v>1795</v>
      </c>
      <c r="O255" s="149" t="s">
        <v>1803</v>
      </c>
      <c r="P255" s="150" t="s">
        <v>1794</v>
      </c>
      <c r="Q255" s="148" t="s">
        <v>1796</v>
      </c>
      <c r="R255" s="148" t="s">
        <v>1796</v>
      </c>
      <c r="S255" s="148" t="s">
        <v>1796</v>
      </c>
      <c r="T255" s="148" t="s">
        <v>1803</v>
      </c>
      <c r="U255" s="149" t="s">
        <v>1795</v>
      </c>
      <c r="V255" s="150" t="s">
        <v>1803</v>
      </c>
      <c r="W255" s="148" t="s">
        <v>1796</v>
      </c>
      <c r="X255" s="148" t="s">
        <v>1796</v>
      </c>
      <c r="Y255" s="148" t="s">
        <v>1795</v>
      </c>
      <c r="Z255" s="148" t="s">
        <v>1794</v>
      </c>
      <c r="AA255" s="148" t="s">
        <v>1794</v>
      </c>
      <c r="AB255" s="143"/>
      <c r="AC255" s="151" t="s">
        <v>1885</v>
      </c>
    </row>
    <row r="256" spans="1:29">
      <c r="A256" s="260"/>
      <c r="B256" t="s">
        <v>1869</v>
      </c>
      <c r="C256" t="s">
        <v>40</v>
      </c>
      <c r="D256" s="141">
        <v>0.495</v>
      </c>
      <c r="E256" s="141">
        <v>0.49</v>
      </c>
      <c r="F256" s="141">
        <v>0.495</v>
      </c>
      <c r="G256" s="141">
        <v>0.48</v>
      </c>
      <c r="H256" s="141">
        <v>0.49</v>
      </c>
      <c r="I256" s="141">
        <v>0.48</v>
      </c>
      <c r="J256" s="142">
        <v>0.48499999999999999</v>
      </c>
      <c r="K256" s="141">
        <v>0.49</v>
      </c>
      <c r="L256" s="141">
        <v>0.49</v>
      </c>
      <c r="M256" s="141">
        <v>0.47499999999999998</v>
      </c>
      <c r="N256" s="141">
        <v>0.46</v>
      </c>
      <c r="O256" s="141">
        <v>0.47499999999999998</v>
      </c>
      <c r="P256" s="142">
        <v>0.47499999999999998</v>
      </c>
      <c r="Q256" s="141">
        <v>0.46500000000000002</v>
      </c>
      <c r="R256" s="141">
        <v>0.45500000000000002</v>
      </c>
      <c r="S256" s="141">
        <v>0.45500000000000002</v>
      </c>
      <c r="T256" s="141">
        <v>0.45500000000000002</v>
      </c>
      <c r="U256" s="141">
        <v>0.47499999999999998</v>
      </c>
      <c r="V256" s="142">
        <v>0.47499999999999998</v>
      </c>
      <c r="W256" s="141">
        <v>0.48</v>
      </c>
      <c r="X256" s="141">
        <v>0.48499999999999999</v>
      </c>
      <c r="Y256" s="141">
        <v>0.45500000000000002</v>
      </c>
      <c r="Z256" s="141">
        <v>0.505</v>
      </c>
      <c r="AA256" s="141">
        <v>0.44500000000000001</v>
      </c>
      <c r="AB256" s="143">
        <f>_xlfn.STDEV.P(D256:AA256)</f>
        <v>1.5360257159305628E-2</v>
      </c>
      <c r="AC256" s="143"/>
    </row>
    <row r="257" spans="1:29">
      <c r="A257" s="260"/>
      <c r="C257" t="s">
        <v>220</v>
      </c>
      <c r="D257" s="141">
        <v>1.01</v>
      </c>
      <c r="E257" s="141">
        <v>1.01</v>
      </c>
      <c r="F257" s="141">
        <v>1.0049999999999999</v>
      </c>
      <c r="G257" s="141">
        <v>1.0049999999999999</v>
      </c>
      <c r="H257" s="141">
        <v>1.01</v>
      </c>
      <c r="I257" s="141">
        <v>1.01</v>
      </c>
      <c r="J257" s="142">
        <v>1.0049999999999999</v>
      </c>
      <c r="K257" s="141">
        <v>1.01</v>
      </c>
      <c r="L257" s="141">
        <v>1</v>
      </c>
      <c r="M257" s="141">
        <v>1.01</v>
      </c>
      <c r="N257" s="141">
        <v>1.0049999999999999</v>
      </c>
      <c r="O257" s="141">
        <v>1.0349999999999999</v>
      </c>
      <c r="P257" s="142">
        <v>1.0049999999999999</v>
      </c>
      <c r="Q257" s="141">
        <v>1</v>
      </c>
      <c r="R257" s="141">
        <v>1.0149999999999999</v>
      </c>
      <c r="S257" s="141">
        <v>0.99</v>
      </c>
      <c r="T257" s="141">
        <v>0.99</v>
      </c>
      <c r="U257" s="141">
        <v>1.01</v>
      </c>
      <c r="V257" s="142">
        <v>1.01</v>
      </c>
      <c r="W257" s="141">
        <v>1.01</v>
      </c>
      <c r="X257" s="141">
        <v>1.01</v>
      </c>
      <c r="Y257" s="141">
        <v>1.01</v>
      </c>
      <c r="Z257" s="141">
        <v>1.0049999999999999</v>
      </c>
      <c r="AA257" s="141">
        <v>1.02</v>
      </c>
      <c r="AB257" s="143">
        <f>_xlfn.STDEV.P(D257:AA257)</f>
        <v>8.6502247883444554E-3</v>
      </c>
      <c r="AC257" s="143"/>
    </row>
    <row r="258" spans="1:29">
      <c r="A258" s="260"/>
      <c r="C258" t="s">
        <v>221</v>
      </c>
      <c r="D258" s="144">
        <v>0.53</v>
      </c>
      <c r="E258" s="144">
        <v>0.52500000000000002</v>
      </c>
      <c r="F258" s="144">
        <v>0.53</v>
      </c>
      <c r="G258" s="144">
        <v>0.51500000000000001</v>
      </c>
      <c r="H258" s="144">
        <v>0.53500000000000003</v>
      </c>
      <c r="I258" s="141">
        <v>0.52500000000000002</v>
      </c>
      <c r="J258" s="145">
        <v>0.52</v>
      </c>
      <c r="K258" s="144">
        <v>0.51500000000000001</v>
      </c>
      <c r="L258" s="144">
        <v>0.52</v>
      </c>
      <c r="M258" s="144">
        <v>0.51500000000000001</v>
      </c>
      <c r="N258" s="144">
        <v>0.52500000000000002</v>
      </c>
      <c r="O258" s="141">
        <v>0.5</v>
      </c>
      <c r="P258" s="145">
        <v>0.52500000000000002</v>
      </c>
      <c r="Q258" s="144">
        <v>0.51500000000000001</v>
      </c>
      <c r="R258" s="144">
        <v>0.51500000000000001</v>
      </c>
      <c r="S258" s="144">
        <v>0.56000000000000005</v>
      </c>
      <c r="T258" s="144">
        <v>0.56000000000000005</v>
      </c>
      <c r="U258" s="141">
        <v>0.51</v>
      </c>
      <c r="V258" s="145">
        <v>0.53</v>
      </c>
      <c r="W258" s="144">
        <v>0.52500000000000002</v>
      </c>
      <c r="X258" s="144">
        <v>0.52500000000000002</v>
      </c>
      <c r="Y258" s="144">
        <v>0.51500000000000001</v>
      </c>
      <c r="Z258" s="144">
        <v>0.53</v>
      </c>
      <c r="AA258" s="144">
        <v>0.51</v>
      </c>
      <c r="AB258" s="143">
        <f>_xlfn.STDEV.P(D258:AA258)</f>
        <v>1.3461299982625101E-2</v>
      </c>
      <c r="AC258" s="146"/>
    </row>
    <row r="259" spans="1:29">
      <c r="A259" s="260"/>
      <c r="B259" s="147" t="s">
        <v>1870</v>
      </c>
      <c r="D259" s="148" t="s">
        <v>1794</v>
      </c>
      <c r="E259" s="148" t="s">
        <v>1794</v>
      </c>
      <c r="F259" s="148" t="s">
        <v>1795</v>
      </c>
      <c r="G259" s="148" t="s">
        <v>1795</v>
      </c>
      <c r="H259" s="148" t="s">
        <v>1803</v>
      </c>
      <c r="I259" s="149" t="s">
        <v>1794</v>
      </c>
      <c r="J259" s="150" t="s">
        <v>1803</v>
      </c>
      <c r="K259" s="148" t="s">
        <v>1796</v>
      </c>
      <c r="L259" s="148" t="s">
        <v>1796</v>
      </c>
      <c r="M259" s="148" t="s">
        <v>1794</v>
      </c>
      <c r="N259" s="148" t="s">
        <v>1794</v>
      </c>
      <c r="O259" s="149" t="s">
        <v>1794</v>
      </c>
      <c r="P259" s="150" t="s">
        <v>1795</v>
      </c>
      <c r="Q259" s="148" t="s">
        <v>1796</v>
      </c>
      <c r="R259" s="148" t="s">
        <v>1794</v>
      </c>
      <c r="S259" s="148" t="s">
        <v>1796</v>
      </c>
      <c r="T259" s="148" t="s">
        <v>1796</v>
      </c>
      <c r="U259" s="149" t="s">
        <v>1794</v>
      </c>
      <c r="V259" s="150" t="s">
        <v>1794</v>
      </c>
      <c r="W259" s="148" t="s">
        <v>1796</v>
      </c>
      <c r="X259" s="148" t="s">
        <v>1796</v>
      </c>
      <c r="Y259" s="148" t="s">
        <v>1795</v>
      </c>
      <c r="Z259" s="148" t="s">
        <v>1794</v>
      </c>
      <c r="AA259" s="148" t="s">
        <v>1794</v>
      </c>
      <c r="AB259" s="143"/>
      <c r="AC259" s="151" t="s">
        <v>1886</v>
      </c>
    </row>
    <row r="260" spans="1:29">
      <c r="A260" s="260"/>
      <c r="B260" s="127" t="s">
        <v>1887</v>
      </c>
      <c r="C260" s="127" t="s">
        <v>40</v>
      </c>
      <c r="D260" s="128">
        <v>0.49</v>
      </c>
      <c r="E260" s="128">
        <v>0.495</v>
      </c>
      <c r="F260" s="128">
        <v>0.46500000000000002</v>
      </c>
      <c r="G260" s="128">
        <v>0.49</v>
      </c>
      <c r="H260" s="128">
        <v>0.47499999999999998</v>
      </c>
      <c r="I260" s="128">
        <v>0.51500000000000001</v>
      </c>
      <c r="J260" s="129">
        <v>0.48</v>
      </c>
      <c r="K260" s="128">
        <v>0.48499999999999999</v>
      </c>
      <c r="L260" s="128">
        <v>0.48499999999999999</v>
      </c>
      <c r="M260" s="128">
        <v>0.49</v>
      </c>
      <c r="N260" s="128">
        <v>0.56000000000000005</v>
      </c>
      <c r="O260" s="128">
        <v>0.37</v>
      </c>
      <c r="P260" s="129">
        <v>0.49</v>
      </c>
      <c r="Q260" s="128">
        <v>0.495</v>
      </c>
      <c r="R260" s="128">
        <v>0.48</v>
      </c>
      <c r="S260" s="128">
        <v>0.52500000000000002</v>
      </c>
      <c r="T260" s="128">
        <v>0.47499999999999998</v>
      </c>
      <c r="U260" s="128">
        <v>0.52</v>
      </c>
      <c r="V260" s="129">
        <v>0.48499999999999999</v>
      </c>
      <c r="W260" s="128">
        <v>0.48</v>
      </c>
      <c r="X260" s="128">
        <v>0.48</v>
      </c>
      <c r="Y260" s="128">
        <v>0.47499999999999998</v>
      </c>
      <c r="Z260" s="128">
        <v>0.48499999999999999</v>
      </c>
      <c r="AA260" s="128">
        <v>0.495</v>
      </c>
      <c r="AB260" s="132">
        <f>_xlfn.STDEV.P(D260:AA260)</f>
        <v>3.1418296818892029E-2</v>
      </c>
      <c r="AC260" s="132"/>
    </row>
    <row r="261" spans="1:29">
      <c r="A261" s="260"/>
      <c r="B261" s="127"/>
      <c r="C261" s="127" t="s">
        <v>220</v>
      </c>
      <c r="D261" s="128">
        <v>1.01</v>
      </c>
      <c r="E261" s="128">
        <v>1.01</v>
      </c>
      <c r="F261" s="128">
        <v>1.01</v>
      </c>
      <c r="G261" s="128">
        <v>1.0149999999999999</v>
      </c>
      <c r="H261" s="128">
        <v>1.01</v>
      </c>
      <c r="I261" s="128">
        <v>1.0049999999999999</v>
      </c>
      <c r="J261" s="129">
        <v>1.01</v>
      </c>
      <c r="K261" s="128">
        <v>1.0049999999999999</v>
      </c>
      <c r="L261" s="128">
        <v>1.01</v>
      </c>
      <c r="M261" s="128">
        <v>1.0149999999999999</v>
      </c>
      <c r="N261" s="128">
        <v>0.99</v>
      </c>
      <c r="O261" s="128">
        <v>1.03</v>
      </c>
      <c r="P261" s="129">
        <v>1.01</v>
      </c>
      <c r="Q261" s="128">
        <v>1</v>
      </c>
      <c r="R261" s="128">
        <v>1.01</v>
      </c>
      <c r="S261" s="128">
        <v>1.0049999999999999</v>
      </c>
      <c r="T261" s="128">
        <v>1</v>
      </c>
      <c r="U261" s="128">
        <v>1.01</v>
      </c>
      <c r="V261" s="129">
        <v>1.0049999999999999</v>
      </c>
      <c r="W261" s="128">
        <v>1.0149999999999999</v>
      </c>
      <c r="X261" s="128">
        <v>1.01</v>
      </c>
      <c r="Y261" s="128">
        <v>1.01</v>
      </c>
      <c r="Z261" s="128">
        <v>1.0049999999999999</v>
      </c>
      <c r="AA261" s="128">
        <v>1.01</v>
      </c>
      <c r="AB261" s="132">
        <f>_xlfn.STDEV.P(D261:AA261)</f>
        <v>6.959705453537534E-3</v>
      </c>
      <c r="AC261" s="132"/>
    </row>
    <row r="262" spans="1:29">
      <c r="A262" s="260"/>
      <c r="B262" s="127"/>
      <c r="C262" s="127" t="s">
        <v>221</v>
      </c>
      <c r="D262" s="133">
        <v>0.5</v>
      </c>
      <c r="E262" s="133">
        <v>0.51500000000000001</v>
      </c>
      <c r="F262" s="133">
        <v>0.495</v>
      </c>
      <c r="G262" s="133">
        <v>0.51</v>
      </c>
      <c r="H262" s="133">
        <v>0.5</v>
      </c>
      <c r="I262" s="128">
        <v>0.49</v>
      </c>
      <c r="J262" s="134">
        <v>0.505</v>
      </c>
      <c r="K262" s="133">
        <v>0.5</v>
      </c>
      <c r="L262" s="133">
        <v>0.505</v>
      </c>
      <c r="M262" s="133">
        <v>0.5</v>
      </c>
      <c r="N262" s="133">
        <v>0.51</v>
      </c>
      <c r="O262" s="128">
        <v>0.48499999999999999</v>
      </c>
      <c r="P262" s="134">
        <v>0.505</v>
      </c>
      <c r="Q262" s="133">
        <v>0.5</v>
      </c>
      <c r="R262" s="133">
        <v>0.5</v>
      </c>
      <c r="S262" s="133">
        <v>0.495</v>
      </c>
      <c r="T262" s="133">
        <v>0.495</v>
      </c>
      <c r="U262" s="128">
        <v>0.5</v>
      </c>
      <c r="V262" s="134">
        <v>0.5</v>
      </c>
      <c r="W262" s="133">
        <v>0.5</v>
      </c>
      <c r="X262" s="133">
        <v>0.49</v>
      </c>
      <c r="Y262" s="133">
        <v>0.51</v>
      </c>
      <c r="Z262" s="133">
        <v>0.51500000000000001</v>
      </c>
      <c r="AA262" s="133">
        <v>0.505</v>
      </c>
      <c r="AB262" s="132">
        <f>_xlfn.STDEV.P(D262:AA262)</f>
        <v>7.3950997288745272E-3</v>
      </c>
      <c r="AC262" s="135"/>
    </row>
    <row r="263" spans="1:29">
      <c r="A263" s="260"/>
      <c r="B263" s="169" t="s">
        <v>1888</v>
      </c>
      <c r="C263" s="127"/>
      <c r="D263" s="137" t="s">
        <v>1794</v>
      </c>
      <c r="E263" s="137" t="s">
        <v>1796</v>
      </c>
      <c r="F263" s="137" t="s">
        <v>1796</v>
      </c>
      <c r="G263" s="137" t="s">
        <v>1796</v>
      </c>
      <c r="H263" s="137" t="s">
        <v>1803</v>
      </c>
      <c r="I263" s="138" t="s">
        <v>1803</v>
      </c>
      <c r="J263" s="139" t="s">
        <v>1795</v>
      </c>
      <c r="K263" s="137" t="s">
        <v>1795</v>
      </c>
      <c r="L263" s="137" t="s">
        <v>1796</v>
      </c>
      <c r="M263" s="137" t="s">
        <v>1794</v>
      </c>
      <c r="N263" s="137" t="s">
        <v>1794</v>
      </c>
      <c r="O263" s="138" t="s">
        <v>1794</v>
      </c>
      <c r="P263" s="139" t="s">
        <v>1795</v>
      </c>
      <c r="Q263" s="137" t="s">
        <v>1796</v>
      </c>
      <c r="R263" s="137" t="s">
        <v>1794</v>
      </c>
      <c r="S263" s="137" t="s">
        <v>1796</v>
      </c>
      <c r="T263" s="137" t="s">
        <v>1795</v>
      </c>
      <c r="U263" s="138" t="s">
        <v>1795</v>
      </c>
      <c r="V263" s="139" t="s">
        <v>1803</v>
      </c>
      <c r="W263" s="137" t="s">
        <v>1796</v>
      </c>
      <c r="X263" s="137" t="s">
        <v>1796</v>
      </c>
      <c r="Y263" s="137" t="s">
        <v>1794</v>
      </c>
      <c r="Z263" s="137" t="s">
        <v>1794</v>
      </c>
      <c r="AA263" s="137" t="s">
        <v>1794</v>
      </c>
      <c r="AB263" s="132"/>
      <c r="AC263" s="140" t="s">
        <v>1889</v>
      </c>
    </row>
    <row r="264" spans="1:29">
      <c r="A264" s="260"/>
      <c r="B264" t="s">
        <v>1890</v>
      </c>
      <c r="C264" t="s">
        <v>40</v>
      </c>
      <c r="D264" s="141">
        <v>0.48499999999999999</v>
      </c>
      <c r="E264" s="141">
        <v>0.48499999999999999</v>
      </c>
      <c r="F264" s="141">
        <v>0.48499999999999999</v>
      </c>
      <c r="G264" s="141">
        <v>0.5</v>
      </c>
      <c r="H264" s="141">
        <v>0.49</v>
      </c>
      <c r="I264" s="141">
        <v>0.48</v>
      </c>
      <c r="J264" s="142">
        <v>0.495</v>
      </c>
      <c r="K264" s="141">
        <v>0.48499999999999999</v>
      </c>
      <c r="L264" s="141">
        <v>0.47499999999999998</v>
      </c>
      <c r="M264" s="141">
        <v>0.48</v>
      </c>
      <c r="N264" s="141">
        <v>0.38</v>
      </c>
      <c r="O264" s="141">
        <v>0.49</v>
      </c>
      <c r="P264" s="142">
        <v>0.49</v>
      </c>
      <c r="Q264" s="141">
        <v>0.48</v>
      </c>
      <c r="R264" s="141">
        <v>0.48499999999999999</v>
      </c>
      <c r="S264" s="141">
        <v>0.46</v>
      </c>
      <c r="T264" s="141">
        <v>0.46500000000000002</v>
      </c>
      <c r="U264" s="141">
        <v>0.47</v>
      </c>
      <c r="V264" s="142">
        <v>0.48</v>
      </c>
      <c r="W264" s="141">
        <v>0.48499999999999999</v>
      </c>
      <c r="X264" s="141">
        <v>0.46500000000000002</v>
      </c>
      <c r="Y264" s="141">
        <v>0.495</v>
      </c>
      <c r="Z264" s="141">
        <v>0.48</v>
      </c>
      <c r="AA264" s="141">
        <v>0.46500000000000002</v>
      </c>
      <c r="AB264" s="143">
        <f>_xlfn.STDEV.P(D264:AA264)</f>
        <v>2.2634628092568443E-2</v>
      </c>
      <c r="AC264" s="143"/>
    </row>
    <row r="265" spans="1:29">
      <c r="A265" s="260"/>
      <c r="C265" t="s">
        <v>220</v>
      </c>
      <c r="D265" s="141">
        <v>1.02</v>
      </c>
      <c r="E265" s="141">
        <v>1.0149999999999999</v>
      </c>
      <c r="F265" s="141">
        <v>1.0249999999999999</v>
      </c>
      <c r="G265" s="141">
        <v>1.0149999999999999</v>
      </c>
      <c r="H265" s="141">
        <v>1.02</v>
      </c>
      <c r="I265" s="141">
        <v>1</v>
      </c>
      <c r="J265" s="142">
        <v>1.0049999999999999</v>
      </c>
      <c r="K265" s="141">
        <v>1.01</v>
      </c>
      <c r="L265" s="141">
        <v>1</v>
      </c>
      <c r="M265" s="141">
        <v>1.01</v>
      </c>
      <c r="N265" s="141">
        <v>1.0249999999999999</v>
      </c>
      <c r="O265" s="141">
        <v>1.0149999999999999</v>
      </c>
      <c r="P265" s="142">
        <v>1.01</v>
      </c>
      <c r="Q265" s="141">
        <v>1.02</v>
      </c>
      <c r="R265" s="141">
        <v>1.01</v>
      </c>
      <c r="S265" s="141">
        <v>1.01</v>
      </c>
      <c r="T265" s="141">
        <v>1.0049999999999999</v>
      </c>
      <c r="U265" s="141">
        <v>1.0149999999999999</v>
      </c>
      <c r="V265" s="142">
        <v>1.0049999999999999</v>
      </c>
      <c r="W265" s="141">
        <v>1.0149999999999999</v>
      </c>
      <c r="X265" s="141">
        <v>1.01</v>
      </c>
      <c r="Y265" s="141">
        <v>1.0049999999999999</v>
      </c>
      <c r="Z265" s="141">
        <v>1.01</v>
      </c>
      <c r="AA265" s="141">
        <v>1.0049999999999999</v>
      </c>
      <c r="AB265" s="143">
        <f>_xlfn.STDEV.P(D265:AA265)</f>
        <v>6.8718427093627668E-3</v>
      </c>
      <c r="AC265" s="143"/>
    </row>
    <row r="266" spans="1:29">
      <c r="A266" s="260"/>
      <c r="C266" t="s">
        <v>221</v>
      </c>
      <c r="D266" s="144">
        <v>0.55000000000000004</v>
      </c>
      <c r="E266" s="144">
        <v>0.495</v>
      </c>
      <c r="F266" s="144">
        <v>0.495</v>
      </c>
      <c r="G266" s="144">
        <v>0.5</v>
      </c>
      <c r="H266" s="144">
        <v>0.49</v>
      </c>
      <c r="I266" s="141">
        <v>0.5</v>
      </c>
      <c r="J266" s="145">
        <v>0.52500000000000002</v>
      </c>
      <c r="K266" s="144">
        <v>0.51500000000000001</v>
      </c>
      <c r="L266" s="144">
        <v>0.51</v>
      </c>
      <c r="M266" s="144">
        <v>0.52500000000000002</v>
      </c>
      <c r="N266" s="144">
        <v>0.51500000000000001</v>
      </c>
      <c r="O266" s="141">
        <v>0.505</v>
      </c>
      <c r="P266" s="145">
        <v>0.51</v>
      </c>
      <c r="Q266" s="144">
        <v>0.52</v>
      </c>
      <c r="R266" s="144">
        <v>0.51500000000000001</v>
      </c>
      <c r="S266" s="144">
        <v>0.505</v>
      </c>
      <c r="T266" s="144">
        <v>0.52</v>
      </c>
      <c r="U266" s="141">
        <v>0.51</v>
      </c>
      <c r="V266" s="145">
        <v>0.51</v>
      </c>
      <c r="W266" s="144">
        <v>0.51500000000000001</v>
      </c>
      <c r="X266" s="144">
        <v>0.505</v>
      </c>
      <c r="Y266" s="144">
        <v>0.51500000000000001</v>
      </c>
      <c r="Z266" s="144">
        <v>0.505</v>
      </c>
      <c r="AA266" s="144">
        <v>0.52</v>
      </c>
      <c r="AB266" s="143">
        <f>_xlfn.STDEV.P(D266:AA266)</f>
        <v>1.2203070538006233E-2</v>
      </c>
      <c r="AC266" s="146"/>
    </row>
    <row r="267" spans="1:29">
      <c r="A267" s="260"/>
      <c r="B267" s="147" t="s">
        <v>1891</v>
      </c>
      <c r="D267" s="148" t="s">
        <v>1794</v>
      </c>
      <c r="E267" s="148" t="s">
        <v>1794</v>
      </c>
      <c r="F267" s="148" t="s">
        <v>1794</v>
      </c>
      <c r="G267" s="148" t="s">
        <v>1794</v>
      </c>
      <c r="H267" s="148" t="s">
        <v>1794</v>
      </c>
      <c r="I267" s="149" t="s">
        <v>1794</v>
      </c>
      <c r="J267" s="150" t="s">
        <v>1794</v>
      </c>
      <c r="K267" s="148" t="s">
        <v>1794</v>
      </c>
      <c r="L267" s="148" t="s">
        <v>1794</v>
      </c>
      <c r="M267" s="148" t="s">
        <v>1794</v>
      </c>
      <c r="N267" s="148" t="s">
        <v>1794</v>
      </c>
      <c r="O267" s="149" t="s">
        <v>1794</v>
      </c>
      <c r="P267" s="150" t="s">
        <v>1794</v>
      </c>
      <c r="Q267" s="148" t="s">
        <v>1794</v>
      </c>
      <c r="R267" s="148" t="s">
        <v>1794</v>
      </c>
      <c r="S267" s="148" t="s">
        <v>1794</v>
      </c>
      <c r="T267" s="148" t="s">
        <v>1794</v>
      </c>
      <c r="U267" s="149" t="s">
        <v>1794</v>
      </c>
      <c r="V267" s="150" t="s">
        <v>1794</v>
      </c>
      <c r="W267" s="148" t="s">
        <v>1794</v>
      </c>
      <c r="X267" s="148" t="s">
        <v>1794</v>
      </c>
      <c r="Y267" s="148" t="s">
        <v>1794</v>
      </c>
      <c r="Z267" s="148" t="s">
        <v>1794</v>
      </c>
      <c r="AA267" s="148" t="s">
        <v>1794</v>
      </c>
      <c r="AB267" s="143"/>
      <c r="AC267" s="151" t="s">
        <v>1800</v>
      </c>
    </row>
    <row r="268" spans="1:29">
      <c r="A268" s="260"/>
      <c r="AB268" s="143"/>
    </row>
    <row r="269" spans="1:29">
      <c r="A269" s="260" t="s">
        <v>197</v>
      </c>
      <c r="B269" s="126" t="s">
        <v>1892</v>
      </c>
      <c r="C269" s="127" t="s">
        <v>40</v>
      </c>
      <c r="D269" s="128">
        <v>0.42499999999999999</v>
      </c>
      <c r="E269" s="128">
        <v>0.48</v>
      </c>
      <c r="F269" s="128">
        <v>0.45500000000000002</v>
      </c>
      <c r="G269" s="128">
        <v>0.46500000000000002</v>
      </c>
      <c r="H269" s="128">
        <v>0.46</v>
      </c>
      <c r="I269" s="128">
        <v>0.45500000000000002</v>
      </c>
      <c r="J269" s="129">
        <v>0.435</v>
      </c>
      <c r="K269" s="128">
        <v>0.46</v>
      </c>
      <c r="L269" s="128">
        <v>0.44500000000000001</v>
      </c>
      <c r="M269" s="128">
        <v>0.42</v>
      </c>
      <c r="N269" s="128">
        <v>0.40500000000000003</v>
      </c>
      <c r="O269" s="128">
        <v>0.42499999999999999</v>
      </c>
      <c r="P269" s="129">
        <v>0.46</v>
      </c>
      <c r="Q269" s="128">
        <v>0.435</v>
      </c>
      <c r="R269" s="128">
        <v>0.44500000000000001</v>
      </c>
      <c r="S269" s="128">
        <v>0.42499999999999999</v>
      </c>
      <c r="T269" s="128">
        <v>0.46500000000000002</v>
      </c>
      <c r="U269" s="128">
        <v>0.42499999999999999</v>
      </c>
      <c r="V269" s="129">
        <v>0.44500000000000001</v>
      </c>
      <c r="W269" s="128">
        <v>0.46</v>
      </c>
      <c r="X269" s="128">
        <v>0.44500000000000001</v>
      </c>
      <c r="Y269" s="128">
        <v>0.435</v>
      </c>
      <c r="Z269" s="128">
        <v>0.43</v>
      </c>
      <c r="AA269" s="128">
        <v>0.40500000000000003</v>
      </c>
      <c r="AB269" s="132">
        <f>_xlfn.STDEV.P(D269:AA269)</f>
        <v>1.9192690665980113E-2</v>
      </c>
      <c r="AC269" s="132"/>
    </row>
    <row r="270" spans="1:29">
      <c r="A270" s="260"/>
      <c r="B270" s="126"/>
      <c r="C270" s="127" t="s">
        <v>220</v>
      </c>
      <c r="D270" s="128">
        <v>1.0249999999999999</v>
      </c>
      <c r="E270" s="128">
        <v>1.0049999999999999</v>
      </c>
      <c r="F270" s="128">
        <v>1.01</v>
      </c>
      <c r="G270" s="128">
        <v>0.98499999999999999</v>
      </c>
      <c r="H270" s="128">
        <v>1.0049999999999999</v>
      </c>
      <c r="I270" s="128">
        <v>1</v>
      </c>
      <c r="J270" s="129">
        <v>1</v>
      </c>
      <c r="K270" s="128">
        <v>1.02</v>
      </c>
      <c r="L270" s="128">
        <v>1</v>
      </c>
      <c r="M270" s="128">
        <v>0.995</v>
      </c>
      <c r="N270" s="128">
        <v>1</v>
      </c>
      <c r="O270" s="128">
        <v>0.995</v>
      </c>
      <c r="P270" s="129">
        <v>1.0149999999999999</v>
      </c>
      <c r="Q270" s="128">
        <v>0.97499999999999998</v>
      </c>
      <c r="R270" s="128">
        <v>1</v>
      </c>
      <c r="S270" s="128">
        <v>1.0049999999999999</v>
      </c>
      <c r="T270" s="128">
        <v>1.0249999999999999</v>
      </c>
      <c r="U270" s="128">
        <v>0.98499999999999999</v>
      </c>
      <c r="V270" s="129">
        <v>1</v>
      </c>
      <c r="W270" s="128">
        <v>1.0049999999999999</v>
      </c>
      <c r="X270" s="128">
        <v>0.99</v>
      </c>
      <c r="Y270" s="128">
        <v>0.98499999999999999</v>
      </c>
      <c r="Z270" s="128">
        <v>0.98499999999999999</v>
      </c>
      <c r="AA270" s="128">
        <v>0.995</v>
      </c>
      <c r="AB270" s="132">
        <f>_xlfn.STDEV.P(D270:AA270)</f>
        <v>1.2539866980510135E-2</v>
      </c>
      <c r="AC270" s="132"/>
    </row>
    <row r="271" spans="1:29">
      <c r="A271" s="260"/>
      <c r="B271" s="126"/>
      <c r="C271" s="127" t="s">
        <v>221</v>
      </c>
      <c r="D271" s="133">
        <v>0.54</v>
      </c>
      <c r="E271" s="133">
        <v>0.55500000000000005</v>
      </c>
      <c r="F271" s="133">
        <v>0.56000000000000005</v>
      </c>
      <c r="G271" s="133">
        <v>0.52</v>
      </c>
      <c r="H271" s="133">
        <v>0.53</v>
      </c>
      <c r="I271" s="128">
        <v>0.53500000000000003</v>
      </c>
      <c r="J271" s="134">
        <v>0.52500000000000002</v>
      </c>
      <c r="K271" s="133">
        <v>0.52</v>
      </c>
      <c r="L271" s="133">
        <v>0.53500000000000003</v>
      </c>
      <c r="M271" s="133">
        <v>0.52</v>
      </c>
      <c r="N271" s="133">
        <v>0.53</v>
      </c>
      <c r="O271" s="128">
        <v>0.56000000000000005</v>
      </c>
      <c r="P271" s="134">
        <v>0.53500000000000003</v>
      </c>
      <c r="Q271" s="133">
        <v>0.54</v>
      </c>
      <c r="R271" s="133">
        <v>0.55000000000000004</v>
      </c>
      <c r="S271" s="133">
        <v>0.55000000000000004</v>
      </c>
      <c r="T271" s="133">
        <v>0.6</v>
      </c>
      <c r="U271" s="128">
        <v>0.56000000000000005</v>
      </c>
      <c r="V271" s="134">
        <v>0.53</v>
      </c>
      <c r="W271" s="133">
        <v>0.58499999999999996</v>
      </c>
      <c r="X271" s="133">
        <v>0.55500000000000005</v>
      </c>
      <c r="Y271" s="133">
        <v>0.52500000000000002</v>
      </c>
      <c r="Z271" s="133">
        <v>0.55000000000000004</v>
      </c>
      <c r="AA271" s="133">
        <v>0.53500000000000003</v>
      </c>
      <c r="AB271" s="132">
        <f>_xlfn.STDEV.P(D271:AA271)</f>
        <v>1.9710359303901304E-2</v>
      </c>
      <c r="AC271" s="135"/>
    </row>
    <row r="272" spans="1:29">
      <c r="A272" s="260"/>
      <c r="B272" s="136" t="s">
        <v>1893</v>
      </c>
      <c r="C272" s="127"/>
      <c r="D272" s="137" t="s">
        <v>1794</v>
      </c>
      <c r="E272" s="137" t="s">
        <v>1794</v>
      </c>
      <c r="F272" s="137" t="s">
        <v>1794</v>
      </c>
      <c r="G272" s="137" t="s">
        <v>1794</v>
      </c>
      <c r="H272" s="137" t="s">
        <v>1794</v>
      </c>
      <c r="I272" s="138" t="s">
        <v>1794</v>
      </c>
      <c r="J272" s="139" t="s">
        <v>1794</v>
      </c>
      <c r="K272" s="137" t="s">
        <v>1794</v>
      </c>
      <c r="L272" s="137" t="s">
        <v>1794</v>
      </c>
      <c r="M272" s="137" t="s">
        <v>1794</v>
      </c>
      <c r="N272" s="137" t="s">
        <v>1794</v>
      </c>
      <c r="O272" s="138" t="s">
        <v>1794</v>
      </c>
      <c r="P272" s="139" t="s">
        <v>1794</v>
      </c>
      <c r="Q272" s="137" t="s">
        <v>1794</v>
      </c>
      <c r="R272" s="137" t="s">
        <v>1794</v>
      </c>
      <c r="S272" s="137" t="s">
        <v>1794</v>
      </c>
      <c r="T272" s="137" t="s">
        <v>1794</v>
      </c>
      <c r="U272" s="138" t="s">
        <v>1794</v>
      </c>
      <c r="V272" s="139" t="s">
        <v>1794</v>
      </c>
      <c r="W272" s="137" t="s">
        <v>1794</v>
      </c>
      <c r="X272" s="137" t="s">
        <v>1794</v>
      </c>
      <c r="Y272" s="137" t="s">
        <v>1794</v>
      </c>
      <c r="Z272" s="137" t="s">
        <v>1794</v>
      </c>
      <c r="AA272" s="137" t="s">
        <v>1794</v>
      </c>
      <c r="AB272" s="132"/>
      <c r="AC272" s="140" t="s">
        <v>1800</v>
      </c>
    </row>
    <row r="273" spans="1:29">
      <c r="A273" s="260"/>
      <c r="B273" t="s">
        <v>1819</v>
      </c>
      <c r="C273" t="s">
        <v>40</v>
      </c>
      <c r="D273" s="141">
        <v>0.5</v>
      </c>
      <c r="E273" s="141">
        <v>0.51</v>
      </c>
      <c r="F273" s="141">
        <v>0.48499999999999999</v>
      </c>
      <c r="G273" s="141">
        <v>0.495</v>
      </c>
      <c r="H273" s="141">
        <v>0.495</v>
      </c>
      <c r="I273" s="141">
        <v>0.5</v>
      </c>
      <c r="J273" s="142">
        <v>0.5</v>
      </c>
      <c r="K273" s="141">
        <v>0.52</v>
      </c>
      <c r="L273" s="141">
        <v>0.49</v>
      </c>
      <c r="M273" s="141">
        <v>0.505</v>
      </c>
      <c r="N273" s="141">
        <v>0.48</v>
      </c>
      <c r="O273" s="141">
        <v>0.49</v>
      </c>
      <c r="P273" s="142">
        <v>0.495</v>
      </c>
      <c r="Q273" s="141">
        <v>0.51500000000000001</v>
      </c>
      <c r="R273" s="141">
        <v>0.49</v>
      </c>
      <c r="S273" s="141">
        <v>0.5</v>
      </c>
      <c r="T273" s="141">
        <v>0.51500000000000001</v>
      </c>
      <c r="U273" s="141">
        <v>0.5</v>
      </c>
      <c r="V273" s="142">
        <v>0.46500000000000002</v>
      </c>
      <c r="W273" s="141">
        <v>0.5</v>
      </c>
      <c r="X273" s="141">
        <v>0.47499999999999998</v>
      </c>
      <c r="Y273" s="141">
        <v>0.46500000000000002</v>
      </c>
      <c r="Z273" s="141">
        <v>0.46</v>
      </c>
      <c r="AA273" s="141">
        <v>0.45500000000000002</v>
      </c>
      <c r="AB273" s="143">
        <f>_xlfn.STDEV.P(D273:AA273)</f>
        <v>1.7188446943611085E-2</v>
      </c>
      <c r="AC273" s="143"/>
    </row>
    <row r="274" spans="1:29">
      <c r="A274" s="260"/>
      <c r="C274" t="s">
        <v>220</v>
      </c>
      <c r="D274" s="141">
        <v>0.99</v>
      </c>
      <c r="E274" s="141">
        <v>0.99</v>
      </c>
      <c r="F274" s="141">
        <v>0.995</v>
      </c>
      <c r="G274" s="141">
        <v>0.96</v>
      </c>
      <c r="H274" s="141">
        <v>1.02</v>
      </c>
      <c r="I274" s="141">
        <v>1</v>
      </c>
      <c r="J274" s="142">
        <v>1</v>
      </c>
      <c r="K274" s="141">
        <v>0.995</v>
      </c>
      <c r="L274" s="141">
        <v>0.99</v>
      </c>
      <c r="M274" s="141">
        <v>1.0149999999999999</v>
      </c>
      <c r="N274" s="141">
        <v>0.99</v>
      </c>
      <c r="O274" s="141">
        <v>1.0049999999999999</v>
      </c>
      <c r="P274" s="142">
        <v>0.995</v>
      </c>
      <c r="Q274" s="141">
        <v>1</v>
      </c>
      <c r="R274" s="141">
        <v>0.995</v>
      </c>
      <c r="S274" s="141">
        <v>0.995</v>
      </c>
      <c r="T274" s="141">
        <v>1</v>
      </c>
      <c r="U274" s="141">
        <v>1.0149999999999999</v>
      </c>
      <c r="V274" s="142">
        <v>1</v>
      </c>
      <c r="W274" s="141">
        <v>1.0049999999999999</v>
      </c>
      <c r="X274" s="141">
        <v>0.995</v>
      </c>
      <c r="Y274" s="141">
        <v>1</v>
      </c>
      <c r="Z274" s="141">
        <v>1</v>
      </c>
      <c r="AA274" s="141">
        <v>1</v>
      </c>
      <c r="AB274" s="143">
        <f>_xlfn.STDEV.P(D274:AA274)</f>
        <v>1.1078946500256932E-2</v>
      </c>
      <c r="AC274" s="143"/>
    </row>
    <row r="275" spans="1:29">
      <c r="A275" s="260"/>
      <c r="C275" t="s">
        <v>221</v>
      </c>
      <c r="D275" s="144">
        <v>0.52500000000000002</v>
      </c>
      <c r="E275" s="144">
        <v>0.52</v>
      </c>
      <c r="F275" s="144">
        <v>0.53</v>
      </c>
      <c r="G275" s="144">
        <v>0.55500000000000005</v>
      </c>
      <c r="H275" s="144">
        <v>0.48</v>
      </c>
      <c r="I275" s="141">
        <v>0.52500000000000002</v>
      </c>
      <c r="J275" s="145">
        <v>0.53</v>
      </c>
      <c r="K275" s="144">
        <v>0.55500000000000005</v>
      </c>
      <c r="L275" s="144">
        <v>0.53500000000000003</v>
      </c>
      <c r="M275" s="144">
        <v>0.51500000000000001</v>
      </c>
      <c r="N275" s="144">
        <v>0.55000000000000004</v>
      </c>
      <c r="O275" s="141">
        <v>0.52</v>
      </c>
      <c r="P275" s="145">
        <v>0.54</v>
      </c>
      <c r="Q275" s="144">
        <v>0.56000000000000005</v>
      </c>
      <c r="R275" s="144">
        <v>0.54500000000000004</v>
      </c>
      <c r="S275" s="144">
        <v>0.52500000000000002</v>
      </c>
      <c r="T275" s="144">
        <v>0.53</v>
      </c>
      <c r="U275" s="141">
        <v>0.5</v>
      </c>
      <c r="V275" s="145">
        <v>0.55500000000000005</v>
      </c>
      <c r="W275" s="144">
        <v>0.52</v>
      </c>
      <c r="X275" s="144">
        <v>0.53</v>
      </c>
      <c r="Y275" s="144">
        <v>0.55000000000000004</v>
      </c>
      <c r="Z275" s="144">
        <v>0.52</v>
      </c>
      <c r="AA275" s="144">
        <v>0.54</v>
      </c>
      <c r="AB275" s="143">
        <f>_xlfn.STDEV.P(D275:AA275)</f>
        <v>1.8341617446549153E-2</v>
      </c>
      <c r="AC275" s="146"/>
    </row>
    <row r="276" spans="1:29">
      <c r="A276" s="260"/>
      <c r="B276" s="147" t="s">
        <v>1820</v>
      </c>
      <c r="D276" s="148" t="s">
        <v>1794</v>
      </c>
      <c r="E276" s="148" t="s">
        <v>1794</v>
      </c>
      <c r="F276" s="148" t="s">
        <v>1794</v>
      </c>
      <c r="G276" s="148" t="s">
        <v>1794</v>
      </c>
      <c r="H276" s="148" t="s">
        <v>1794</v>
      </c>
      <c r="I276" s="149" t="s">
        <v>1794</v>
      </c>
      <c r="J276" s="150" t="s">
        <v>1796</v>
      </c>
      <c r="K276" s="148" t="s">
        <v>1803</v>
      </c>
      <c r="L276" s="148" t="s">
        <v>1794</v>
      </c>
      <c r="M276" s="148" t="s">
        <v>1794</v>
      </c>
      <c r="N276" s="148" t="s">
        <v>1796</v>
      </c>
      <c r="O276" s="149" t="s">
        <v>1796</v>
      </c>
      <c r="P276" s="150" t="s">
        <v>1794</v>
      </c>
      <c r="Q276" s="148" t="s">
        <v>1794</v>
      </c>
      <c r="R276" s="148" t="s">
        <v>1794</v>
      </c>
      <c r="S276" s="148" t="s">
        <v>1794</v>
      </c>
      <c r="T276" s="148" t="s">
        <v>1796</v>
      </c>
      <c r="U276" s="149" t="s">
        <v>1796</v>
      </c>
      <c r="V276" s="150" t="s">
        <v>1794</v>
      </c>
      <c r="W276" s="148" t="s">
        <v>1794</v>
      </c>
      <c r="X276" s="148" t="s">
        <v>1794</v>
      </c>
      <c r="Y276" s="148" t="s">
        <v>1794</v>
      </c>
      <c r="Z276" s="148" t="s">
        <v>1794</v>
      </c>
      <c r="AA276" s="148" t="s">
        <v>1794</v>
      </c>
      <c r="AB276" s="143"/>
      <c r="AC276" s="151" t="s">
        <v>1824</v>
      </c>
    </row>
    <row r="277" spans="1:29">
      <c r="A277" s="260"/>
      <c r="B277" t="s">
        <v>1798</v>
      </c>
      <c r="C277" t="s">
        <v>40</v>
      </c>
      <c r="D277" s="141">
        <v>0.48499999999999999</v>
      </c>
      <c r="E277" s="141">
        <v>0.5</v>
      </c>
      <c r="F277" s="141">
        <v>0.58499999999999996</v>
      </c>
      <c r="G277" s="141">
        <v>0.5</v>
      </c>
      <c r="H277" s="141">
        <v>0.48499999999999999</v>
      </c>
      <c r="I277" s="141">
        <v>0.49</v>
      </c>
      <c r="J277" s="142">
        <v>0.51500000000000001</v>
      </c>
      <c r="K277" s="141">
        <v>0.505</v>
      </c>
      <c r="L277" s="141">
        <v>0.505</v>
      </c>
      <c r="M277" s="141">
        <v>0.45500000000000002</v>
      </c>
      <c r="N277" s="141">
        <v>0.44500000000000001</v>
      </c>
      <c r="O277" s="141">
        <v>0.46500000000000002</v>
      </c>
      <c r="P277" s="142">
        <v>0.51</v>
      </c>
      <c r="Q277" s="141">
        <v>0.48499999999999999</v>
      </c>
      <c r="R277" s="141">
        <v>0.51</v>
      </c>
      <c r="S277" s="141">
        <v>0.51</v>
      </c>
      <c r="T277" s="141">
        <v>0.48499999999999999</v>
      </c>
      <c r="U277" s="141">
        <v>0.495</v>
      </c>
      <c r="V277" s="142">
        <v>0.47499999999999998</v>
      </c>
      <c r="W277" s="141">
        <v>0.48499999999999999</v>
      </c>
      <c r="X277" s="141">
        <v>0.48499999999999999</v>
      </c>
      <c r="Y277" s="141">
        <v>0.46</v>
      </c>
      <c r="Z277" s="141">
        <v>0.47</v>
      </c>
      <c r="AA277" s="141">
        <v>0.46</v>
      </c>
      <c r="AB277" s="143">
        <f>_xlfn.STDEV.P(D277:AA277)</f>
        <v>2.7366310137750673E-2</v>
      </c>
      <c r="AC277" s="143"/>
    </row>
    <row r="278" spans="1:29">
      <c r="A278" s="260"/>
      <c r="C278" t="s">
        <v>220</v>
      </c>
      <c r="D278" s="141">
        <v>1</v>
      </c>
      <c r="E278" s="141">
        <v>1.0049999999999999</v>
      </c>
      <c r="F278" s="141">
        <v>1.03</v>
      </c>
      <c r="G278" s="141">
        <v>0.99</v>
      </c>
      <c r="H278" s="141">
        <v>0.98499999999999999</v>
      </c>
      <c r="I278" s="141">
        <v>1.0049999999999999</v>
      </c>
      <c r="J278" s="142">
        <v>1</v>
      </c>
      <c r="K278" s="141">
        <v>0.98</v>
      </c>
      <c r="L278" s="141">
        <v>0.995</v>
      </c>
      <c r="M278" s="141">
        <v>0.98499999999999999</v>
      </c>
      <c r="N278" s="141">
        <v>1.0049999999999999</v>
      </c>
      <c r="O278" s="141">
        <v>1.01</v>
      </c>
      <c r="P278" s="142">
        <v>1.0249999999999999</v>
      </c>
      <c r="Q278" s="141">
        <v>1.0349999999999999</v>
      </c>
      <c r="R278" s="141">
        <v>1.02</v>
      </c>
      <c r="S278" s="141">
        <v>1.02</v>
      </c>
      <c r="T278" s="141">
        <v>1.0049999999999999</v>
      </c>
      <c r="U278" s="141">
        <v>0.99</v>
      </c>
      <c r="V278" s="142">
        <v>0.99</v>
      </c>
      <c r="W278" s="141">
        <v>1.0149999999999999</v>
      </c>
      <c r="X278" s="141">
        <v>1</v>
      </c>
      <c r="Y278" s="141">
        <v>0.995</v>
      </c>
      <c r="Z278" s="141">
        <v>1</v>
      </c>
      <c r="AA278" s="141">
        <v>0.99</v>
      </c>
      <c r="AB278" s="143">
        <f>_xlfn.STDEV.P(D278:AA278)</f>
        <v>1.4492275241198893E-2</v>
      </c>
      <c r="AC278" s="143"/>
    </row>
    <row r="279" spans="1:29">
      <c r="A279" s="260"/>
      <c r="C279" t="s">
        <v>221</v>
      </c>
      <c r="D279" s="144">
        <v>0.56499999999999995</v>
      </c>
      <c r="E279" s="144">
        <v>0.56000000000000005</v>
      </c>
      <c r="F279" s="144">
        <v>0.68</v>
      </c>
      <c r="G279" s="144">
        <v>0.56499999999999995</v>
      </c>
      <c r="H279" s="144">
        <v>0.54</v>
      </c>
      <c r="I279" s="141">
        <v>0.55000000000000004</v>
      </c>
      <c r="J279" s="145">
        <v>0.53</v>
      </c>
      <c r="K279" s="144">
        <v>0.53</v>
      </c>
      <c r="L279" s="144">
        <v>0.54</v>
      </c>
      <c r="M279" s="144">
        <v>0.53500000000000003</v>
      </c>
      <c r="N279" s="144">
        <v>0.51500000000000001</v>
      </c>
      <c r="O279" s="141">
        <v>0.53</v>
      </c>
      <c r="P279" s="145">
        <v>0.52500000000000002</v>
      </c>
      <c r="Q279" s="144">
        <v>0.435</v>
      </c>
      <c r="R279" s="144">
        <v>0.57499999999999996</v>
      </c>
      <c r="S279" s="144">
        <v>0.57499999999999996</v>
      </c>
      <c r="T279" s="144">
        <v>0.54500000000000004</v>
      </c>
      <c r="U279" s="141">
        <v>0.505</v>
      </c>
      <c r="V279" s="145">
        <v>0.53500000000000003</v>
      </c>
      <c r="W279" s="144">
        <v>0.54</v>
      </c>
      <c r="X279" s="144">
        <v>0.54500000000000004</v>
      </c>
      <c r="Y279" s="144">
        <v>0.56499999999999995</v>
      </c>
      <c r="Z279" s="144">
        <v>0.55000000000000004</v>
      </c>
      <c r="AA279" s="144">
        <v>0.56499999999999995</v>
      </c>
      <c r="AB279" s="143">
        <f>_xlfn.STDEV.P(D279:AA279)</f>
        <v>3.9703764165238645E-2</v>
      </c>
      <c r="AC279" s="146"/>
    </row>
    <row r="280" spans="1:29">
      <c r="A280" s="260"/>
      <c r="B280" s="147" t="s">
        <v>1799</v>
      </c>
      <c r="D280" s="148" t="s">
        <v>1794</v>
      </c>
      <c r="E280" s="148" t="s">
        <v>1796</v>
      </c>
      <c r="F280" s="148" t="s">
        <v>1796</v>
      </c>
      <c r="G280" s="148" t="s">
        <v>1796</v>
      </c>
      <c r="H280" s="148" t="s">
        <v>1795</v>
      </c>
      <c r="I280" s="149" t="s">
        <v>1795</v>
      </c>
      <c r="J280" s="150" t="s">
        <v>1794</v>
      </c>
      <c r="K280" s="148" t="s">
        <v>1796</v>
      </c>
      <c r="L280" s="148" t="s">
        <v>1796</v>
      </c>
      <c r="M280" s="148" t="s">
        <v>1794</v>
      </c>
      <c r="N280" s="148" t="s">
        <v>1794</v>
      </c>
      <c r="O280" s="149" t="s">
        <v>1794</v>
      </c>
      <c r="P280" s="150" t="s">
        <v>1795</v>
      </c>
      <c r="Q280" s="148" t="s">
        <v>1794</v>
      </c>
      <c r="R280" s="148" t="s">
        <v>1796</v>
      </c>
      <c r="S280" s="148" t="s">
        <v>1796</v>
      </c>
      <c r="T280" s="148" t="s">
        <v>1796</v>
      </c>
      <c r="U280" s="149" t="s">
        <v>1796</v>
      </c>
      <c r="V280" s="150" t="s">
        <v>1794</v>
      </c>
      <c r="W280" s="148" t="s">
        <v>1794</v>
      </c>
      <c r="X280" s="148" t="s">
        <v>1794</v>
      </c>
      <c r="Y280" s="148" t="s">
        <v>1794</v>
      </c>
      <c r="Z280" s="148" t="s">
        <v>1794</v>
      </c>
      <c r="AA280" s="148" t="s">
        <v>1794</v>
      </c>
      <c r="AB280" s="143"/>
      <c r="AC280" s="151" t="s">
        <v>1894</v>
      </c>
    </row>
    <row r="281" spans="1:29">
      <c r="A281" s="260"/>
      <c r="B281" t="s">
        <v>1801</v>
      </c>
      <c r="C281" t="s">
        <v>40</v>
      </c>
      <c r="D281" s="141">
        <v>0.48499999999999999</v>
      </c>
      <c r="E281" s="141">
        <v>0.48</v>
      </c>
      <c r="F281" s="141">
        <v>0.47499999999999998</v>
      </c>
      <c r="G281" s="141">
        <v>0.495</v>
      </c>
      <c r="H281" s="141">
        <v>0.5</v>
      </c>
      <c r="I281" s="141">
        <v>0.48499999999999999</v>
      </c>
      <c r="J281" s="142">
        <v>0.45500000000000002</v>
      </c>
      <c r="K281" s="141">
        <v>0.49</v>
      </c>
      <c r="L281" s="141">
        <v>0.51</v>
      </c>
      <c r="M281" s="141">
        <v>0.51500000000000001</v>
      </c>
      <c r="N281" s="141">
        <v>0.46500000000000002</v>
      </c>
      <c r="O281" s="141">
        <v>0.47</v>
      </c>
      <c r="P281" s="142">
        <v>0.44</v>
      </c>
      <c r="Q281" s="141">
        <v>0.52</v>
      </c>
      <c r="R281" s="141">
        <v>0.45500000000000002</v>
      </c>
      <c r="S281" s="141">
        <v>0.45500000000000002</v>
      </c>
      <c r="T281" s="141">
        <v>0.47</v>
      </c>
      <c r="U281" s="141">
        <v>0.49</v>
      </c>
      <c r="V281" s="142">
        <v>0.48499999999999999</v>
      </c>
      <c r="W281" s="141">
        <v>0.47499999999999998</v>
      </c>
      <c r="X281" s="141">
        <v>0.47</v>
      </c>
      <c r="Y281" s="141">
        <v>0.47</v>
      </c>
      <c r="Z281" s="141">
        <v>0.495</v>
      </c>
      <c r="AA281" s="141">
        <v>0.47</v>
      </c>
      <c r="AB281" s="143">
        <f>_xlfn.STDEV.P(D281:AA281)</f>
        <v>1.947220240924654E-2</v>
      </c>
      <c r="AC281" s="143"/>
    </row>
    <row r="282" spans="1:29">
      <c r="A282" s="260"/>
      <c r="C282" t="s">
        <v>220</v>
      </c>
      <c r="D282" s="141">
        <v>1</v>
      </c>
      <c r="E282" s="141">
        <v>1</v>
      </c>
      <c r="F282" s="141">
        <v>1.0149999999999999</v>
      </c>
      <c r="G282" s="141">
        <v>0.995</v>
      </c>
      <c r="H282" s="141">
        <v>0.995</v>
      </c>
      <c r="I282" s="141">
        <v>0.99</v>
      </c>
      <c r="J282" s="142">
        <v>1.0049999999999999</v>
      </c>
      <c r="K282" s="141">
        <v>1</v>
      </c>
      <c r="L282" s="141">
        <v>1.02</v>
      </c>
      <c r="M282" s="141">
        <v>1.01</v>
      </c>
      <c r="N282" s="141">
        <v>1</v>
      </c>
      <c r="O282" s="141">
        <v>1</v>
      </c>
      <c r="P282" s="142">
        <v>1</v>
      </c>
      <c r="Q282" s="141">
        <v>0.995</v>
      </c>
      <c r="R282" s="141">
        <v>1</v>
      </c>
      <c r="S282" s="141">
        <v>1.01</v>
      </c>
      <c r="T282" s="141">
        <v>1.0049999999999999</v>
      </c>
      <c r="U282" s="141">
        <v>0.98499999999999999</v>
      </c>
      <c r="V282" s="142">
        <v>0.995</v>
      </c>
      <c r="W282" s="141">
        <v>0.995</v>
      </c>
      <c r="X282" s="141">
        <v>1.0049999999999999</v>
      </c>
      <c r="Y282" s="141">
        <v>1.0149999999999999</v>
      </c>
      <c r="Z282" s="141">
        <v>1</v>
      </c>
      <c r="AA282" s="141">
        <v>1.0049999999999999</v>
      </c>
      <c r="AB282" s="143">
        <f>_xlfn.STDEV.P(D282:AA282)</f>
        <v>7.9930525388545171E-3</v>
      </c>
      <c r="AC282" s="143"/>
    </row>
    <row r="283" spans="1:29">
      <c r="A283" s="260"/>
      <c r="C283" t="s">
        <v>221</v>
      </c>
      <c r="D283" s="144">
        <v>0.54500000000000004</v>
      </c>
      <c r="E283" s="144">
        <v>0.55000000000000004</v>
      </c>
      <c r="F283" s="144">
        <v>0.56499999999999995</v>
      </c>
      <c r="G283" s="144">
        <v>0.52</v>
      </c>
      <c r="H283" s="144">
        <v>0.56000000000000005</v>
      </c>
      <c r="I283" s="141">
        <v>0.54</v>
      </c>
      <c r="J283" s="145">
        <v>0.56499999999999995</v>
      </c>
      <c r="K283" s="144">
        <v>0.56499999999999995</v>
      </c>
      <c r="L283" s="144">
        <v>0.56000000000000005</v>
      </c>
      <c r="M283" s="144">
        <v>0.55500000000000005</v>
      </c>
      <c r="N283" s="144">
        <v>0.56999999999999995</v>
      </c>
      <c r="O283" s="141">
        <v>0.56000000000000005</v>
      </c>
      <c r="P283" s="145">
        <v>0.56000000000000005</v>
      </c>
      <c r="Q283" s="144">
        <v>0.56000000000000005</v>
      </c>
      <c r="R283" s="144">
        <v>0.55000000000000004</v>
      </c>
      <c r="S283" s="144">
        <v>0.54</v>
      </c>
      <c r="T283" s="144">
        <v>0.54500000000000004</v>
      </c>
      <c r="U283" s="141">
        <v>0.5</v>
      </c>
      <c r="V283" s="145">
        <v>0.56499999999999995</v>
      </c>
      <c r="W283" s="144">
        <v>0.53500000000000003</v>
      </c>
      <c r="X283" s="144">
        <v>0.55500000000000005</v>
      </c>
      <c r="Y283" s="144">
        <v>0.5</v>
      </c>
      <c r="Z283" s="144">
        <v>0.52500000000000002</v>
      </c>
      <c r="AA283" s="144">
        <v>0.53</v>
      </c>
      <c r="AB283" s="143">
        <f>_xlfn.STDEV.P(D283:AA283)</f>
        <v>1.9346977943739827E-2</v>
      </c>
      <c r="AC283" s="146"/>
    </row>
    <row r="284" spans="1:29">
      <c r="A284" s="260"/>
      <c r="B284" s="147" t="s">
        <v>1802</v>
      </c>
      <c r="D284" s="148" t="s">
        <v>1794</v>
      </c>
      <c r="E284" s="148" t="s">
        <v>1794</v>
      </c>
      <c r="F284" s="148" t="s">
        <v>1796</v>
      </c>
      <c r="G284" s="148" t="s">
        <v>1796</v>
      </c>
      <c r="H284" s="148" t="s">
        <v>1796</v>
      </c>
      <c r="I284" s="149" t="s">
        <v>1796</v>
      </c>
      <c r="J284" s="150" t="s">
        <v>1794</v>
      </c>
      <c r="K284" s="148" t="s">
        <v>1796</v>
      </c>
      <c r="L284" s="148" t="s">
        <v>1796</v>
      </c>
      <c r="M284" s="148" t="s">
        <v>1794</v>
      </c>
      <c r="N284" s="148" t="s">
        <v>1794</v>
      </c>
      <c r="O284" s="149" t="s">
        <v>1794</v>
      </c>
      <c r="P284" s="150" t="s">
        <v>1794</v>
      </c>
      <c r="Q284" s="148" t="s">
        <v>1794</v>
      </c>
      <c r="R284" s="148" t="s">
        <v>1796</v>
      </c>
      <c r="S284" s="148" t="s">
        <v>1796</v>
      </c>
      <c r="T284" s="148" t="s">
        <v>1794</v>
      </c>
      <c r="U284" s="149" t="s">
        <v>1794</v>
      </c>
      <c r="V284" s="150" t="s">
        <v>1794</v>
      </c>
      <c r="W284" s="148" t="s">
        <v>1794</v>
      </c>
      <c r="X284" s="148" t="s">
        <v>1796</v>
      </c>
      <c r="Y284" s="148" t="s">
        <v>1794</v>
      </c>
      <c r="Z284" s="148" t="s">
        <v>1794</v>
      </c>
      <c r="AA284" s="148" t="s">
        <v>1794</v>
      </c>
      <c r="AB284" s="143"/>
      <c r="AC284" s="151" t="s">
        <v>1871</v>
      </c>
    </row>
    <row r="285" spans="1:29">
      <c r="A285" s="260"/>
      <c r="B285" t="s">
        <v>1805</v>
      </c>
      <c r="C285" t="s">
        <v>40</v>
      </c>
      <c r="D285" s="141">
        <v>0.45</v>
      </c>
      <c r="E285" s="141">
        <v>0.46</v>
      </c>
      <c r="F285" s="141">
        <v>0.435</v>
      </c>
      <c r="G285" s="141">
        <v>0.45</v>
      </c>
      <c r="H285" s="141">
        <v>0.495</v>
      </c>
      <c r="I285" s="141">
        <v>0.48</v>
      </c>
      <c r="J285" s="142">
        <v>0.46500000000000002</v>
      </c>
      <c r="K285" s="141">
        <v>0.495</v>
      </c>
      <c r="L285" s="141">
        <v>0.45500000000000002</v>
      </c>
      <c r="M285" s="141">
        <v>0.44500000000000001</v>
      </c>
      <c r="N285" s="141">
        <v>0.48</v>
      </c>
      <c r="O285" s="141">
        <v>0.45500000000000002</v>
      </c>
      <c r="P285" s="142">
        <v>0.42</v>
      </c>
      <c r="Q285" s="141">
        <v>0.45500000000000002</v>
      </c>
      <c r="R285" s="141">
        <v>0.44500000000000001</v>
      </c>
      <c r="S285" s="141">
        <v>0.41</v>
      </c>
      <c r="T285" s="141">
        <v>0.44500000000000001</v>
      </c>
      <c r="U285" s="141">
        <v>0.45</v>
      </c>
      <c r="V285" s="142">
        <v>0.42</v>
      </c>
      <c r="W285" s="141">
        <v>0.41</v>
      </c>
      <c r="X285" s="141">
        <v>0.45</v>
      </c>
      <c r="Y285" s="141">
        <v>0.49</v>
      </c>
      <c r="Z285" s="141">
        <v>0.39500000000000002</v>
      </c>
      <c r="AA285" s="141">
        <v>0.42499999999999999</v>
      </c>
      <c r="AB285" s="143">
        <f>_xlfn.STDEV.P(D285:AA285)</f>
        <v>2.6444386087704049E-2</v>
      </c>
      <c r="AC285" s="143"/>
    </row>
    <row r="286" spans="1:29">
      <c r="A286" s="260"/>
      <c r="C286" t="s">
        <v>220</v>
      </c>
      <c r="D286" s="141">
        <v>1.0049999999999999</v>
      </c>
      <c r="E286" s="141">
        <v>1</v>
      </c>
      <c r="F286" s="141">
        <v>1.0249999999999999</v>
      </c>
      <c r="G286" s="141">
        <v>1.0149999999999999</v>
      </c>
      <c r="H286" s="141">
        <v>1.01</v>
      </c>
      <c r="I286" s="141">
        <v>1.0149999999999999</v>
      </c>
      <c r="J286" s="142">
        <v>1</v>
      </c>
      <c r="K286" s="141">
        <v>0.99</v>
      </c>
      <c r="L286" s="141">
        <v>0.995</v>
      </c>
      <c r="M286" s="141">
        <v>1.02</v>
      </c>
      <c r="N286" s="141">
        <v>0.96499999999999997</v>
      </c>
      <c r="O286" s="141">
        <v>1.02</v>
      </c>
      <c r="P286" s="142">
        <v>0.97499999999999998</v>
      </c>
      <c r="Q286" s="141">
        <v>0.995</v>
      </c>
      <c r="R286" s="141">
        <v>1.0049999999999999</v>
      </c>
      <c r="S286" s="141">
        <v>0.97</v>
      </c>
      <c r="T286" s="141">
        <v>1.01</v>
      </c>
      <c r="U286" s="141">
        <v>0.99</v>
      </c>
      <c r="V286" s="142">
        <v>0.98499999999999999</v>
      </c>
      <c r="W286" s="141">
        <v>0.995</v>
      </c>
      <c r="X286" s="141">
        <v>1</v>
      </c>
      <c r="Y286" s="141">
        <v>0.98</v>
      </c>
      <c r="Z286" s="141">
        <v>1.02</v>
      </c>
      <c r="AA286" s="141">
        <v>0.995</v>
      </c>
      <c r="AB286" s="143">
        <f>_xlfn.STDEV.P(D286:AA286)</f>
        <v>1.6051133570215179E-2</v>
      </c>
      <c r="AC286" s="143"/>
    </row>
    <row r="287" spans="1:29">
      <c r="A287" s="260"/>
      <c r="C287" t="s">
        <v>221</v>
      </c>
      <c r="D287" s="144">
        <v>0.51500000000000001</v>
      </c>
      <c r="E287" s="144">
        <v>0.51500000000000001</v>
      </c>
      <c r="F287" s="144">
        <v>0.47499999999999998</v>
      </c>
      <c r="G287" s="144">
        <v>0.47499999999999998</v>
      </c>
      <c r="H287" s="144">
        <v>0.5</v>
      </c>
      <c r="I287" s="141">
        <v>0.49</v>
      </c>
      <c r="J287" s="145">
        <v>0.49</v>
      </c>
      <c r="K287" s="144">
        <v>0.52500000000000002</v>
      </c>
      <c r="L287" s="144">
        <v>0.49</v>
      </c>
      <c r="M287" s="144">
        <v>0.51</v>
      </c>
      <c r="N287" s="144">
        <v>0.52500000000000002</v>
      </c>
      <c r="O287" s="141">
        <v>0.505</v>
      </c>
      <c r="P287" s="145">
        <v>0.54500000000000004</v>
      </c>
      <c r="Q287" s="144">
        <v>0.51500000000000001</v>
      </c>
      <c r="R287" s="144">
        <v>0.48499999999999999</v>
      </c>
      <c r="S287" s="144">
        <v>0.495</v>
      </c>
      <c r="T287" s="144">
        <v>0.5</v>
      </c>
      <c r="U287" s="141">
        <v>0.52500000000000002</v>
      </c>
      <c r="V287" s="145">
        <v>0.5</v>
      </c>
      <c r="W287" s="144">
        <v>0.51500000000000001</v>
      </c>
      <c r="X287" s="144">
        <v>0.47499999999999998</v>
      </c>
      <c r="Y287" s="144">
        <v>0.53</v>
      </c>
      <c r="Z287" s="144">
        <v>0.48499999999999999</v>
      </c>
      <c r="AA287" s="144">
        <v>0.51500000000000001</v>
      </c>
      <c r="AB287" s="143">
        <f>_xlfn.STDEV.P(D287:AA287)</f>
        <v>1.8577914008006645E-2</v>
      </c>
      <c r="AC287" s="146"/>
    </row>
    <row r="288" spans="1:29">
      <c r="A288" s="260"/>
      <c r="B288" s="147" t="s">
        <v>1806</v>
      </c>
      <c r="D288" s="148" t="s">
        <v>1794</v>
      </c>
      <c r="E288" s="148" t="s">
        <v>1794</v>
      </c>
      <c r="F288" s="148" t="s">
        <v>1796</v>
      </c>
      <c r="G288" s="148" t="s">
        <v>1794</v>
      </c>
      <c r="H288" s="148" t="s">
        <v>1795</v>
      </c>
      <c r="I288" s="149" t="s">
        <v>1803</v>
      </c>
      <c r="J288" s="150" t="s">
        <v>1803</v>
      </c>
      <c r="K288" s="148" t="s">
        <v>1794</v>
      </c>
      <c r="L288" s="148" t="s">
        <v>1803</v>
      </c>
      <c r="M288" s="148" t="s">
        <v>1796</v>
      </c>
      <c r="N288" s="148" t="s">
        <v>1794</v>
      </c>
      <c r="O288" s="149" t="s">
        <v>1794</v>
      </c>
      <c r="P288" s="150" t="s">
        <v>1794</v>
      </c>
      <c r="Q288" s="148" t="s">
        <v>1796</v>
      </c>
      <c r="R288" s="148" t="s">
        <v>1794</v>
      </c>
      <c r="S288" s="148" t="s">
        <v>1796</v>
      </c>
      <c r="T288" s="148" t="s">
        <v>1796</v>
      </c>
      <c r="U288" s="149" t="s">
        <v>1794</v>
      </c>
      <c r="V288" s="150" t="s">
        <v>1796</v>
      </c>
      <c r="W288" s="148" t="s">
        <v>1796</v>
      </c>
      <c r="X288" s="148" t="s">
        <v>1796</v>
      </c>
      <c r="Y288" s="148" t="s">
        <v>1794</v>
      </c>
      <c r="Z288" s="148" t="s">
        <v>1794</v>
      </c>
      <c r="AA288" s="148" t="s">
        <v>1794</v>
      </c>
      <c r="AB288" s="143"/>
      <c r="AC288" s="151" t="s">
        <v>1895</v>
      </c>
    </row>
    <row r="289" spans="1:29">
      <c r="A289" s="260"/>
      <c r="B289" t="s">
        <v>1807</v>
      </c>
      <c r="C289" t="s">
        <v>40</v>
      </c>
      <c r="D289" s="141">
        <v>0.52500000000000002</v>
      </c>
      <c r="E289" s="141">
        <v>0.46</v>
      </c>
      <c r="F289" s="141">
        <v>0.47</v>
      </c>
      <c r="G289" s="141">
        <v>0.49</v>
      </c>
      <c r="H289" s="141">
        <v>0.47499999999999998</v>
      </c>
      <c r="I289" s="141">
        <v>0.46</v>
      </c>
      <c r="J289" s="142">
        <v>0.48</v>
      </c>
      <c r="K289" s="141">
        <v>0.49</v>
      </c>
      <c r="L289" s="141">
        <v>0.47499999999999998</v>
      </c>
      <c r="M289" s="141">
        <v>0.45</v>
      </c>
      <c r="N289" s="141">
        <v>0.47</v>
      </c>
      <c r="O289" s="141">
        <v>0.5</v>
      </c>
      <c r="P289" s="142">
        <v>0.47499999999999998</v>
      </c>
      <c r="Q289" s="141">
        <v>0.46500000000000002</v>
      </c>
      <c r="R289" s="141">
        <v>0.46500000000000002</v>
      </c>
      <c r="S289" s="141">
        <v>0.45</v>
      </c>
      <c r="T289" s="141">
        <v>0.47499999999999998</v>
      </c>
      <c r="U289" s="141">
        <v>0.49</v>
      </c>
      <c r="V289" s="142">
        <v>0.47499999999999998</v>
      </c>
      <c r="W289" s="141">
        <v>0.49</v>
      </c>
      <c r="X289" s="141">
        <v>0.45500000000000002</v>
      </c>
      <c r="Y289" s="141">
        <v>0.435</v>
      </c>
      <c r="Z289" s="141">
        <v>0.44</v>
      </c>
      <c r="AA289" s="141">
        <v>0.435</v>
      </c>
      <c r="AB289" s="143">
        <f>_xlfn.STDEV.P(D289:AA289)</f>
        <v>2.078222898696544E-2</v>
      </c>
      <c r="AC289" s="143"/>
    </row>
    <row r="290" spans="1:29">
      <c r="A290" s="260"/>
      <c r="C290" t="s">
        <v>220</v>
      </c>
      <c r="D290" s="141">
        <v>1.01</v>
      </c>
      <c r="E290" s="141">
        <v>1.0049999999999999</v>
      </c>
      <c r="F290" s="141">
        <v>1.02</v>
      </c>
      <c r="G290" s="141">
        <v>1.0049999999999999</v>
      </c>
      <c r="H290" s="141">
        <v>0.995</v>
      </c>
      <c r="I290" s="141">
        <v>1.01</v>
      </c>
      <c r="J290" s="142">
        <v>1.0049999999999999</v>
      </c>
      <c r="K290" s="141">
        <v>1.0049999999999999</v>
      </c>
      <c r="L290" s="141">
        <v>1.0249999999999999</v>
      </c>
      <c r="M290" s="141">
        <v>1.01</v>
      </c>
      <c r="N290" s="141">
        <v>1.0049999999999999</v>
      </c>
      <c r="O290" s="141">
        <v>0.995</v>
      </c>
      <c r="P290" s="142">
        <v>1.03</v>
      </c>
      <c r="Q290" s="141">
        <v>1.0149999999999999</v>
      </c>
      <c r="R290" s="141">
        <v>0.98</v>
      </c>
      <c r="S290" s="141">
        <v>1.0149999999999999</v>
      </c>
      <c r="T290" s="141">
        <v>1.0249999999999999</v>
      </c>
      <c r="U290" s="141">
        <v>1.0049999999999999</v>
      </c>
      <c r="V290" s="142">
        <v>1.0149999999999999</v>
      </c>
      <c r="W290" s="141">
        <v>1.0049999999999999</v>
      </c>
      <c r="X290" s="141">
        <v>1.04</v>
      </c>
      <c r="Y290" s="141">
        <v>1</v>
      </c>
      <c r="Z290" s="141">
        <v>1</v>
      </c>
      <c r="AA290" s="141">
        <v>1</v>
      </c>
      <c r="AB290" s="143">
        <f>_xlfn.STDEV.P(D290:AA290)</f>
        <v>1.2472191289246476E-2</v>
      </c>
      <c r="AC290" s="143"/>
    </row>
    <row r="291" spans="1:29">
      <c r="A291" s="260"/>
      <c r="C291" t="s">
        <v>221</v>
      </c>
      <c r="D291" s="144">
        <v>0.47499999999999998</v>
      </c>
      <c r="E291" s="144">
        <v>0.5</v>
      </c>
      <c r="F291" s="144">
        <v>0.51</v>
      </c>
      <c r="G291" s="144">
        <v>0.495</v>
      </c>
      <c r="H291" s="144">
        <v>0.48</v>
      </c>
      <c r="I291" s="141">
        <v>0.495</v>
      </c>
      <c r="J291" s="145">
        <v>0.46500000000000002</v>
      </c>
      <c r="K291" s="144">
        <v>0.51500000000000001</v>
      </c>
      <c r="L291" s="144">
        <v>0.46</v>
      </c>
      <c r="M291" s="144">
        <v>0.53</v>
      </c>
      <c r="N291" s="144">
        <v>0.51</v>
      </c>
      <c r="O291" s="141">
        <v>0.505</v>
      </c>
      <c r="P291" s="145">
        <v>0.45500000000000002</v>
      </c>
      <c r="Q291" s="144">
        <v>0.51</v>
      </c>
      <c r="R291" s="144">
        <v>0.53500000000000003</v>
      </c>
      <c r="S291" s="144">
        <v>0.49</v>
      </c>
      <c r="T291" s="144">
        <v>0.495</v>
      </c>
      <c r="U291" s="141">
        <v>0.505</v>
      </c>
      <c r="V291" s="145">
        <v>0.505</v>
      </c>
      <c r="W291" s="144">
        <v>0.51</v>
      </c>
      <c r="X291" s="144">
        <v>0.49</v>
      </c>
      <c r="Y291" s="144">
        <v>0.49</v>
      </c>
      <c r="Z291" s="144">
        <v>0.51500000000000001</v>
      </c>
      <c r="AA291" s="144">
        <v>0.505</v>
      </c>
      <c r="AB291" s="143">
        <f>_xlfn.STDEV.P(D291:AA291)</f>
        <v>1.9577791769133608E-2</v>
      </c>
      <c r="AC291" s="146"/>
    </row>
    <row r="292" spans="1:29">
      <c r="A292" s="260"/>
      <c r="B292" s="147" t="s">
        <v>1808</v>
      </c>
      <c r="D292" s="148" t="s">
        <v>1794</v>
      </c>
      <c r="E292" s="148" t="s">
        <v>1796</v>
      </c>
      <c r="F292" s="148" t="s">
        <v>1796</v>
      </c>
      <c r="G292" s="148" t="s">
        <v>1796</v>
      </c>
      <c r="H292" s="148" t="s">
        <v>1794</v>
      </c>
      <c r="I292" s="149" t="s">
        <v>1796</v>
      </c>
      <c r="J292" s="150" t="s">
        <v>1794</v>
      </c>
      <c r="K292" s="148" t="s">
        <v>1795</v>
      </c>
      <c r="L292" s="148" t="s">
        <v>1794</v>
      </c>
      <c r="M292" s="148" t="s">
        <v>1794</v>
      </c>
      <c r="N292" s="148" t="s">
        <v>1794</v>
      </c>
      <c r="O292" s="149" t="s">
        <v>1794</v>
      </c>
      <c r="P292" s="150" t="s">
        <v>1795</v>
      </c>
      <c r="Q292" s="148" t="s">
        <v>1796</v>
      </c>
      <c r="R292" s="148" t="s">
        <v>1803</v>
      </c>
      <c r="S292" s="148" t="s">
        <v>1794</v>
      </c>
      <c r="T292" s="148" t="s">
        <v>1794</v>
      </c>
      <c r="U292" s="149" t="s">
        <v>1796</v>
      </c>
      <c r="V292" s="150" t="s">
        <v>1794</v>
      </c>
      <c r="W292" s="148" t="s">
        <v>1794</v>
      </c>
      <c r="X292" s="148" t="s">
        <v>1794</v>
      </c>
      <c r="Y292" s="148" t="s">
        <v>1794</v>
      </c>
      <c r="Z292" s="148" t="s">
        <v>1794</v>
      </c>
      <c r="AA292" s="148" t="s">
        <v>1794</v>
      </c>
      <c r="AB292" s="143"/>
      <c r="AC292" s="151" t="s">
        <v>1896</v>
      </c>
    </row>
    <row r="293" spans="1:29">
      <c r="A293" s="260"/>
      <c r="B293" s="153" t="s">
        <v>1809</v>
      </c>
      <c r="C293" s="153" t="s">
        <v>40</v>
      </c>
      <c r="D293" s="154">
        <v>0.49</v>
      </c>
      <c r="E293" s="154">
        <v>0.495</v>
      </c>
      <c r="F293" s="154">
        <v>0.48</v>
      </c>
      <c r="G293" s="154">
        <v>0.52</v>
      </c>
      <c r="H293" s="154">
        <v>0.5</v>
      </c>
      <c r="I293" s="154">
        <v>0.435</v>
      </c>
      <c r="J293" s="155">
        <v>0.55000000000000004</v>
      </c>
      <c r="K293" s="154">
        <v>0.51</v>
      </c>
      <c r="L293" s="154">
        <v>0.47</v>
      </c>
      <c r="M293" s="154">
        <v>0.45</v>
      </c>
      <c r="N293" s="154">
        <v>0.47499999999999998</v>
      </c>
      <c r="O293" s="154">
        <v>0.44500000000000001</v>
      </c>
      <c r="P293" s="155">
        <v>0.42499999999999999</v>
      </c>
      <c r="Q293" s="154">
        <v>0.47</v>
      </c>
      <c r="R293" s="154">
        <v>0.47</v>
      </c>
      <c r="S293" s="154">
        <v>0.49</v>
      </c>
      <c r="T293" s="154">
        <v>0.44500000000000001</v>
      </c>
      <c r="U293" s="154">
        <v>0.49</v>
      </c>
      <c r="V293" s="155">
        <v>0.45500000000000002</v>
      </c>
      <c r="W293" s="154">
        <v>0.47</v>
      </c>
      <c r="X293" s="154">
        <v>0.45</v>
      </c>
      <c r="Y293" s="154">
        <v>0.46500000000000002</v>
      </c>
      <c r="Z293" s="154">
        <v>0.47499999999999998</v>
      </c>
      <c r="AA293" s="154">
        <v>0.48499999999999999</v>
      </c>
      <c r="AB293" s="156">
        <f>_xlfn.STDEV.P(D293:AA293)</f>
        <v>2.7723210291899621E-2</v>
      </c>
      <c r="AC293" s="156"/>
    </row>
    <row r="294" spans="1:29">
      <c r="A294" s="260"/>
      <c r="B294" s="153"/>
      <c r="C294" s="153" t="s">
        <v>220</v>
      </c>
      <c r="D294" s="154">
        <v>1.01</v>
      </c>
      <c r="E294" s="154">
        <v>1.0049999999999999</v>
      </c>
      <c r="F294" s="154">
        <v>1.01</v>
      </c>
      <c r="G294" s="154">
        <v>1.0249999999999999</v>
      </c>
      <c r="H294" s="154">
        <v>1.02</v>
      </c>
      <c r="I294" s="154">
        <v>0.995</v>
      </c>
      <c r="J294" s="155">
        <v>1</v>
      </c>
      <c r="K294" s="154">
        <v>1.0349999999999999</v>
      </c>
      <c r="L294" s="154">
        <v>1.0249999999999999</v>
      </c>
      <c r="M294" s="154">
        <v>1.0049999999999999</v>
      </c>
      <c r="N294" s="154">
        <v>1.01</v>
      </c>
      <c r="O294" s="154">
        <v>1.01</v>
      </c>
      <c r="P294" s="155">
        <v>1.0249999999999999</v>
      </c>
      <c r="Q294" s="154">
        <v>1.01</v>
      </c>
      <c r="R294" s="154">
        <v>1.01</v>
      </c>
      <c r="S294" s="154">
        <v>1.04</v>
      </c>
      <c r="T294" s="154">
        <v>0.99</v>
      </c>
      <c r="U294" s="154">
        <v>0.995</v>
      </c>
      <c r="V294" s="155">
        <v>0.99</v>
      </c>
      <c r="W294" s="154">
        <v>1.04</v>
      </c>
      <c r="X294" s="154">
        <v>1</v>
      </c>
      <c r="Y294" s="154">
        <v>1.01</v>
      </c>
      <c r="Z294" s="154">
        <v>1.0049999999999999</v>
      </c>
      <c r="AA294" s="154">
        <v>1.0149999999999999</v>
      </c>
      <c r="AB294" s="156">
        <f>_xlfn.STDEV.P(D294:AA294)</f>
        <v>1.3969212178533506E-2</v>
      </c>
      <c r="AC294" s="156"/>
    </row>
    <row r="295" spans="1:29">
      <c r="A295" s="260"/>
      <c r="B295" s="153"/>
      <c r="C295" s="153" t="s">
        <v>221</v>
      </c>
      <c r="D295" s="157">
        <v>0.505</v>
      </c>
      <c r="E295" s="157">
        <v>0.52</v>
      </c>
      <c r="F295" s="157">
        <v>0.52500000000000002</v>
      </c>
      <c r="G295" s="157">
        <v>0.505</v>
      </c>
      <c r="H295" s="157">
        <v>0.52</v>
      </c>
      <c r="I295" s="154">
        <v>0.495</v>
      </c>
      <c r="J295" s="158">
        <v>0.495</v>
      </c>
      <c r="K295" s="157">
        <v>0.505</v>
      </c>
      <c r="L295" s="157">
        <v>0.46</v>
      </c>
      <c r="M295" s="157">
        <v>0.5</v>
      </c>
      <c r="N295" s="157">
        <v>0.51500000000000001</v>
      </c>
      <c r="O295" s="154">
        <v>0.49</v>
      </c>
      <c r="P295" s="158">
        <v>0.53500000000000003</v>
      </c>
      <c r="Q295" s="157">
        <v>0.47499999999999998</v>
      </c>
      <c r="R295" s="157">
        <v>0.495</v>
      </c>
      <c r="S295" s="157">
        <v>0.49</v>
      </c>
      <c r="T295" s="157">
        <v>0.51500000000000001</v>
      </c>
      <c r="U295" s="154">
        <v>0.48</v>
      </c>
      <c r="V295" s="158">
        <v>0.48</v>
      </c>
      <c r="W295" s="157">
        <v>0.46</v>
      </c>
      <c r="X295" s="157">
        <v>0.505</v>
      </c>
      <c r="Y295" s="157">
        <v>0.495</v>
      </c>
      <c r="Z295" s="157">
        <v>0.52</v>
      </c>
      <c r="AA295" s="157">
        <v>0.495</v>
      </c>
      <c r="AB295" s="156">
        <f>_xlfn.STDEV.P(D295:AA295)</f>
        <v>1.8856180831641273E-2</v>
      </c>
      <c r="AC295" s="164"/>
    </row>
    <row r="296" spans="1:29">
      <c r="A296" s="260"/>
      <c r="B296" s="159" t="s">
        <v>1810</v>
      </c>
      <c r="C296" s="153"/>
      <c r="D296" s="160" t="s">
        <v>1794</v>
      </c>
      <c r="E296" s="160" t="s">
        <v>1794</v>
      </c>
      <c r="F296" s="160" t="s">
        <v>1796</v>
      </c>
      <c r="G296" s="160" t="s">
        <v>1796</v>
      </c>
      <c r="H296" s="160" t="s">
        <v>1796</v>
      </c>
      <c r="I296" s="161" t="s">
        <v>1794</v>
      </c>
      <c r="J296" s="162" t="s">
        <v>1794</v>
      </c>
      <c r="K296" s="160" t="s">
        <v>1794</v>
      </c>
      <c r="L296" s="160" t="s">
        <v>1794</v>
      </c>
      <c r="M296" s="160" t="s">
        <v>1794</v>
      </c>
      <c r="N296" s="160" t="s">
        <v>1794</v>
      </c>
      <c r="O296" s="161" t="s">
        <v>1794</v>
      </c>
      <c r="P296" s="162" t="s">
        <v>1794</v>
      </c>
      <c r="Q296" s="160" t="s">
        <v>1794</v>
      </c>
      <c r="R296" s="160" t="s">
        <v>1795</v>
      </c>
      <c r="S296" s="160" t="s">
        <v>1796</v>
      </c>
      <c r="T296" s="160" t="s">
        <v>1794</v>
      </c>
      <c r="U296" s="161" t="s">
        <v>1796</v>
      </c>
      <c r="V296" s="162" t="s">
        <v>1796</v>
      </c>
      <c r="W296" s="160" t="s">
        <v>1794</v>
      </c>
      <c r="X296" s="160" t="s">
        <v>1796</v>
      </c>
      <c r="Y296" s="160" t="s">
        <v>1794</v>
      </c>
      <c r="Z296" s="160" t="s">
        <v>1796</v>
      </c>
      <c r="AA296" s="160" t="s">
        <v>1794</v>
      </c>
      <c r="AB296" s="156"/>
      <c r="AC296" s="165" t="s">
        <v>1897</v>
      </c>
    </row>
    <row r="297" spans="1:29">
      <c r="A297" s="260"/>
      <c r="B297" t="s">
        <v>1811</v>
      </c>
      <c r="C297" t="s">
        <v>40</v>
      </c>
      <c r="D297" s="141">
        <v>0.48499999999999999</v>
      </c>
      <c r="E297" s="141">
        <v>0.51</v>
      </c>
      <c r="F297" s="141">
        <v>0.48</v>
      </c>
      <c r="G297" s="141">
        <v>0.45500000000000002</v>
      </c>
      <c r="H297" s="141">
        <v>0.46</v>
      </c>
      <c r="I297" s="141">
        <v>0.45500000000000002</v>
      </c>
      <c r="J297" s="142">
        <v>0.48</v>
      </c>
      <c r="K297" s="141">
        <v>0.47499999999999998</v>
      </c>
      <c r="L297" s="141">
        <v>0.48</v>
      </c>
      <c r="M297" s="141">
        <v>0.49</v>
      </c>
      <c r="N297" s="141">
        <v>0.46500000000000002</v>
      </c>
      <c r="O297" s="141">
        <v>0.44500000000000001</v>
      </c>
      <c r="P297" s="142">
        <v>0.55500000000000005</v>
      </c>
      <c r="Q297" s="141">
        <v>0.49</v>
      </c>
      <c r="R297" s="141">
        <v>0.495</v>
      </c>
      <c r="S297" s="141">
        <v>0.47499999999999998</v>
      </c>
      <c r="T297" s="141">
        <v>0.45</v>
      </c>
      <c r="U297" s="141">
        <v>0.45500000000000002</v>
      </c>
      <c r="V297" s="142">
        <v>0.48499999999999999</v>
      </c>
      <c r="W297" s="141">
        <v>0.46500000000000002</v>
      </c>
      <c r="X297" s="141">
        <v>0.47499999999999998</v>
      </c>
      <c r="Y297" s="141">
        <v>0.48</v>
      </c>
      <c r="Z297" s="141">
        <v>0.45</v>
      </c>
      <c r="AA297" s="141">
        <v>0.53</v>
      </c>
      <c r="AB297" s="143">
        <f>_xlfn.STDEV.P(D297:AA297)</f>
        <v>2.522726561788962E-2</v>
      </c>
      <c r="AC297" s="143"/>
    </row>
    <row r="298" spans="1:29">
      <c r="A298" s="260"/>
      <c r="C298" t="s">
        <v>220</v>
      </c>
      <c r="D298" s="141">
        <v>0.99</v>
      </c>
      <c r="E298" s="141">
        <v>1.02</v>
      </c>
      <c r="F298" s="141">
        <v>1</v>
      </c>
      <c r="G298" s="141">
        <v>1.0149999999999999</v>
      </c>
      <c r="H298" s="141">
        <v>1.01</v>
      </c>
      <c r="I298" s="141">
        <v>1</v>
      </c>
      <c r="J298" s="142">
        <v>0.99</v>
      </c>
      <c r="K298" s="141">
        <v>0.99</v>
      </c>
      <c r="L298" s="141">
        <v>1.0049999999999999</v>
      </c>
      <c r="M298" s="141">
        <v>0.995</v>
      </c>
      <c r="N298" s="141">
        <v>0.98499999999999999</v>
      </c>
      <c r="O298" s="141">
        <v>0.98499999999999999</v>
      </c>
      <c r="P298" s="142">
        <v>1.03</v>
      </c>
      <c r="Q298" s="141">
        <v>0.995</v>
      </c>
      <c r="R298" s="141">
        <v>1.0149999999999999</v>
      </c>
      <c r="S298" s="141">
        <v>1</v>
      </c>
      <c r="T298" s="141">
        <v>1.03</v>
      </c>
      <c r="U298" s="141">
        <v>1</v>
      </c>
      <c r="V298" s="142">
        <v>0.995</v>
      </c>
      <c r="W298" s="141">
        <v>1.0049999999999999</v>
      </c>
      <c r="X298" s="141">
        <v>0.995</v>
      </c>
      <c r="Y298" s="141">
        <v>1.0349999999999999</v>
      </c>
      <c r="Z298" s="141">
        <v>1.0049999999999999</v>
      </c>
      <c r="AA298" s="141">
        <v>0.995</v>
      </c>
      <c r="AB298" s="143">
        <f>_xlfn.STDEV.P(D298:AA298)</f>
        <v>1.388037933759576E-2</v>
      </c>
      <c r="AC298" s="143"/>
    </row>
    <row r="299" spans="1:29">
      <c r="A299" s="260"/>
      <c r="C299" t="s">
        <v>221</v>
      </c>
      <c r="D299" s="144">
        <v>0.54</v>
      </c>
      <c r="E299" s="144">
        <v>0.52</v>
      </c>
      <c r="F299" s="144">
        <v>0.55500000000000005</v>
      </c>
      <c r="G299" s="144">
        <v>0.505</v>
      </c>
      <c r="H299" s="144">
        <v>0.52</v>
      </c>
      <c r="I299" s="141">
        <v>0.54</v>
      </c>
      <c r="J299" s="145">
        <v>0.54500000000000004</v>
      </c>
      <c r="K299" s="144">
        <v>0.56999999999999995</v>
      </c>
      <c r="L299" s="144">
        <v>0.54500000000000004</v>
      </c>
      <c r="M299" s="144">
        <v>0.54500000000000004</v>
      </c>
      <c r="N299" s="144">
        <v>0.57499999999999996</v>
      </c>
      <c r="O299" s="141">
        <v>0.59499999999999997</v>
      </c>
      <c r="P299" s="145">
        <v>0.505</v>
      </c>
      <c r="Q299" s="144">
        <v>0.57499999999999996</v>
      </c>
      <c r="R299" s="144">
        <v>0.56499999999999995</v>
      </c>
      <c r="S299" s="144">
        <v>0.5</v>
      </c>
      <c r="T299" s="144">
        <v>0.55500000000000005</v>
      </c>
      <c r="U299" s="141">
        <v>0.57499999999999996</v>
      </c>
      <c r="V299" s="145">
        <v>0.52</v>
      </c>
      <c r="W299" s="144">
        <v>0.51500000000000001</v>
      </c>
      <c r="X299" s="144">
        <v>0.52</v>
      </c>
      <c r="Y299" s="144">
        <v>0.51</v>
      </c>
      <c r="Z299" s="144">
        <v>0.54500000000000004</v>
      </c>
      <c r="AA299" s="144">
        <v>0.52</v>
      </c>
      <c r="AB299" s="143">
        <f>_xlfn.STDEV.P(D299:AA299)</f>
        <v>2.6100766272276359E-2</v>
      </c>
      <c r="AC299" s="146"/>
    </row>
    <row r="300" spans="1:29">
      <c r="A300" s="260"/>
      <c r="B300" s="147" t="s">
        <v>1812</v>
      </c>
      <c r="D300" s="148" t="s">
        <v>1794</v>
      </c>
      <c r="E300" s="148" t="s">
        <v>1794</v>
      </c>
      <c r="F300" s="148" t="s">
        <v>1794</v>
      </c>
      <c r="G300" s="148" t="s">
        <v>1794</v>
      </c>
      <c r="H300" s="148" t="s">
        <v>1794</v>
      </c>
      <c r="I300" s="149" t="s">
        <v>1794</v>
      </c>
      <c r="J300" s="150" t="s">
        <v>1794</v>
      </c>
      <c r="K300" s="148" t="s">
        <v>1794</v>
      </c>
      <c r="L300" s="148" t="s">
        <v>1794</v>
      </c>
      <c r="M300" s="148" t="s">
        <v>1794</v>
      </c>
      <c r="N300" s="148" t="s">
        <v>1794</v>
      </c>
      <c r="O300" s="149" t="s">
        <v>1794</v>
      </c>
      <c r="P300" s="150" t="s">
        <v>1794</v>
      </c>
      <c r="Q300" s="148" t="s">
        <v>1794</v>
      </c>
      <c r="R300" s="148" t="s">
        <v>1794</v>
      </c>
      <c r="S300" s="148" t="s">
        <v>1794</v>
      </c>
      <c r="T300" s="148" t="s">
        <v>1794</v>
      </c>
      <c r="U300" s="149" t="s">
        <v>1794</v>
      </c>
      <c r="V300" s="150" t="s">
        <v>1794</v>
      </c>
      <c r="W300" s="148" t="s">
        <v>1794</v>
      </c>
      <c r="X300" s="148" t="s">
        <v>1794</v>
      </c>
      <c r="Y300" s="148" t="s">
        <v>1794</v>
      </c>
      <c r="Z300" s="148" t="s">
        <v>1794</v>
      </c>
      <c r="AA300" s="148" t="s">
        <v>1794</v>
      </c>
      <c r="AB300" s="143"/>
      <c r="AC300" s="151" t="s">
        <v>1800</v>
      </c>
    </row>
    <row r="301" spans="1:29">
      <c r="A301" s="260"/>
      <c r="B301" t="s">
        <v>1813</v>
      </c>
      <c r="C301" t="s">
        <v>40</v>
      </c>
      <c r="D301" s="141">
        <v>0.435</v>
      </c>
      <c r="E301" s="141">
        <v>0.42</v>
      </c>
      <c r="F301" s="141">
        <v>0.42499999999999999</v>
      </c>
      <c r="G301" s="141">
        <v>0.42</v>
      </c>
      <c r="H301" s="141">
        <v>0.41499999999999998</v>
      </c>
      <c r="I301" s="141">
        <v>0.45500000000000002</v>
      </c>
      <c r="J301" s="142">
        <v>0.43</v>
      </c>
      <c r="K301" s="141">
        <v>0.43</v>
      </c>
      <c r="L301" s="141">
        <v>0.42499999999999999</v>
      </c>
      <c r="M301" s="141">
        <v>0.42</v>
      </c>
      <c r="N301" s="141">
        <v>0.42499999999999999</v>
      </c>
      <c r="O301" s="141">
        <v>0.42</v>
      </c>
      <c r="P301" s="142">
        <v>0.44</v>
      </c>
      <c r="Q301" s="141">
        <v>0.44</v>
      </c>
      <c r="R301" s="141">
        <v>0.42499999999999999</v>
      </c>
      <c r="S301" s="141">
        <v>0.42499999999999999</v>
      </c>
      <c r="T301" s="141">
        <v>0.41499999999999998</v>
      </c>
      <c r="U301" s="141">
        <v>0.42499999999999999</v>
      </c>
      <c r="V301" s="142">
        <v>0.43</v>
      </c>
      <c r="W301" s="141">
        <v>0.39500000000000002</v>
      </c>
      <c r="X301" s="141">
        <v>0.42</v>
      </c>
      <c r="Y301" s="141">
        <v>0.435</v>
      </c>
      <c r="Z301" s="141">
        <v>0.42</v>
      </c>
      <c r="AA301" s="141">
        <v>0.42</v>
      </c>
      <c r="AB301" s="143">
        <f>_xlfn.STDEV.P(D301:AA301)</f>
        <v>1.0984521938720061E-2</v>
      </c>
      <c r="AC301" s="143"/>
    </row>
    <row r="302" spans="1:29">
      <c r="A302" s="260"/>
      <c r="C302" t="s">
        <v>220</v>
      </c>
      <c r="D302" s="141">
        <v>0.995</v>
      </c>
      <c r="E302" s="141">
        <v>0.995</v>
      </c>
      <c r="F302" s="141">
        <v>0.99</v>
      </c>
      <c r="G302" s="141">
        <v>0.99</v>
      </c>
      <c r="H302" s="141">
        <v>0.995</v>
      </c>
      <c r="I302" s="141">
        <v>0.995</v>
      </c>
      <c r="J302" s="142">
        <v>0.995</v>
      </c>
      <c r="K302" s="141">
        <v>0.99</v>
      </c>
      <c r="L302" s="141">
        <v>0.995</v>
      </c>
      <c r="M302" s="141">
        <v>0.99</v>
      </c>
      <c r="N302" s="141">
        <v>0.995</v>
      </c>
      <c r="O302" s="141">
        <v>0.995</v>
      </c>
      <c r="P302" s="142">
        <v>0.99</v>
      </c>
      <c r="Q302" s="141">
        <v>0.995</v>
      </c>
      <c r="R302" s="141">
        <v>0.995</v>
      </c>
      <c r="S302" s="141">
        <v>0.995</v>
      </c>
      <c r="T302" s="141">
        <v>0.99</v>
      </c>
      <c r="U302" s="141">
        <v>0.995</v>
      </c>
      <c r="V302" s="142">
        <v>0.99</v>
      </c>
      <c r="W302" s="141">
        <v>0.99</v>
      </c>
      <c r="X302" s="141">
        <v>0.995</v>
      </c>
      <c r="Y302" s="141">
        <v>0.995</v>
      </c>
      <c r="Z302" s="141">
        <v>0.995</v>
      </c>
      <c r="AA302" s="141">
        <v>0.99</v>
      </c>
      <c r="AB302" s="143">
        <f>_xlfn.STDEV.P(D302:AA302)</f>
        <v>2.4206145913796377E-3</v>
      </c>
      <c r="AC302" s="143"/>
    </row>
    <row r="303" spans="1:29">
      <c r="A303" s="260"/>
      <c r="C303" t="s">
        <v>221</v>
      </c>
      <c r="D303" s="144">
        <v>0.52</v>
      </c>
      <c r="E303" s="144">
        <v>0.53</v>
      </c>
      <c r="F303" s="144">
        <v>0.52500000000000002</v>
      </c>
      <c r="G303" s="144">
        <v>0.53500000000000003</v>
      </c>
      <c r="H303" s="144">
        <v>0.54</v>
      </c>
      <c r="I303" s="141">
        <v>0.53500000000000003</v>
      </c>
      <c r="J303" s="145">
        <v>0.54500000000000004</v>
      </c>
      <c r="K303" s="144">
        <v>0.54</v>
      </c>
      <c r="L303" s="144">
        <v>0.54</v>
      </c>
      <c r="M303" s="144">
        <v>0.54</v>
      </c>
      <c r="N303" s="144">
        <v>0.54</v>
      </c>
      <c r="O303" s="141">
        <v>0.54500000000000004</v>
      </c>
      <c r="P303" s="145">
        <v>0.54</v>
      </c>
      <c r="Q303" s="144">
        <v>0.53</v>
      </c>
      <c r="R303" s="144">
        <v>0.53500000000000003</v>
      </c>
      <c r="S303" s="144">
        <v>0.53500000000000003</v>
      </c>
      <c r="T303" s="144">
        <v>0.54500000000000004</v>
      </c>
      <c r="U303" s="141">
        <v>0.55500000000000005</v>
      </c>
      <c r="V303" s="145">
        <v>0.54</v>
      </c>
      <c r="W303" s="144">
        <v>0.56499999999999995</v>
      </c>
      <c r="X303" s="144">
        <v>0.52500000000000002</v>
      </c>
      <c r="Y303" s="144">
        <v>0.54500000000000004</v>
      </c>
      <c r="Z303" s="144">
        <v>0.54500000000000004</v>
      </c>
      <c r="AA303" s="144">
        <v>0.53500000000000003</v>
      </c>
      <c r="AB303" s="143">
        <f>_xlfn.STDEV.P(D303:AA303)</f>
        <v>9.3819418743314141E-3</v>
      </c>
      <c r="AC303" s="146"/>
    </row>
    <row r="304" spans="1:29">
      <c r="A304" s="260"/>
      <c r="B304" s="147" t="s">
        <v>1814</v>
      </c>
      <c r="D304" s="148" t="s">
        <v>1794</v>
      </c>
      <c r="E304" s="148" t="s">
        <v>1794</v>
      </c>
      <c r="F304" s="148" t="s">
        <v>1794</v>
      </c>
      <c r="G304" s="148" t="s">
        <v>1794</v>
      </c>
      <c r="H304" s="148" t="s">
        <v>1794</v>
      </c>
      <c r="I304" s="149" t="s">
        <v>1794</v>
      </c>
      <c r="J304" s="150" t="s">
        <v>1794</v>
      </c>
      <c r="K304" s="148" t="s">
        <v>1794</v>
      </c>
      <c r="L304" s="148" t="s">
        <v>1794</v>
      </c>
      <c r="M304" s="148" t="s">
        <v>1794</v>
      </c>
      <c r="N304" s="148" t="s">
        <v>1794</v>
      </c>
      <c r="O304" s="149" t="s">
        <v>1794</v>
      </c>
      <c r="P304" s="150" t="s">
        <v>1794</v>
      </c>
      <c r="Q304" s="148" t="s">
        <v>1794</v>
      </c>
      <c r="R304" s="148" t="s">
        <v>1794</v>
      </c>
      <c r="S304" s="148" t="s">
        <v>1794</v>
      </c>
      <c r="T304" s="148" t="s">
        <v>1794</v>
      </c>
      <c r="U304" s="149" t="s">
        <v>1794</v>
      </c>
      <c r="V304" s="150" t="s">
        <v>1794</v>
      </c>
      <c r="W304" s="148" t="s">
        <v>1794</v>
      </c>
      <c r="X304" s="148" t="s">
        <v>1794</v>
      </c>
      <c r="Y304" s="148" t="s">
        <v>1794</v>
      </c>
      <c r="Z304" s="148" t="s">
        <v>1794</v>
      </c>
      <c r="AA304" s="148" t="s">
        <v>1794</v>
      </c>
      <c r="AB304" s="143"/>
      <c r="AC304" s="151" t="s">
        <v>1800</v>
      </c>
    </row>
    <row r="305" spans="1:29">
      <c r="A305" s="260"/>
      <c r="B305" t="s">
        <v>1815</v>
      </c>
      <c r="C305" t="s">
        <v>40</v>
      </c>
      <c r="D305" s="141">
        <v>0.46</v>
      </c>
      <c r="E305" s="141">
        <v>0.47499999999999998</v>
      </c>
      <c r="F305" s="141">
        <v>0.47</v>
      </c>
      <c r="G305" s="141">
        <v>0.45</v>
      </c>
      <c r="H305" s="141">
        <v>0.47499999999999998</v>
      </c>
      <c r="I305" s="141">
        <v>0.53</v>
      </c>
      <c r="J305" s="142">
        <v>0.46500000000000002</v>
      </c>
      <c r="K305" s="141">
        <v>0.495</v>
      </c>
      <c r="L305" s="141">
        <v>0.51</v>
      </c>
      <c r="M305" s="141">
        <v>0.48499999999999999</v>
      </c>
      <c r="N305" s="141">
        <v>0.505</v>
      </c>
      <c r="O305" s="141">
        <v>0.52</v>
      </c>
      <c r="P305" s="142">
        <v>0.51500000000000001</v>
      </c>
      <c r="Q305" s="141">
        <v>0.5</v>
      </c>
      <c r="R305" s="141">
        <v>0.48499999999999999</v>
      </c>
      <c r="S305" s="141">
        <v>0.5</v>
      </c>
      <c r="T305" s="141">
        <v>0.505</v>
      </c>
      <c r="U305" s="141">
        <v>0.505</v>
      </c>
      <c r="V305" s="142">
        <v>0.51500000000000001</v>
      </c>
      <c r="W305" s="141">
        <v>0.48499999999999999</v>
      </c>
      <c r="X305" s="141">
        <v>0.49</v>
      </c>
      <c r="Y305" s="141">
        <v>0.48</v>
      </c>
      <c r="Z305" s="141">
        <v>0.48499999999999999</v>
      </c>
      <c r="AA305" s="141">
        <v>0.49</v>
      </c>
      <c r="AB305" s="143">
        <f>_xlfn.STDEV.P(D305:AA305)</f>
        <v>1.955117039690691E-2</v>
      </c>
      <c r="AC305" s="143"/>
    </row>
    <row r="306" spans="1:29">
      <c r="A306" s="260"/>
      <c r="C306" t="s">
        <v>220</v>
      </c>
      <c r="D306" s="141">
        <v>1</v>
      </c>
      <c r="E306" s="141">
        <v>1</v>
      </c>
      <c r="F306" s="141">
        <v>1</v>
      </c>
      <c r="G306" s="141">
        <v>0.995</v>
      </c>
      <c r="H306" s="141">
        <v>1</v>
      </c>
      <c r="I306" s="141">
        <v>1.02</v>
      </c>
      <c r="J306" s="142">
        <v>0.995</v>
      </c>
      <c r="K306" s="141">
        <v>0.995</v>
      </c>
      <c r="L306" s="141">
        <v>1</v>
      </c>
      <c r="M306" s="141">
        <v>1</v>
      </c>
      <c r="N306" s="141">
        <v>1</v>
      </c>
      <c r="O306" s="141">
        <v>1</v>
      </c>
      <c r="P306" s="142">
        <v>1.0049999999999999</v>
      </c>
      <c r="Q306" s="141">
        <v>1.0049999999999999</v>
      </c>
      <c r="R306" s="141">
        <v>1.01</v>
      </c>
      <c r="S306" s="141">
        <v>1</v>
      </c>
      <c r="T306" s="141">
        <v>1</v>
      </c>
      <c r="U306" s="141">
        <v>0.995</v>
      </c>
      <c r="V306" s="142">
        <v>1.0049999999999999</v>
      </c>
      <c r="W306" s="141">
        <v>1.01</v>
      </c>
      <c r="X306" s="141">
        <v>1.0049999999999999</v>
      </c>
      <c r="Y306" s="141">
        <v>0.995</v>
      </c>
      <c r="Z306" s="141">
        <v>0.995</v>
      </c>
      <c r="AA306" s="141">
        <v>1.0049999999999999</v>
      </c>
      <c r="AB306" s="143">
        <f>_xlfn.STDEV.P(D306:AA306)</f>
        <v>5.8593171293438396E-3</v>
      </c>
      <c r="AC306" s="143"/>
    </row>
    <row r="307" spans="1:29">
      <c r="A307" s="260"/>
      <c r="C307" t="s">
        <v>221</v>
      </c>
      <c r="D307" s="144">
        <v>0.54</v>
      </c>
      <c r="E307" s="144">
        <v>0.55000000000000004</v>
      </c>
      <c r="F307" s="144">
        <v>0.54500000000000004</v>
      </c>
      <c r="G307" s="144">
        <v>0.56000000000000005</v>
      </c>
      <c r="H307" s="144">
        <v>0.53500000000000003</v>
      </c>
      <c r="I307" s="141">
        <v>0.57999999999999996</v>
      </c>
      <c r="J307" s="145">
        <v>0.54</v>
      </c>
      <c r="K307" s="144">
        <v>0.505</v>
      </c>
      <c r="L307" s="144">
        <v>0.53500000000000003</v>
      </c>
      <c r="M307" s="144">
        <v>0.505</v>
      </c>
      <c r="N307" s="144">
        <v>0.51500000000000001</v>
      </c>
      <c r="O307" s="141">
        <v>0.52500000000000002</v>
      </c>
      <c r="P307" s="145">
        <v>0.53500000000000003</v>
      </c>
      <c r="Q307" s="144">
        <v>0.505</v>
      </c>
      <c r="R307" s="144">
        <v>0.51</v>
      </c>
      <c r="S307" s="144">
        <v>0.53</v>
      </c>
      <c r="T307" s="144">
        <v>0.55000000000000004</v>
      </c>
      <c r="U307" s="141">
        <v>0.56000000000000005</v>
      </c>
      <c r="V307" s="145">
        <v>0.5</v>
      </c>
      <c r="W307" s="144">
        <v>0.53500000000000003</v>
      </c>
      <c r="X307" s="144">
        <v>0.51</v>
      </c>
      <c r="Y307" s="144">
        <v>0.5</v>
      </c>
      <c r="Z307" s="144">
        <v>0.52500000000000002</v>
      </c>
      <c r="AA307" s="144">
        <v>0.53500000000000003</v>
      </c>
      <c r="AB307" s="143">
        <f>_xlfn.STDEV.P(D307:AA307)</f>
        <v>2.0812489572903638E-2</v>
      </c>
      <c r="AC307" s="146"/>
    </row>
    <row r="308" spans="1:29">
      <c r="A308" s="260"/>
      <c r="B308" s="147" t="s">
        <v>1816</v>
      </c>
      <c r="D308" s="148" t="s">
        <v>1794</v>
      </c>
      <c r="E308" s="148" t="s">
        <v>1796</v>
      </c>
      <c r="F308" s="148" t="s">
        <v>1796</v>
      </c>
      <c r="G308" s="148" t="s">
        <v>1796</v>
      </c>
      <c r="H308" s="148" t="s">
        <v>1796</v>
      </c>
      <c r="I308" s="149" t="s">
        <v>1794</v>
      </c>
      <c r="J308" s="150" t="s">
        <v>1794</v>
      </c>
      <c r="K308" s="148" t="s">
        <v>1794</v>
      </c>
      <c r="L308" s="148" t="s">
        <v>1794</v>
      </c>
      <c r="M308" s="148" t="s">
        <v>1794</v>
      </c>
      <c r="N308" s="148" t="s">
        <v>1794</v>
      </c>
      <c r="O308" s="149" t="s">
        <v>1794</v>
      </c>
      <c r="P308" s="150" t="s">
        <v>1794</v>
      </c>
      <c r="Q308" s="148" t="s">
        <v>1796</v>
      </c>
      <c r="R308" s="148" t="s">
        <v>1794</v>
      </c>
      <c r="S308" s="148" t="s">
        <v>1794</v>
      </c>
      <c r="T308" s="148" t="s">
        <v>1794</v>
      </c>
      <c r="U308" s="149" t="s">
        <v>1794</v>
      </c>
      <c r="V308" s="150" t="s">
        <v>1794</v>
      </c>
      <c r="W308" s="148" t="s">
        <v>1794</v>
      </c>
      <c r="X308" s="148" t="s">
        <v>1794</v>
      </c>
      <c r="Y308" s="148" t="s">
        <v>1794</v>
      </c>
      <c r="Z308" s="148" t="s">
        <v>1794</v>
      </c>
      <c r="AA308" s="148" t="s">
        <v>1794</v>
      </c>
      <c r="AB308" s="143"/>
      <c r="AC308" s="151" t="s">
        <v>1898</v>
      </c>
    </row>
    <row r="309" spans="1:29">
      <c r="A309" s="260"/>
      <c r="B309" t="s">
        <v>1899</v>
      </c>
      <c r="C309" t="s">
        <v>40</v>
      </c>
      <c r="D309" s="141">
        <v>0.47</v>
      </c>
      <c r="E309" s="141">
        <v>0.495</v>
      </c>
      <c r="F309" s="141">
        <v>0.47</v>
      </c>
      <c r="G309" s="141">
        <v>0.47499999999999998</v>
      </c>
      <c r="H309" s="141">
        <v>0.48499999999999999</v>
      </c>
      <c r="I309" s="141">
        <v>0.46</v>
      </c>
      <c r="J309" s="142">
        <v>0.495</v>
      </c>
      <c r="K309" s="141">
        <v>0.47</v>
      </c>
      <c r="L309" s="141">
        <v>0.47</v>
      </c>
      <c r="M309" s="141">
        <v>0.53</v>
      </c>
      <c r="N309" s="141">
        <v>0.47</v>
      </c>
      <c r="O309" s="141">
        <v>0.43</v>
      </c>
      <c r="P309" s="142">
        <v>0.45</v>
      </c>
      <c r="Q309" s="141">
        <v>0.48</v>
      </c>
      <c r="R309" s="141">
        <v>0.46500000000000002</v>
      </c>
      <c r="S309" s="141">
        <v>0.46</v>
      </c>
      <c r="T309" s="141">
        <v>0.45500000000000002</v>
      </c>
      <c r="U309" s="141">
        <v>0.47499999999999998</v>
      </c>
      <c r="V309" s="142">
        <v>0.46</v>
      </c>
      <c r="W309" s="141">
        <v>0.47499999999999998</v>
      </c>
      <c r="X309" s="141">
        <v>0.53</v>
      </c>
      <c r="Y309" s="141">
        <v>0.45500000000000002</v>
      </c>
      <c r="Z309" s="141">
        <v>0.47499999999999998</v>
      </c>
      <c r="AA309" s="141">
        <v>0.505</v>
      </c>
      <c r="AB309" s="143">
        <f>_xlfn.STDEV.P(D309:AA309)</f>
        <v>2.2568376043087868E-2</v>
      </c>
      <c r="AC309" s="143"/>
    </row>
    <row r="310" spans="1:29">
      <c r="A310" s="260"/>
      <c r="C310" t="s">
        <v>220</v>
      </c>
      <c r="D310" s="141">
        <v>1</v>
      </c>
      <c r="E310" s="141">
        <v>0.98499999999999999</v>
      </c>
      <c r="F310" s="141">
        <v>1.0149999999999999</v>
      </c>
      <c r="G310" s="141">
        <v>1.01</v>
      </c>
      <c r="H310" s="141">
        <v>0.99</v>
      </c>
      <c r="I310" s="141">
        <v>0.995</v>
      </c>
      <c r="J310" s="142">
        <v>0.99</v>
      </c>
      <c r="K310" s="141">
        <v>1</v>
      </c>
      <c r="L310" s="141">
        <v>0.995</v>
      </c>
      <c r="M310" s="141">
        <v>1.0149999999999999</v>
      </c>
      <c r="N310" s="141">
        <v>0.995</v>
      </c>
      <c r="O310" s="141">
        <v>0.995</v>
      </c>
      <c r="P310" s="142">
        <v>1</v>
      </c>
      <c r="Q310" s="141">
        <v>1.01</v>
      </c>
      <c r="R310" s="141">
        <v>0.995</v>
      </c>
      <c r="S310" s="141">
        <v>1</v>
      </c>
      <c r="T310" s="141">
        <v>0.995</v>
      </c>
      <c r="U310" s="141">
        <v>1.04</v>
      </c>
      <c r="V310" s="142">
        <v>1.02</v>
      </c>
      <c r="W310" s="141">
        <v>1</v>
      </c>
      <c r="X310" s="141">
        <v>1.01</v>
      </c>
      <c r="Y310" s="141">
        <v>0.99</v>
      </c>
      <c r="Z310" s="141">
        <v>0.995</v>
      </c>
      <c r="AA310" s="141">
        <v>0.995</v>
      </c>
      <c r="AB310" s="143">
        <f>_xlfn.STDEV.P(D310:AA310)</f>
        <v>1.1944242569353468E-2</v>
      </c>
      <c r="AC310" s="143"/>
    </row>
    <row r="311" spans="1:29">
      <c r="A311" s="260"/>
      <c r="C311" t="s">
        <v>221</v>
      </c>
      <c r="D311" s="144">
        <v>0.55000000000000004</v>
      </c>
      <c r="E311" s="144">
        <v>0.54</v>
      </c>
      <c r="F311" s="144">
        <v>0.55500000000000005</v>
      </c>
      <c r="G311" s="144">
        <v>0.54</v>
      </c>
      <c r="H311" s="144">
        <v>0.53500000000000003</v>
      </c>
      <c r="I311" s="141">
        <v>0.54</v>
      </c>
      <c r="J311" s="145">
        <v>0.53</v>
      </c>
      <c r="K311" s="144">
        <v>0.53</v>
      </c>
      <c r="L311" s="144">
        <v>0.53500000000000003</v>
      </c>
      <c r="M311" s="144">
        <v>0.505</v>
      </c>
      <c r="N311" s="144">
        <v>0.52500000000000002</v>
      </c>
      <c r="O311" s="141">
        <v>0.54500000000000004</v>
      </c>
      <c r="P311" s="145">
        <v>0.5</v>
      </c>
      <c r="Q311" s="144">
        <v>0.52500000000000002</v>
      </c>
      <c r="R311" s="144">
        <v>0.53</v>
      </c>
      <c r="S311" s="144">
        <v>0.55000000000000004</v>
      </c>
      <c r="T311" s="144">
        <v>0.53</v>
      </c>
      <c r="U311" s="141">
        <v>0.53500000000000003</v>
      </c>
      <c r="V311" s="145">
        <v>0.53</v>
      </c>
      <c r="W311" s="144">
        <v>0.52500000000000002</v>
      </c>
      <c r="X311" s="144">
        <v>0.55000000000000004</v>
      </c>
      <c r="Y311" s="144">
        <v>0.55500000000000005</v>
      </c>
      <c r="Z311" s="144">
        <v>0.53500000000000003</v>
      </c>
      <c r="AA311" s="144">
        <v>0.53</v>
      </c>
      <c r="AB311" s="143">
        <f>_xlfn.STDEV.P(D311:AA311)</f>
        <v>1.3253340773807448E-2</v>
      </c>
      <c r="AC311" s="146"/>
    </row>
    <row r="312" spans="1:29">
      <c r="A312" s="260"/>
      <c r="B312" s="147" t="s">
        <v>1900</v>
      </c>
      <c r="D312" s="148" t="s">
        <v>1794</v>
      </c>
      <c r="E312" s="148" t="s">
        <v>1794</v>
      </c>
      <c r="F312" s="148" t="s">
        <v>1794</v>
      </c>
      <c r="G312" s="148" t="s">
        <v>1794</v>
      </c>
      <c r="H312" s="148" t="s">
        <v>1794</v>
      </c>
      <c r="I312" s="149" t="s">
        <v>1794</v>
      </c>
      <c r="J312" s="150" t="s">
        <v>1794</v>
      </c>
      <c r="K312" s="148" t="s">
        <v>1794</v>
      </c>
      <c r="L312" s="148" t="s">
        <v>1796</v>
      </c>
      <c r="M312" s="148" t="s">
        <v>1794</v>
      </c>
      <c r="N312" s="148" t="s">
        <v>1794</v>
      </c>
      <c r="O312" s="149" t="s">
        <v>1794</v>
      </c>
      <c r="P312" s="150" t="s">
        <v>1794</v>
      </c>
      <c r="Q312" s="148" t="s">
        <v>1794</v>
      </c>
      <c r="R312" s="148" t="s">
        <v>1794</v>
      </c>
      <c r="S312" s="148" t="s">
        <v>1794</v>
      </c>
      <c r="T312" s="148" t="s">
        <v>1796</v>
      </c>
      <c r="U312" s="149" t="s">
        <v>1794</v>
      </c>
      <c r="V312" s="150" t="s">
        <v>1794</v>
      </c>
      <c r="W312" s="148" t="s">
        <v>1794</v>
      </c>
      <c r="X312" s="148" t="s">
        <v>1794</v>
      </c>
      <c r="Y312" s="148" t="s">
        <v>1794</v>
      </c>
      <c r="Z312" s="148" t="s">
        <v>1794</v>
      </c>
      <c r="AA312" s="148" t="s">
        <v>1794</v>
      </c>
      <c r="AB312" s="143"/>
      <c r="AC312" s="151" t="s">
        <v>1901</v>
      </c>
    </row>
    <row r="313" spans="1:29">
      <c r="A313" s="260"/>
      <c r="B313" t="s">
        <v>1835</v>
      </c>
      <c r="C313" t="s">
        <v>40</v>
      </c>
      <c r="D313" s="141">
        <v>0.495</v>
      </c>
      <c r="E313" s="141">
        <v>0.53</v>
      </c>
      <c r="F313" s="141">
        <v>0.47</v>
      </c>
      <c r="G313" s="141">
        <v>0.48</v>
      </c>
      <c r="H313" s="141">
        <v>0.46500000000000002</v>
      </c>
      <c r="I313" s="141">
        <v>0.47</v>
      </c>
      <c r="J313" s="142">
        <v>0.47</v>
      </c>
      <c r="K313" s="141">
        <v>0.45500000000000002</v>
      </c>
      <c r="L313" s="141">
        <v>0.44</v>
      </c>
      <c r="M313" s="141">
        <v>0.47499999999999998</v>
      </c>
      <c r="N313" s="141">
        <v>0.48499999999999999</v>
      </c>
      <c r="O313" s="141">
        <v>0.45500000000000002</v>
      </c>
      <c r="P313" s="142">
        <v>0.45500000000000002</v>
      </c>
      <c r="Q313" s="141">
        <v>0.48499999999999999</v>
      </c>
      <c r="R313" s="141">
        <v>0.5</v>
      </c>
      <c r="S313" s="141">
        <v>0.48</v>
      </c>
      <c r="T313" s="141">
        <v>0.47499999999999998</v>
      </c>
      <c r="U313" s="141">
        <v>0.47</v>
      </c>
      <c r="V313" s="142">
        <v>0.48</v>
      </c>
      <c r="W313" s="141">
        <v>0.5</v>
      </c>
      <c r="X313" s="141">
        <v>0.45</v>
      </c>
      <c r="Y313" s="141">
        <v>0.48499999999999999</v>
      </c>
      <c r="Z313" s="141">
        <v>0.46500000000000002</v>
      </c>
      <c r="AA313" s="141">
        <v>0.36499999999999999</v>
      </c>
      <c r="AB313" s="143">
        <f>_xlfn.STDEV.P(D313:AA313)</f>
        <v>2.892759159618297E-2</v>
      </c>
      <c r="AC313" s="143"/>
    </row>
    <row r="314" spans="1:29">
      <c r="A314" s="260"/>
      <c r="C314" t="s">
        <v>220</v>
      </c>
      <c r="D314" s="141">
        <v>0.995</v>
      </c>
      <c r="E314" s="141">
        <v>1</v>
      </c>
      <c r="F314" s="141">
        <v>1.01</v>
      </c>
      <c r="G314" s="141">
        <v>1</v>
      </c>
      <c r="H314" s="141">
        <v>0.995</v>
      </c>
      <c r="I314" s="141">
        <v>1.0049999999999999</v>
      </c>
      <c r="J314" s="142">
        <v>1</v>
      </c>
      <c r="K314" s="141">
        <v>1</v>
      </c>
      <c r="L314" s="141">
        <v>0.98</v>
      </c>
      <c r="M314" s="141">
        <v>1.0049999999999999</v>
      </c>
      <c r="N314" s="141">
        <v>1.0049999999999999</v>
      </c>
      <c r="O314" s="141">
        <v>1.0049999999999999</v>
      </c>
      <c r="P314" s="142">
        <v>0.995</v>
      </c>
      <c r="Q314" s="141">
        <v>1.0049999999999999</v>
      </c>
      <c r="R314" s="141">
        <v>1.0049999999999999</v>
      </c>
      <c r="S314" s="141">
        <v>1</v>
      </c>
      <c r="T314" s="141">
        <v>0.995</v>
      </c>
      <c r="U314" s="141">
        <v>0.98499999999999999</v>
      </c>
      <c r="V314" s="142">
        <v>0.995</v>
      </c>
      <c r="W314" s="141">
        <v>1.0049999999999999</v>
      </c>
      <c r="X314" s="141">
        <v>0.995</v>
      </c>
      <c r="Y314" s="141">
        <v>1.0049999999999999</v>
      </c>
      <c r="Z314" s="141">
        <v>0.96499999999999997</v>
      </c>
      <c r="AA314" s="141">
        <v>1</v>
      </c>
      <c r="AB314" s="143">
        <f>_xlfn.STDEV.P(D314:AA314)</f>
        <v>9.5652002360408096E-3</v>
      </c>
      <c r="AC314" s="143"/>
    </row>
    <row r="315" spans="1:29">
      <c r="A315" s="260"/>
      <c r="C315" t="s">
        <v>221</v>
      </c>
      <c r="D315" s="144">
        <v>0.51</v>
      </c>
      <c r="E315" s="144">
        <v>0.53500000000000003</v>
      </c>
      <c r="F315" s="144">
        <v>0.54</v>
      </c>
      <c r="G315" s="144">
        <v>0.52500000000000002</v>
      </c>
      <c r="H315" s="144">
        <v>0.53500000000000003</v>
      </c>
      <c r="I315" s="141">
        <v>0.54</v>
      </c>
      <c r="J315" s="145">
        <v>0.52500000000000002</v>
      </c>
      <c r="K315" s="144">
        <v>0.51</v>
      </c>
      <c r="L315" s="144">
        <v>0.53</v>
      </c>
      <c r="M315" s="144">
        <v>0.48499999999999999</v>
      </c>
      <c r="N315" s="144">
        <v>0.53500000000000003</v>
      </c>
      <c r="O315" s="141">
        <v>0.51500000000000001</v>
      </c>
      <c r="P315" s="145">
        <v>0.54500000000000004</v>
      </c>
      <c r="Q315" s="144">
        <v>0.51500000000000001</v>
      </c>
      <c r="R315" s="144">
        <v>0.52500000000000002</v>
      </c>
      <c r="S315" s="144">
        <v>0.54500000000000004</v>
      </c>
      <c r="T315" s="144">
        <v>0.52500000000000002</v>
      </c>
      <c r="U315" s="141">
        <v>0.54500000000000004</v>
      </c>
      <c r="V315" s="145">
        <v>0.54500000000000004</v>
      </c>
      <c r="W315" s="144">
        <v>0.52500000000000002</v>
      </c>
      <c r="X315" s="144">
        <v>0.55500000000000005</v>
      </c>
      <c r="Y315" s="144">
        <v>0.49</v>
      </c>
      <c r="Z315" s="144">
        <v>0.62</v>
      </c>
      <c r="AA315" s="144">
        <v>0.49</v>
      </c>
      <c r="AB315" s="143">
        <f>_xlfn.STDEV.P(D315:AA315)</f>
        <v>2.6216910361232294E-2</v>
      </c>
      <c r="AC315" s="146"/>
    </row>
    <row r="316" spans="1:29">
      <c r="A316" s="260"/>
      <c r="B316" s="147" t="s">
        <v>1836</v>
      </c>
      <c r="D316" s="148" t="s">
        <v>1794</v>
      </c>
      <c r="E316" s="148" t="s">
        <v>1794</v>
      </c>
      <c r="F316" s="148" t="s">
        <v>1794</v>
      </c>
      <c r="G316" s="148" t="s">
        <v>1794</v>
      </c>
      <c r="H316" s="148" t="s">
        <v>1794</v>
      </c>
      <c r="I316" s="149" t="s">
        <v>1794</v>
      </c>
      <c r="J316" s="150" t="s">
        <v>1794</v>
      </c>
      <c r="K316" s="148" t="s">
        <v>1796</v>
      </c>
      <c r="L316" s="148" t="s">
        <v>1794</v>
      </c>
      <c r="M316" s="148" t="s">
        <v>1796</v>
      </c>
      <c r="N316" s="148" t="s">
        <v>1794</v>
      </c>
      <c r="O316" s="149" t="s">
        <v>1796</v>
      </c>
      <c r="P316" s="150" t="s">
        <v>1794</v>
      </c>
      <c r="Q316" s="148" t="s">
        <v>1794</v>
      </c>
      <c r="R316" s="148" t="s">
        <v>1796</v>
      </c>
      <c r="S316" s="148" t="s">
        <v>1794</v>
      </c>
      <c r="T316" s="148" t="s">
        <v>1794</v>
      </c>
      <c r="U316" s="149" t="s">
        <v>1794</v>
      </c>
      <c r="V316" s="150" t="s">
        <v>1794</v>
      </c>
      <c r="W316" s="148" t="s">
        <v>1796</v>
      </c>
      <c r="X316" s="148" t="s">
        <v>1794</v>
      </c>
      <c r="Y316" s="148" t="s">
        <v>1794</v>
      </c>
      <c r="Z316" s="148" t="s">
        <v>1794</v>
      </c>
      <c r="AA316" s="148" t="s">
        <v>1794</v>
      </c>
      <c r="AB316" s="143"/>
      <c r="AC316" s="151" t="s">
        <v>1898</v>
      </c>
    </row>
    <row r="317" spans="1:29">
      <c r="A317" s="260"/>
      <c r="B317" t="s">
        <v>1902</v>
      </c>
      <c r="C317" t="s">
        <v>40</v>
      </c>
      <c r="D317" s="141">
        <v>0.435</v>
      </c>
      <c r="E317" s="141">
        <v>0.45500000000000002</v>
      </c>
      <c r="F317" s="141">
        <v>0.47499999999999998</v>
      </c>
      <c r="G317" s="141">
        <v>0.46500000000000002</v>
      </c>
      <c r="H317" s="141">
        <v>0.45500000000000002</v>
      </c>
      <c r="I317" s="141">
        <v>0.45500000000000002</v>
      </c>
      <c r="J317" s="142">
        <v>0.47</v>
      </c>
      <c r="K317" s="141">
        <v>0.51</v>
      </c>
      <c r="L317" s="141">
        <v>0.48</v>
      </c>
      <c r="M317" s="141">
        <v>0.435</v>
      </c>
      <c r="N317" s="141">
        <v>0.44</v>
      </c>
      <c r="O317" s="141">
        <v>0.42</v>
      </c>
      <c r="P317" s="142">
        <v>0.435</v>
      </c>
      <c r="Q317" s="141">
        <v>0.45500000000000002</v>
      </c>
      <c r="R317" s="141">
        <v>0.42499999999999999</v>
      </c>
      <c r="S317" s="141">
        <v>0.45</v>
      </c>
      <c r="T317" s="141">
        <v>0.47499999999999998</v>
      </c>
      <c r="U317" s="141">
        <v>0.46500000000000002</v>
      </c>
      <c r="V317" s="142">
        <v>0.47</v>
      </c>
      <c r="W317" s="141">
        <v>0.44500000000000001</v>
      </c>
      <c r="X317" s="141">
        <v>0.46</v>
      </c>
      <c r="Y317" s="141">
        <v>0.47499999999999998</v>
      </c>
      <c r="Z317" s="141">
        <v>0.435</v>
      </c>
      <c r="AA317" s="141">
        <v>0.45500000000000002</v>
      </c>
      <c r="AB317" s="143">
        <f>_xlfn.STDEV.P(D317:AA317)</f>
        <v>1.9982631347136331E-2</v>
      </c>
      <c r="AC317" s="143"/>
    </row>
    <row r="318" spans="1:29">
      <c r="A318" s="260"/>
      <c r="C318" t="s">
        <v>220</v>
      </c>
      <c r="D318" s="141">
        <v>1</v>
      </c>
      <c r="E318" s="141">
        <v>0.99</v>
      </c>
      <c r="F318" s="141">
        <v>1.01</v>
      </c>
      <c r="G318" s="141">
        <v>1.0149999999999999</v>
      </c>
      <c r="H318" s="141">
        <v>1</v>
      </c>
      <c r="I318" s="141">
        <v>1</v>
      </c>
      <c r="J318" s="142">
        <v>1.0249999999999999</v>
      </c>
      <c r="K318" s="141">
        <v>1.0149999999999999</v>
      </c>
      <c r="L318" s="141">
        <v>0.97</v>
      </c>
      <c r="M318" s="141">
        <v>0.98</v>
      </c>
      <c r="N318" s="141">
        <v>1</v>
      </c>
      <c r="O318" s="141">
        <v>1.0049999999999999</v>
      </c>
      <c r="P318" s="142">
        <v>0.99</v>
      </c>
      <c r="Q318" s="141">
        <v>1.01</v>
      </c>
      <c r="R318" s="141">
        <v>0.99</v>
      </c>
      <c r="S318" s="141">
        <v>1.02</v>
      </c>
      <c r="T318" s="141">
        <v>1.0049999999999999</v>
      </c>
      <c r="U318" s="141">
        <v>0.99</v>
      </c>
      <c r="V318" s="142">
        <v>1.01</v>
      </c>
      <c r="W318" s="141">
        <v>1</v>
      </c>
      <c r="X318" s="141">
        <v>0.995</v>
      </c>
      <c r="Y318" s="141">
        <v>0.99</v>
      </c>
      <c r="Z318" s="141">
        <v>1</v>
      </c>
      <c r="AA318" s="141">
        <v>1</v>
      </c>
      <c r="AB318" s="143">
        <f>_xlfn.STDEV.P(D318:AA318)</f>
        <v>1.2325166214790855E-2</v>
      </c>
      <c r="AC318" s="143"/>
    </row>
    <row r="319" spans="1:29">
      <c r="A319" s="260"/>
      <c r="C319" t="s">
        <v>221</v>
      </c>
      <c r="D319" s="144">
        <v>0.53</v>
      </c>
      <c r="E319" s="144">
        <v>0.5</v>
      </c>
      <c r="F319" s="144">
        <v>0.48</v>
      </c>
      <c r="G319" s="144">
        <v>0.51</v>
      </c>
      <c r="H319" s="144">
        <v>0.505</v>
      </c>
      <c r="I319" s="141">
        <v>0.5</v>
      </c>
      <c r="J319" s="145">
        <v>0.505</v>
      </c>
      <c r="K319" s="144">
        <v>0.53</v>
      </c>
      <c r="L319" s="144">
        <v>0.53</v>
      </c>
      <c r="M319" s="144">
        <v>0.5</v>
      </c>
      <c r="N319" s="144">
        <v>0.51</v>
      </c>
      <c r="O319" s="141">
        <v>0.52</v>
      </c>
      <c r="P319" s="145">
        <v>0.53</v>
      </c>
      <c r="Q319" s="144">
        <v>0.505</v>
      </c>
      <c r="R319" s="144">
        <v>0.48499999999999999</v>
      </c>
      <c r="S319" s="144">
        <v>0.51500000000000001</v>
      </c>
      <c r="T319" s="144">
        <v>0.505</v>
      </c>
      <c r="U319" s="141">
        <v>0.49</v>
      </c>
      <c r="V319" s="145">
        <v>0.51500000000000001</v>
      </c>
      <c r="W319" s="144">
        <v>0.52500000000000002</v>
      </c>
      <c r="X319" s="144">
        <v>0.53</v>
      </c>
      <c r="Y319" s="144">
        <v>0.5</v>
      </c>
      <c r="Z319" s="144">
        <v>0.52</v>
      </c>
      <c r="AA319" s="144">
        <v>0.51</v>
      </c>
      <c r="AB319" s="143">
        <f>_xlfn.STDEV.P(D319:AA319)</f>
        <v>1.4282613750835524E-2</v>
      </c>
      <c r="AC319" s="146"/>
    </row>
    <row r="320" spans="1:29">
      <c r="A320" s="260"/>
      <c r="B320" s="147" t="s">
        <v>1903</v>
      </c>
      <c r="D320" s="148" t="s">
        <v>1794</v>
      </c>
      <c r="E320" s="148" t="s">
        <v>1794</v>
      </c>
      <c r="F320" s="148" t="s">
        <v>1796</v>
      </c>
      <c r="G320" s="148" t="s">
        <v>1794</v>
      </c>
      <c r="H320" s="148" t="s">
        <v>1794</v>
      </c>
      <c r="I320" s="149" t="s">
        <v>1794</v>
      </c>
      <c r="J320" s="150" t="s">
        <v>1796</v>
      </c>
      <c r="K320" s="148" t="s">
        <v>1794</v>
      </c>
      <c r="L320" s="148" t="s">
        <v>1794</v>
      </c>
      <c r="M320" s="148" t="s">
        <v>1794</v>
      </c>
      <c r="N320" s="148" t="s">
        <v>1794</v>
      </c>
      <c r="O320" s="149" t="s">
        <v>1794</v>
      </c>
      <c r="P320" s="150" t="s">
        <v>1794</v>
      </c>
      <c r="Q320" s="148" t="s">
        <v>1794</v>
      </c>
      <c r="R320" s="148" t="s">
        <v>1794</v>
      </c>
      <c r="S320" s="148" t="s">
        <v>1796</v>
      </c>
      <c r="T320" s="148" t="s">
        <v>1794</v>
      </c>
      <c r="U320" s="149" t="s">
        <v>1794</v>
      </c>
      <c r="V320" s="150" t="s">
        <v>1794</v>
      </c>
      <c r="W320" s="148" t="s">
        <v>1794</v>
      </c>
      <c r="X320" s="148" t="s">
        <v>1794</v>
      </c>
      <c r="Y320" s="148" t="s">
        <v>1794</v>
      </c>
      <c r="Z320" s="148" t="s">
        <v>1794</v>
      </c>
      <c r="AA320" s="148" t="s">
        <v>1794</v>
      </c>
      <c r="AB320" s="143"/>
      <c r="AC320" s="151" t="s">
        <v>1904</v>
      </c>
    </row>
    <row r="321" spans="1:29">
      <c r="A321" s="260"/>
      <c r="B321" t="s">
        <v>1837</v>
      </c>
      <c r="C321" t="s">
        <v>40</v>
      </c>
      <c r="D321" s="141">
        <v>0.47</v>
      </c>
      <c r="E321" s="141">
        <v>0.44</v>
      </c>
      <c r="F321" s="141">
        <v>0.46500000000000002</v>
      </c>
      <c r="G321" s="141">
        <v>0.48499999999999999</v>
      </c>
      <c r="H321" s="141">
        <v>0.44500000000000001</v>
      </c>
      <c r="I321" s="141">
        <v>0.46</v>
      </c>
      <c r="J321" s="142">
        <v>0.45500000000000002</v>
      </c>
      <c r="K321" s="141">
        <v>0.46</v>
      </c>
      <c r="L321" s="141">
        <v>0.44500000000000001</v>
      </c>
      <c r="M321" s="141">
        <v>0.46500000000000002</v>
      </c>
      <c r="N321" s="141">
        <v>0.47499999999999998</v>
      </c>
      <c r="O321" s="141">
        <v>0.41499999999999998</v>
      </c>
      <c r="P321" s="142">
        <v>0.435</v>
      </c>
      <c r="Q321" s="141">
        <v>0.47499999999999998</v>
      </c>
      <c r="R321" s="141">
        <v>0.47</v>
      </c>
      <c r="S321" s="141">
        <v>0.42</v>
      </c>
      <c r="T321" s="141">
        <v>0.49</v>
      </c>
      <c r="U321" s="141">
        <v>0.46500000000000002</v>
      </c>
      <c r="V321" s="142">
        <v>0.46</v>
      </c>
      <c r="W321" s="141">
        <v>0.48499999999999999</v>
      </c>
      <c r="X321" s="141">
        <v>0.46500000000000002</v>
      </c>
      <c r="Y321" s="141">
        <v>0.51</v>
      </c>
      <c r="Z321" s="141">
        <v>0.45500000000000002</v>
      </c>
      <c r="AA321" s="141">
        <v>0.45</v>
      </c>
      <c r="AB321" s="143">
        <f>_xlfn.STDEV.P(D321:AA321)</f>
        <v>2.1048884900525148E-2</v>
      </c>
      <c r="AC321" s="143"/>
    </row>
    <row r="322" spans="1:29">
      <c r="A322" s="260"/>
      <c r="C322" t="s">
        <v>220</v>
      </c>
      <c r="D322" s="141">
        <v>0.99</v>
      </c>
      <c r="E322" s="141">
        <v>1.0049999999999999</v>
      </c>
      <c r="F322" s="141">
        <v>1.0049999999999999</v>
      </c>
      <c r="G322" s="141">
        <v>1.01</v>
      </c>
      <c r="H322" s="141">
        <v>1.0049999999999999</v>
      </c>
      <c r="I322" s="141">
        <v>1</v>
      </c>
      <c r="J322" s="142">
        <v>0.995</v>
      </c>
      <c r="K322" s="141">
        <v>1.0049999999999999</v>
      </c>
      <c r="L322" s="141">
        <v>1</v>
      </c>
      <c r="M322" s="141">
        <v>1</v>
      </c>
      <c r="N322" s="141">
        <v>1.01</v>
      </c>
      <c r="O322" s="141">
        <v>1.0149999999999999</v>
      </c>
      <c r="P322" s="142">
        <v>0.99</v>
      </c>
      <c r="Q322" s="141">
        <v>1.0049999999999999</v>
      </c>
      <c r="R322" s="141">
        <v>1.0049999999999999</v>
      </c>
      <c r="S322" s="141">
        <v>0.995</v>
      </c>
      <c r="T322" s="141">
        <v>0.995</v>
      </c>
      <c r="U322" s="141">
        <v>1.01</v>
      </c>
      <c r="V322" s="142">
        <v>0.995</v>
      </c>
      <c r="W322" s="141">
        <v>0.995</v>
      </c>
      <c r="X322" s="141">
        <v>0.995</v>
      </c>
      <c r="Y322" s="141">
        <v>1.03</v>
      </c>
      <c r="Z322" s="141">
        <v>0.995</v>
      </c>
      <c r="AA322" s="141">
        <v>1.01</v>
      </c>
      <c r="AB322" s="143">
        <f>_xlfn.STDEV.P(D322:AA322)</f>
        <v>8.8975652100260864E-3</v>
      </c>
      <c r="AC322" s="143"/>
    </row>
    <row r="323" spans="1:29">
      <c r="A323" s="260"/>
      <c r="C323" t="s">
        <v>221</v>
      </c>
      <c r="D323" s="144">
        <v>0.435</v>
      </c>
      <c r="E323" s="144">
        <v>0.49</v>
      </c>
      <c r="F323" s="144">
        <v>0.505</v>
      </c>
      <c r="G323" s="144">
        <v>0.5</v>
      </c>
      <c r="H323" s="144">
        <v>0.47</v>
      </c>
      <c r="I323" s="141">
        <v>0.49</v>
      </c>
      <c r="J323" s="145">
        <v>0.48499999999999999</v>
      </c>
      <c r="K323" s="144">
        <v>0.51500000000000001</v>
      </c>
      <c r="L323" s="144">
        <v>0.49</v>
      </c>
      <c r="M323" s="144">
        <v>0.52500000000000002</v>
      </c>
      <c r="N323" s="144">
        <v>0.48499999999999999</v>
      </c>
      <c r="O323" s="141">
        <v>0.52</v>
      </c>
      <c r="P323" s="145">
        <v>0.54</v>
      </c>
      <c r="Q323" s="144">
        <v>0.52500000000000002</v>
      </c>
      <c r="R323" s="144">
        <v>0.56000000000000005</v>
      </c>
      <c r="S323" s="144">
        <v>0.55500000000000005</v>
      </c>
      <c r="T323" s="144">
        <v>0.55500000000000005</v>
      </c>
      <c r="U323" s="141">
        <v>0.53</v>
      </c>
      <c r="V323" s="145">
        <v>0.5</v>
      </c>
      <c r="W323" s="144">
        <v>0.495</v>
      </c>
      <c r="X323" s="144">
        <v>0.505</v>
      </c>
      <c r="Y323" s="144">
        <v>0.53</v>
      </c>
      <c r="Z323" s="144">
        <v>0.505</v>
      </c>
      <c r="AA323" s="144">
        <v>0.52</v>
      </c>
      <c r="AB323" s="143">
        <f>_xlfn.STDEV.P(D323:AA323)</f>
        <v>2.8207440901688037E-2</v>
      </c>
      <c r="AC323" s="146"/>
    </row>
    <row r="324" spans="1:29">
      <c r="A324" s="260"/>
      <c r="B324" s="147" t="s">
        <v>1838</v>
      </c>
      <c r="D324" s="148" t="s">
        <v>1794</v>
      </c>
      <c r="E324" s="148" t="s">
        <v>1796</v>
      </c>
      <c r="F324" s="148" t="s">
        <v>1796</v>
      </c>
      <c r="G324" s="148" t="s">
        <v>1794</v>
      </c>
      <c r="H324" s="148" t="s">
        <v>1794</v>
      </c>
      <c r="I324" s="149" t="s">
        <v>1794</v>
      </c>
      <c r="J324" s="150" t="s">
        <v>1794</v>
      </c>
      <c r="K324" s="148" t="s">
        <v>1794</v>
      </c>
      <c r="L324" s="148" t="s">
        <v>1794</v>
      </c>
      <c r="M324" s="148" t="s">
        <v>1794</v>
      </c>
      <c r="N324" s="148" t="s">
        <v>1796</v>
      </c>
      <c r="O324" s="149" t="s">
        <v>1794</v>
      </c>
      <c r="P324" s="150" t="s">
        <v>1794</v>
      </c>
      <c r="Q324" s="148" t="s">
        <v>1794</v>
      </c>
      <c r="R324" s="148" t="s">
        <v>1794</v>
      </c>
      <c r="S324" s="148" t="s">
        <v>1794</v>
      </c>
      <c r="T324" s="148" t="s">
        <v>1794</v>
      </c>
      <c r="U324" s="149" t="s">
        <v>1794</v>
      </c>
      <c r="V324" s="150" t="s">
        <v>1794</v>
      </c>
      <c r="W324" s="148" t="s">
        <v>1794</v>
      </c>
      <c r="X324" s="148" t="s">
        <v>1794</v>
      </c>
      <c r="Y324" s="148" t="s">
        <v>1794</v>
      </c>
      <c r="Z324" s="148" t="s">
        <v>1794</v>
      </c>
      <c r="AA324" s="148" t="s">
        <v>1794</v>
      </c>
      <c r="AB324" s="143"/>
      <c r="AC324" s="151" t="s">
        <v>1904</v>
      </c>
    </row>
    <row r="325" spans="1:29">
      <c r="A325" s="260"/>
      <c r="B325" t="s">
        <v>1839</v>
      </c>
      <c r="C325" t="s">
        <v>40</v>
      </c>
      <c r="D325" s="141">
        <v>0.60499999999999998</v>
      </c>
      <c r="E325" s="141">
        <v>0.49</v>
      </c>
      <c r="F325" s="141">
        <v>0.46</v>
      </c>
      <c r="G325" s="141">
        <v>0.505</v>
      </c>
      <c r="H325" s="141">
        <v>0.48</v>
      </c>
      <c r="I325" s="141">
        <v>0.47</v>
      </c>
      <c r="J325" s="142">
        <v>0.48</v>
      </c>
      <c r="K325" s="141">
        <v>0.43</v>
      </c>
      <c r="L325" s="141">
        <v>0.47</v>
      </c>
      <c r="M325" s="141">
        <v>0.495</v>
      </c>
      <c r="N325" s="141">
        <v>0.46500000000000002</v>
      </c>
      <c r="O325" s="141">
        <v>0.47</v>
      </c>
      <c r="P325" s="142">
        <v>0.47499999999999998</v>
      </c>
      <c r="Q325" s="141">
        <v>0.49</v>
      </c>
      <c r="R325" s="141">
        <v>0.46500000000000002</v>
      </c>
      <c r="S325" s="141">
        <v>0.48499999999999999</v>
      </c>
      <c r="T325" s="141">
        <v>0.51500000000000001</v>
      </c>
      <c r="U325" s="141">
        <v>0.495</v>
      </c>
      <c r="V325" s="142">
        <v>0.495</v>
      </c>
      <c r="W325" s="141">
        <v>0.505</v>
      </c>
      <c r="X325" s="141">
        <v>0.48499999999999999</v>
      </c>
      <c r="Y325" s="141">
        <v>0.46</v>
      </c>
      <c r="Z325" s="141">
        <v>0.45500000000000002</v>
      </c>
      <c r="AA325" s="141">
        <v>0.47499999999999998</v>
      </c>
      <c r="AB325" s="143">
        <f>_xlfn.STDEV.P(D325:AA325)</f>
        <v>3.1180478223116179E-2</v>
      </c>
      <c r="AC325" s="143"/>
    </row>
    <row r="326" spans="1:29">
      <c r="A326" s="260"/>
      <c r="C326" t="s">
        <v>220</v>
      </c>
      <c r="D326" s="141">
        <v>1.135</v>
      </c>
      <c r="E326" s="141">
        <v>1.01</v>
      </c>
      <c r="F326" s="141">
        <v>1.01</v>
      </c>
      <c r="G326" s="141">
        <v>1.01</v>
      </c>
      <c r="H326" s="141">
        <v>0.995</v>
      </c>
      <c r="I326" s="141">
        <v>0.995</v>
      </c>
      <c r="J326" s="142">
        <v>1.0049999999999999</v>
      </c>
      <c r="K326" s="141">
        <v>0.99</v>
      </c>
      <c r="L326" s="141">
        <v>1</v>
      </c>
      <c r="M326" s="141">
        <v>1.01</v>
      </c>
      <c r="N326" s="141">
        <v>1.0049999999999999</v>
      </c>
      <c r="O326" s="141">
        <v>1.01</v>
      </c>
      <c r="P326" s="142">
        <v>1.01</v>
      </c>
      <c r="Q326" s="141">
        <v>1.0049999999999999</v>
      </c>
      <c r="R326" s="141">
        <v>1.01</v>
      </c>
      <c r="S326" s="141">
        <v>1.01</v>
      </c>
      <c r="T326" s="141">
        <v>0.99</v>
      </c>
      <c r="U326" s="141">
        <v>0.98</v>
      </c>
      <c r="V326" s="142">
        <v>1.0049999999999999</v>
      </c>
      <c r="W326" s="141">
        <v>1.0049999999999999</v>
      </c>
      <c r="X326" s="141">
        <v>1.0049999999999999</v>
      </c>
      <c r="Y326" s="141">
        <v>1</v>
      </c>
      <c r="Z326" s="141">
        <v>1.02</v>
      </c>
      <c r="AA326" s="141">
        <v>1</v>
      </c>
      <c r="AB326" s="143">
        <f>_xlfn.STDEV.P(D326:AA326)</f>
        <v>2.7612616631210861E-2</v>
      </c>
      <c r="AC326" s="143"/>
    </row>
    <row r="327" spans="1:29">
      <c r="A327" s="260"/>
      <c r="C327" t="s">
        <v>221</v>
      </c>
      <c r="D327" s="144">
        <v>0.52500000000000002</v>
      </c>
      <c r="E327" s="144">
        <v>0.51500000000000001</v>
      </c>
      <c r="F327" s="144">
        <v>0.48499999999999999</v>
      </c>
      <c r="G327" s="144">
        <v>0.51500000000000001</v>
      </c>
      <c r="H327" s="144">
        <v>0.48499999999999999</v>
      </c>
      <c r="I327" s="141">
        <v>0.49</v>
      </c>
      <c r="J327" s="145">
        <v>0.505</v>
      </c>
      <c r="K327" s="144">
        <v>0.5</v>
      </c>
      <c r="L327" s="144">
        <v>0.505</v>
      </c>
      <c r="M327" s="144">
        <v>0.48</v>
      </c>
      <c r="N327" s="144">
        <v>0.51500000000000001</v>
      </c>
      <c r="O327" s="141">
        <v>0.51500000000000001</v>
      </c>
      <c r="P327" s="145">
        <v>0.495</v>
      </c>
      <c r="Q327" s="144">
        <v>0.505</v>
      </c>
      <c r="R327" s="144">
        <v>0.52</v>
      </c>
      <c r="S327" s="144">
        <v>0.505</v>
      </c>
      <c r="T327" s="144">
        <v>0.49</v>
      </c>
      <c r="U327" s="141">
        <v>0.505</v>
      </c>
      <c r="V327" s="145">
        <v>0.5</v>
      </c>
      <c r="W327" s="144">
        <v>0.49</v>
      </c>
      <c r="X327" s="144">
        <v>0.5</v>
      </c>
      <c r="Y327" s="144">
        <v>0.47</v>
      </c>
      <c r="Z327" s="144">
        <v>0.47499999999999998</v>
      </c>
      <c r="AA327" s="144">
        <v>0.52500000000000002</v>
      </c>
      <c r="AB327" s="143">
        <f>_xlfn.STDEV.P(D327:AA327)</f>
        <v>1.4952180721665109E-2</v>
      </c>
      <c r="AC327" s="146"/>
    </row>
    <row r="328" spans="1:29">
      <c r="A328" s="260"/>
      <c r="B328" s="147" t="s">
        <v>1840</v>
      </c>
      <c r="D328" s="148" t="s">
        <v>1794</v>
      </c>
      <c r="E328" s="148" t="s">
        <v>1794</v>
      </c>
      <c r="F328" s="148" t="s">
        <v>1796</v>
      </c>
      <c r="G328" s="148" t="s">
        <v>1794</v>
      </c>
      <c r="H328" s="148" t="s">
        <v>1794</v>
      </c>
      <c r="I328" s="149" t="s">
        <v>1794</v>
      </c>
      <c r="J328" s="150" t="s">
        <v>1794</v>
      </c>
      <c r="K328" s="148" t="s">
        <v>1794</v>
      </c>
      <c r="L328" s="148" t="s">
        <v>1794</v>
      </c>
      <c r="M328" s="148" t="s">
        <v>1794</v>
      </c>
      <c r="N328" s="148" t="s">
        <v>1794</v>
      </c>
      <c r="O328" s="149" t="s">
        <v>1794</v>
      </c>
      <c r="P328" s="150" t="s">
        <v>1794</v>
      </c>
      <c r="Q328" s="148" t="s">
        <v>1794</v>
      </c>
      <c r="R328" s="148" t="s">
        <v>1794</v>
      </c>
      <c r="S328" s="148" t="s">
        <v>1794</v>
      </c>
      <c r="T328" s="148" t="s">
        <v>1794</v>
      </c>
      <c r="U328" s="149" t="s">
        <v>1794</v>
      </c>
      <c r="V328" s="150" t="s">
        <v>1794</v>
      </c>
      <c r="W328" s="148" t="s">
        <v>1794</v>
      </c>
      <c r="X328" s="148" t="s">
        <v>1794</v>
      </c>
      <c r="Y328" s="148" t="s">
        <v>1794</v>
      </c>
      <c r="Z328" s="148" t="s">
        <v>1794</v>
      </c>
      <c r="AA328" s="148" t="s">
        <v>1794</v>
      </c>
      <c r="AB328" s="143"/>
      <c r="AC328" s="151" t="s">
        <v>1905</v>
      </c>
    </row>
    <row r="329" spans="1:29">
      <c r="A329" s="260"/>
      <c r="B329" t="s">
        <v>1842</v>
      </c>
      <c r="C329" t="s">
        <v>40</v>
      </c>
      <c r="D329" s="141">
        <v>0.51500000000000001</v>
      </c>
      <c r="E329" s="141">
        <v>0.495</v>
      </c>
      <c r="F329" s="141">
        <v>0.5</v>
      </c>
      <c r="G329" s="141">
        <v>0.51500000000000001</v>
      </c>
      <c r="H329" s="141">
        <v>0.5</v>
      </c>
      <c r="I329" s="141">
        <v>0.5</v>
      </c>
      <c r="J329" s="142">
        <v>0.49</v>
      </c>
      <c r="K329" s="141">
        <v>0.48499999999999999</v>
      </c>
      <c r="L329" s="141">
        <v>0.495</v>
      </c>
      <c r="M329" s="141">
        <v>0.5</v>
      </c>
      <c r="N329" s="141">
        <v>0.49</v>
      </c>
      <c r="O329" s="141">
        <v>0.48499999999999999</v>
      </c>
      <c r="P329" s="142">
        <v>0.48499999999999999</v>
      </c>
      <c r="Q329" s="141">
        <v>0.49</v>
      </c>
      <c r="R329" s="141">
        <v>0.5</v>
      </c>
      <c r="S329" s="141">
        <v>0.48499999999999999</v>
      </c>
      <c r="T329" s="141">
        <v>0.51500000000000001</v>
      </c>
      <c r="U329" s="141">
        <v>0.51</v>
      </c>
      <c r="V329" s="142">
        <v>0.505</v>
      </c>
      <c r="W329" s="141">
        <v>0.54</v>
      </c>
      <c r="X329" s="141">
        <v>0.52500000000000002</v>
      </c>
      <c r="Y329" s="141">
        <v>0.5</v>
      </c>
      <c r="Z329" s="141">
        <v>0.47499999999999998</v>
      </c>
      <c r="AA329" s="141">
        <v>0.48499999999999999</v>
      </c>
      <c r="AB329" s="143">
        <f>_xlfn.STDEV.P(D329:AA329)</f>
        <v>1.4599693204539164E-2</v>
      </c>
      <c r="AC329" s="143"/>
    </row>
    <row r="330" spans="1:29">
      <c r="A330" s="260"/>
      <c r="C330" t="s">
        <v>220</v>
      </c>
      <c r="D330" s="141">
        <v>1.0049999999999999</v>
      </c>
      <c r="E330" s="141">
        <v>1.0049999999999999</v>
      </c>
      <c r="F330" s="141">
        <v>1.0249999999999999</v>
      </c>
      <c r="G330" s="141">
        <v>1.01</v>
      </c>
      <c r="H330" s="141">
        <v>1.0049999999999999</v>
      </c>
      <c r="I330" s="141">
        <v>1.0049999999999999</v>
      </c>
      <c r="J330" s="142">
        <v>1.0049999999999999</v>
      </c>
      <c r="K330" s="141">
        <v>1.0049999999999999</v>
      </c>
      <c r="L330" s="141">
        <v>1.0049999999999999</v>
      </c>
      <c r="M330" s="141">
        <v>1.01</v>
      </c>
      <c r="N330" s="141">
        <v>1</v>
      </c>
      <c r="O330" s="141">
        <v>1.0049999999999999</v>
      </c>
      <c r="P330" s="142">
        <v>1.0049999999999999</v>
      </c>
      <c r="Q330" s="141">
        <v>1.0049999999999999</v>
      </c>
      <c r="R330" s="141">
        <v>1.01</v>
      </c>
      <c r="S330" s="141">
        <v>1</v>
      </c>
      <c r="T330" s="141">
        <v>1.0049999999999999</v>
      </c>
      <c r="U330" s="141">
        <v>1</v>
      </c>
      <c r="V330" s="142">
        <v>1.0049999999999999</v>
      </c>
      <c r="W330" s="141">
        <v>1.01</v>
      </c>
      <c r="X330" s="141">
        <v>1.01</v>
      </c>
      <c r="Y330" s="141">
        <v>1.0049999999999999</v>
      </c>
      <c r="Z330" s="141">
        <v>1.0049999999999999</v>
      </c>
      <c r="AA330" s="141">
        <v>1.01</v>
      </c>
      <c r="AB330" s="143">
        <f>_xlfn.STDEV.P(D330:AA330)</f>
        <v>4.8902894142939645E-3</v>
      </c>
      <c r="AC330" s="143"/>
    </row>
    <row r="331" spans="1:29">
      <c r="A331" s="260"/>
      <c r="C331" t="s">
        <v>221</v>
      </c>
      <c r="D331" s="144">
        <v>0.5</v>
      </c>
      <c r="E331" s="144">
        <v>0.495</v>
      </c>
      <c r="F331" s="144">
        <v>0.44500000000000001</v>
      </c>
      <c r="G331" s="144">
        <v>0.505</v>
      </c>
      <c r="H331" s="144">
        <v>0.5</v>
      </c>
      <c r="I331" s="141">
        <v>0.5</v>
      </c>
      <c r="J331" s="145">
        <v>0.505</v>
      </c>
      <c r="K331" s="144">
        <v>0.5</v>
      </c>
      <c r="L331" s="144">
        <v>0.495</v>
      </c>
      <c r="M331" s="144">
        <v>0.51</v>
      </c>
      <c r="N331" s="144">
        <v>0.5</v>
      </c>
      <c r="O331" s="141">
        <v>0.53</v>
      </c>
      <c r="P331" s="145">
        <v>0.5</v>
      </c>
      <c r="Q331" s="144">
        <v>0.495</v>
      </c>
      <c r="R331" s="144">
        <v>0.495</v>
      </c>
      <c r="S331" s="144">
        <v>0.52500000000000002</v>
      </c>
      <c r="T331" s="144">
        <v>0.54500000000000004</v>
      </c>
      <c r="U331" s="141">
        <v>0.53500000000000003</v>
      </c>
      <c r="V331" s="145">
        <v>0.54</v>
      </c>
      <c r="W331" s="144">
        <v>0.56000000000000005</v>
      </c>
      <c r="X331" s="144">
        <v>0.51</v>
      </c>
      <c r="Y331" s="144">
        <v>0.53</v>
      </c>
      <c r="Z331" s="144">
        <v>0.5</v>
      </c>
      <c r="AA331" s="144">
        <v>0.56000000000000005</v>
      </c>
      <c r="AB331" s="143">
        <f>_xlfn.STDEV.P(D331:AA331)</f>
        <v>2.4650332429581749E-2</v>
      </c>
      <c r="AC331" s="146"/>
    </row>
    <row r="332" spans="1:29">
      <c r="A332" s="260"/>
      <c r="B332" s="147" t="s">
        <v>1843</v>
      </c>
      <c r="D332" s="148" t="s">
        <v>1794</v>
      </c>
      <c r="E332" s="148" t="s">
        <v>1796</v>
      </c>
      <c r="F332" s="148" t="s">
        <v>1794</v>
      </c>
      <c r="G332" s="148" t="s">
        <v>1794</v>
      </c>
      <c r="H332" s="148" t="s">
        <v>1796</v>
      </c>
      <c r="I332" s="149" t="s">
        <v>1794</v>
      </c>
      <c r="J332" s="150" t="s">
        <v>1794</v>
      </c>
      <c r="K332" s="148" t="s">
        <v>1794</v>
      </c>
      <c r="L332" s="148" t="s">
        <v>1794</v>
      </c>
      <c r="M332" s="148" t="s">
        <v>1794</v>
      </c>
      <c r="N332" s="148" t="s">
        <v>1796</v>
      </c>
      <c r="O332" s="149" t="s">
        <v>1796</v>
      </c>
      <c r="P332" s="150" t="s">
        <v>1794</v>
      </c>
      <c r="Q332" s="148" t="s">
        <v>1794</v>
      </c>
      <c r="R332" s="148" t="s">
        <v>1794</v>
      </c>
      <c r="S332" s="148" t="s">
        <v>1794</v>
      </c>
      <c r="T332" s="148" t="s">
        <v>1794</v>
      </c>
      <c r="U332" s="149" t="s">
        <v>1794</v>
      </c>
      <c r="V332" s="150" t="s">
        <v>1794</v>
      </c>
      <c r="W332" s="148" t="s">
        <v>1794</v>
      </c>
      <c r="X332" s="148" t="s">
        <v>1794</v>
      </c>
      <c r="Y332" s="148" t="s">
        <v>1794</v>
      </c>
      <c r="Z332" s="148" t="s">
        <v>1794</v>
      </c>
      <c r="AA332" s="148" t="s">
        <v>1794</v>
      </c>
      <c r="AB332" s="143"/>
      <c r="AC332" s="151" t="s">
        <v>1906</v>
      </c>
    </row>
    <row r="333" spans="1:29">
      <c r="A333" s="260"/>
      <c r="B333" t="s">
        <v>1845</v>
      </c>
      <c r="C333" t="s">
        <v>40</v>
      </c>
      <c r="D333" s="141">
        <v>0.46</v>
      </c>
      <c r="E333" s="141">
        <v>0.46</v>
      </c>
      <c r="F333" s="141">
        <v>0.435</v>
      </c>
      <c r="G333" s="141">
        <v>0.495</v>
      </c>
      <c r="H333" s="141">
        <v>0.47499999999999998</v>
      </c>
      <c r="I333" s="141">
        <v>0.48499999999999999</v>
      </c>
      <c r="J333" s="142">
        <v>0.46500000000000002</v>
      </c>
      <c r="K333" s="141">
        <v>0.5</v>
      </c>
      <c r="L333" s="141">
        <v>0.46</v>
      </c>
      <c r="M333" s="141">
        <v>0.435</v>
      </c>
      <c r="N333" s="141">
        <v>0.46</v>
      </c>
      <c r="O333" s="141">
        <v>0.45</v>
      </c>
      <c r="P333" s="142">
        <v>0.46</v>
      </c>
      <c r="Q333" s="141">
        <v>0.47</v>
      </c>
      <c r="R333" s="141">
        <v>0.51</v>
      </c>
      <c r="S333" s="141">
        <v>0.46500000000000002</v>
      </c>
      <c r="T333" s="141">
        <v>0.51500000000000001</v>
      </c>
      <c r="U333" s="141">
        <v>0.41499999999999998</v>
      </c>
      <c r="V333" s="142">
        <v>0.44500000000000001</v>
      </c>
      <c r="W333" s="141">
        <v>0.46</v>
      </c>
      <c r="X333" s="141">
        <v>0.45</v>
      </c>
      <c r="Y333" s="141">
        <v>0.47</v>
      </c>
      <c r="Z333" s="141">
        <v>0.48</v>
      </c>
      <c r="AA333" s="141">
        <v>0.46500000000000002</v>
      </c>
      <c r="AB333" s="143">
        <f>_xlfn.STDEV.P(D333:AA333)</f>
        <v>2.3002679493678319E-2</v>
      </c>
      <c r="AC333" s="143"/>
    </row>
    <row r="334" spans="1:29">
      <c r="A334" s="260"/>
      <c r="C334" t="s">
        <v>220</v>
      </c>
      <c r="D334" s="141">
        <v>1.0049999999999999</v>
      </c>
      <c r="E334" s="141">
        <v>1.0149999999999999</v>
      </c>
      <c r="F334" s="141">
        <v>0.995</v>
      </c>
      <c r="G334" s="141">
        <v>1</v>
      </c>
      <c r="H334" s="141">
        <v>1</v>
      </c>
      <c r="I334" s="141">
        <v>1.02</v>
      </c>
      <c r="J334" s="142">
        <v>1.02</v>
      </c>
      <c r="K334" s="141">
        <v>0.99</v>
      </c>
      <c r="L334" s="141">
        <v>1.0049999999999999</v>
      </c>
      <c r="M334" s="141">
        <v>1.02</v>
      </c>
      <c r="N334" s="141">
        <v>0.98499999999999999</v>
      </c>
      <c r="O334" s="141">
        <v>0.98499999999999999</v>
      </c>
      <c r="P334" s="142">
        <v>1.03</v>
      </c>
      <c r="Q334" s="141">
        <v>1.01</v>
      </c>
      <c r="R334" s="141">
        <v>0.995</v>
      </c>
      <c r="S334" s="141">
        <v>1.0049999999999999</v>
      </c>
      <c r="T334" s="141">
        <v>1.0049999999999999</v>
      </c>
      <c r="U334" s="141">
        <v>1.0449999999999999</v>
      </c>
      <c r="V334" s="142">
        <v>1.0049999999999999</v>
      </c>
      <c r="W334" s="141">
        <v>1.01</v>
      </c>
      <c r="X334" s="141">
        <v>1</v>
      </c>
      <c r="Y334" s="141">
        <v>1.01</v>
      </c>
      <c r="Z334" s="141">
        <v>0.995</v>
      </c>
      <c r="AA334" s="141">
        <v>1</v>
      </c>
      <c r="AB334" s="143">
        <f>_xlfn.STDEV.P(D334:AA334)</f>
        <v>1.3635890143294641E-2</v>
      </c>
      <c r="AC334" s="143"/>
    </row>
    <row r="335" spans="1:29">
      <c r="A335" s="260"/>
      <c r="C335" t="s">
        <v>221</v>
      </c>
      <c r="D335" s="144">
        <v>0.48</v>
      </c>
      <c r="E335" s="144">
        <v>0.49</v>
      </c>
      <c r="F335" s="144">
        <v>0.4</v>
      </c>
      <c r="G335" s="144">
        <v>0.42</v>
      </c>
      <c r="H335" s="144">
        <v>0.40500000000000003</v>
      </c>
      <c r="I335" s="141">
        <v>0.41</v>
      </c>
      <c r="J335" s="145">
        <v>0.47499999999999998</v>
      </c>
      <c r="K335" s="144">
        <v>0.47</v>
      </c>
      <c r="L335" s="144">
        <v>0.46</v>
      </c>
      <c r="M335" s="144">
        <v>0.45500000000000002</v>
      </c>
      <c r="N335" s="144">
        <v>0.49</v>
      </c>
      <c r="O335" s="141">
        <v>0.495</v>
      </c>
      <c r="P335" s="145">
        <v>0.47</v>
      </c>
      <c r="Q335" s="144">
        <v>0.48</v>
      </c>
      <c r="R335" s="144">
        <v>0.5</v>
      </c>
      <c r="S335" s="144">
        <v>0.51</v>
      </c>
      <c r="T335" s="144">
        <v>0.46500000000000002</v>
      </c>
      <c r="U335" s="141">
        <v>0.44500000000000001</v>
      </c>
      <c r="V335" s="145">
        <v>0.55000000000000004</v>
      </c>
      <c r="W335" s="144">
        <v>0.495</v>
      </c>
      <c r="X335" s="144">
        <v>0.5</v>
      </c>
      <c r="Y335" s="144">
        <v>0.45500000000000002</v>
      </c>
      <c r="Z335" s="144">
        <v>0.57999999999999996</v>
      </c>
      <c r="AA335" s="144">
        <v>0.49</v>
      </c>
      <c r="AB335" s="143">
        <f>_xlfn.STDEV.P(D335:AA335)</f>
        <v>4.1077078631383809E-2</v>
      </c>
      <c r="AC335" s="146"/>
    </row>
    <row r="336" spans="1:29">
      <c r="A336" s="260"/>
      <c r="B336" s="147" t="s">
        <v>1846</v>
      </c>
      <c r="D336" s="148" t="s">
        <v>1794</v>
      </c>
      <c r="E336" s="148" t="s">
        <v>1794</v>
      </c>
      <c r="F336" s="148" t="s">
        <v>1794</v>
      </c>
      <c r="G336" s="148" t="s">
        <v>1794</v>
      </c>
      <c r="H336" s="148" t="s">
        <v>1794</v>
      </c>
      <c r="I336" s="149" t="s">
        <v>1794</v>
      </c>
      <c r="J336" s="150" t="s">
        <v>1794</v>
      </c>
      <c r="K336" s="148" t="s">
        <v>1794</v>
      </c>
      <c r="L336" s="148" t="s">
        <v>1794</v>
      </c>
      <c r="M336" s="148" t="s">
        <v>1794</v>
      </c>
      <c r="N336" s="148" t="s">
        <v>1794</v>
      </c>
      <c r="O336" s="149" t="s">
        <v>1796</v>
      </c>
      <c r="P336" s="150" t="s">
        <v>1794</v>
      </c>
      <c r="Q336" s="148" t="s">
        <v>1794</v>
      </c>
      <c r="R336" s="148" t="s">
        <v>1794</v>
      </c>
      <c r="S336" s="148" t="s">
        <v>1796</v>
      </c>
      <c r="T336" s="148" t="s">
        <v>1794</v>
      </c>
      <c r="U336" s="149" t="s">
        <v>1796</v>
      </c>
      <c r="V336" s="150" t="s">
        <v>1795</v>
      </c>
      <c r="W336" s="148" t="s">
        <v>1794</v>
      </c>
      <c r="X336" s="148" t="s">
        <v>1796</v>
      </c>
      <c r="Y336" s="148" t="s">
        <v>1794</v>
      </c>
      <c r="Z336" s="148" t="s">
        <v>1794</v>
      </c>
      <c r="AA336" s="148" t="s">
        <v>1794</v>
      </c>
      <c r="AB336" s="143"/>
      <c r="AC336" s="151" t="s">
        <v>1907</v>
      </c>
    </row>
    <row r="337" spans="1:29">
      <c r="A337" s="260"/>
      <c r="B337" t="s">
        <v>1848</v>
      </c>
      <c r="C337" t="s">
        <v>40</v>
      </c>
      <c r="D337" s="141">
        <v>0.495</v>
      </c>
      <c r="E337" s="141">
        <v>0.47499999999999998</v>
      </c>
      <c r="F337" s="141">
        <v>0.48</v>
      </c>
      <c r="G337" s="141">
        <v>0.495</v>
      </c>
      <c r="H337" s="141">
        <v>0.47</v>
      </c>
      <c r="I337" s="141">
        <v>0.51500000000000001</v>
      </c>
      <c r="J337" s="142">
        <v>0.45</v>
      </c>
      <c r="K337" s="141">
        <v>0.45500000000000002</v>
      </c>
      <c r="L337" s="141">
        <v>0.46500000000000002</v>
      </c>
      <c r="M337" s="141">
        <v>0.52</v>
      </c>
      <c r="N337" s="141">
        <v>0.44</v>
      </c>
      <c r="O337" s="141">
        <v>0.47</v>
      </c>
      <c r="P337" s="142">
        <v>0.46500000000000002</v>
      </c>
      <c r="Q337" s="141">
        <v>0.45</v>
      </c>
      <c r="R337" s="141">
        <v>0.44500000000000001</v>
      </c>
      <c r="S337" s="141">
        <v>0.44500000000000001</v>
      </c>
      <c r="T337" s="141">
        <v>0.48</v>
      </c>
      <c r="U337" s="141">
        <v>0.47</v>
      </c>
      <c r="V337" s="142">
        <v>0.51</v>
      </c>
      <c r="W337" s="141">
        <v>0.46</v>
      </c>
      <c r="X337" s="141">
        <v>0.41</v>
      </c>
      <c r="Y337" s="141">
        <v>0.4</v>
      </c>
      <c r="Z337" s="141">
        <v>0.41499999999999998</v>
      </c>
      <c r="AA337" s="141">
        <v>0.43</v>
      </c>
      <c r="AB337" s="143">
        <f>_xlfn.STDEV.P(D337:AA337)</f>
        <v>3.0853034246605671E-2</v>
      </c>
      <c r="AC337" s="143"/>
    </row>
    <row r="338" spans="1:29">
      <c r="A338" s="260"/>
      <c r="C338" t="s">
        <v>220</v>
      </c>
      <c r="D338" s="141">
        <v>1.0249999999999999</v>
      </c>
      <c r="E338" s="141">
        <v>1.01</v>
      </c>
      <c r="F338" s="141">
        <v>1.0049999999999999</v>
      </c>
      <c r="G338" s="141">
        <v>1</v>
      </c>
      <c r="H338" s="141">
        <v>1.01</v>
      </c>
      <c r="I338" s="141">
        <v>0.98499999999999999</v>
      </c>
      <c r="J338" s="142">
        <v>1.0249999999999999</v>
      </c>
      <c r="K338" s="141">
        <v>1.0149999999999999</v>
      </c>
      <c r="L338" s="141">
        <v>1.0049999999999999</v>
      </c>
      <c r="M338" s="141">
        <v>1.01</v>
      </c>
      <c r="N338" s="141">
        <v>0.99</v>
      </c>
      <c r="O338" s="141">
        <v>1</v>
      </c>
      <c r="P338" s="142">
        <v>1.01</v>
      </c>
      <c r="Q338" s="141">
        <v>1.0049999999999999</v>
      </c>
      <c r="R338" s="141">
        <v>1.0049999999999999</v>
      </c>
      <c r="S338" s="141">
        <v>1.0049999999999999</v>
      </c>
      <c r="T338" s="141">
        <v>1</v>
      </c>
      <c r="U338" s="141">
        <v>0.995</v>
      </c>
      <c r="V338" s="142">
        <v>1.01</v>
      </c>
      <c r="W338" s="141">
        <v>1.0149999999999999</v>
      </c>
      <c r="X338" s="141">
        <v>1</v>
      </c>
      <c r="Y338" s="141">
        <v>0.995</v>
      </c>
      <c r="Z338" s="141">
        <v>1.03</v>
      </c>
      <c r="AA338" s="141">
        <v>0.99</v>
      </c>
      <c r="AB338" s="143">
        <f>_xlfn.STDEV.P(D338:AA338)</f>
        <v>1.0960788698304908E-2</v>
      </c>
      <c r="AC338" s="143"/>
    </row>
    <row r="339" spans="1:29">
      <c r="A339" s="260"/>
      <c r="C339" t="s">
        <v>221</v>
      </c>
      <c r="D339" s="144">
        <v>0.48499999999999999</v>
      </c>
      <c r="E339" s="144">
        <v>0.44500000000000001</v>
      </c>
      <c r="F339" s="144">
        <v>0.46500000000000002</v>
      </c>
      <c r="G339" s="144">
        <v>0.44</v>
      </c>
      <c r="H339" s="144">
        <v>0.47499999999999998</v>
      </c>
      <c r="I339" s="141">
        <v>0.55000000000000004</v>
      </c>
      <c r="J339" s="145">
        <v>0.47499999999999998</v>
      </c>
      <c r="K339" s="144">
        <v>0.45</v>
      </c>
      <c r="L339" s="144">
        <v>0.46500000000000002</v>
      </c>
      <c r="M339" s="144">
        <v>0.48499999999999999</v>
      </c>
      <c r="N339" s="144">
        <v>0.48499999999999999</v>
      </c>
      <c r="O339" s="141">
        <v>0.45500000000000002</v>
      </c>
      <c r="P339" s="145">
        <v>0.47499999999999998</v>
      </c>
      <c r="Q339" s="144">
        <v>0.495</v>
      </c>
      <c r="R339" s="144">
        <v>0.495</v>
      </c>
      <c r="S339" s="144">
        <v>0.51</v>
      </c>
      <c r="T339" s="144">
        <v>0.48499999999999999</v>
      </c>
      <c r="U339" s="141">
        <v>0.48</v>
      </c>
      <c r="V339" s="145">
        <v>0.505</v>
      </c>
      <c r="W339" s="144">
        <v>0.495</v>
      </c>
      <c r="X339" s="144">
        <v>0.5</v>
      </c>
      <c r="Y339" s="144">
        <v>0.47499999999999998</v>
      </c>
      <c r="Z339" s="144">
        <v>0.49</v>
      </c>
      <c r="AA339" s="144">
        <v>0.47499999999999998</v>
      </c>
      <c r="AB339" s="143">
        <f>_xlfn.STDEV.P(D339:AA339)</f>
        <v>2.2889188071129909E-2</v>
      </c>
      <c r="AC339" s="146"/>
    </row>
    <row r="340" spans="1:29">
      <c r="A340" s="260"/>
      <c r="B340" s="147" t="s">
        <v>1849</v>
      </c>
      <c r="D340" s="148" t="s">
        <v>1794</v>
      </c>
      <c r="E340" s="148" t="s">
        <v>1794</v>
      </c>
      <c r="F340" s="148" t="s">
        <v>1796</v>
      </c>
      <c r="G340" s="148" t="s">
        <v>1794</v>
      </c>
      <c r="H340" s="148" t="s">
        <v>1794</v>
      </c>
      <c r="I340" s="149" t="s">
        <v>1794</v>
      </c>
      <c r="J340" s="150" t="s">
        <v>1796</v>
      </c>
      <c r="K340" s="148" t="s">
        <v>1794</v>
      </c>
      <c r="L340" s="148" t="s">
        <v>1796</v>
      </c>
      <c r="M340" s="148" t="s">
        <v>1794</v>
      </c>
      <c r="N340" s="148" t="s">
        <v>1794</v>
      </c>
      <c r="O340" s="149" t="s">
        <v>1794</v>
      </c>
      <c r="P340" s="150" t="s">
        <v>1794</v>
      </c>
      <c r="Q340" s="148" t="s">
        <v>1794</v>
      </c>
      <c r="R340" s="148" t="s">
        <v>1794</v>
      </c>
      <c r="S340" s="148" t="s">
        <v>1794</v>
      </c>
      <c r="T340" s="148" t="s">
        <v>1794</v>
      </c>
      <c r="U340" s="149" t="s">
        <v>1794</v>
      </c>
      <c r="V340" s="150" t="s">
        <v>1794</v>
      </c>
      <c r="W340" s="148" t="s">
        <v>1794</v>
      </c>
      <c r="X340" s="148" t="s">
        <v>1796</v>
      </c>
      <c r="Y340" s="148" t="s">
        <v>1794</v>
      </c>
      <c r="Z340" s="148" t="s">
        <v>1794</v>
      </c>
      <c r="AA340" s="148" t="s">
        <v>1794</v>
      </c>
      <c r="AB340" s="143"/>
      <c r="AC340" s="151" t="s">
        <v>1906</v>
      </c>
    </row>
    <row r="341" spans="1:29">
      <c r="A341" s="260"/>
      <c r="B341" t="s">
        <v>1850</v>
      </c>
      <c r="C341" t="s">
        <v>40</v>
      </c>
      <c r="D341" s="141">
        <v>0.48499999999999999</v>
      </c>
      <c r="E341" s="141">
        <v>0.47</v>
      </c>
      <c r="F341" s="141">
        <v>0.48</v>
      </c>
      <c r="G341" s="141">
        <v>0.41499999999999998</v>
      </c>
      <c r="H341" s="141">
        <v>0.47499999999999998</v>
      </c>
      <c r="I341" s="141">
        <v>0.46</v>
      </c>
      <c r="J341" s="142">
        <v>0.47</v>
      </c>
      <c r="K341" s="141">
        <v>0.46500000000000002</v>
      </c>
      <c r="L341" s="141">
        <v>0.45</v>
      </c>
      <c r="M341" s="141">
        <v>0.45</v>
      </c>
      <c r="N341" s="141">
        <v>0.47499999999999998</v>
      </c>
      <c r="O341" s="141">
        <v>0.46500000000000002</v>
      </c>
      <c r="P341" s="142">
        <v>0.47499999999999998</v>
      </c>
      <c r="Q341" s="141">
        <v>0.45</v>
      </c>
      <c r="R341" s="141">
        <v>0.42</v>
      </c>
      <c r="S341" s="141">
        <v>0.47499999999999998</v>
      </c>
      <c r="T341" s="141">
        <v>0.5</v>
      </c>
      <c r="U341" s="141">
        <v>0.505</v>
      </c>
      <c r="V341" s="142">
        <v>0.47</v>
      </c>
      <c r="W341" s="141">
        <v>0.52</v>
      </c>
      <c r="X341" s="141">
        <v>0.46</v>
      </c>
      <c r="Y341" s="141">
        <v>0.48499999999999999</v>
      </c>
      <c r="Z341" s="141">
        <v>0.48</v>
      </c>
      <c r="AA341" s="141">
        <v>0.45500000000000002</v>
      </c>
      <c r="AB341" s="143">
        <f>_xlfn.STDEV.P(D341:AA341)</f>
        <v>2.2866422192570679E-2</v>
      </c>
      <c r="AC341" s="143"/>
    </row>
    <row r="342" spans="1:29">
      <c r="A342" s="260"/>
      <c r="C342" t="s">
        <v>220</v>
      </c>
      <c r="D342" s="141">
        <v>1.02</v>
      </c>
      <c r="E342" s="141">
        <v>1</v>
      </c>
      <c r="F342" s="141">
        <v>0.995</v>
      </c>
      <c r="G342" s="141">
        <v>0.98499999999999999</v>
      </c>
      <c r="H342" s="141">
        <v>1.02</v>
      </c>
      <c r="I342" s="141">
        <v>1.01</v>
      </c>
      <c r="J342" s="142">
        <v>1.01</v>
      </c>
      <c r="K342" s="141">
        <v>1.0049999999999999</v>
      </c>
      <c r="L342" s="141">
        <v>1.0049999999999999</v>
      </c>
      <c r="M342" s="141">
        <v>1.01</v>
      </c>
      <c r="N342" s="141">
        <v>1.0049999999999999</v>
      </c>
      <c r="O342" s="141">
        <v>1.01</v>
      </c>
      <c r="P342" s="142">
        <v>1.0149999999999999</v>
      </c>
      <c r="Q342" s="141">
        <v>0.99</v>
      </c>
      <c r="R342" s="141">
        <v>0.98499999999999999</v>
      </c>
      <c r="S342" s="141">
        <v>1</v>
      </c>
      <c r="T342" s="141">
        <v>1.0049999999999999</v>
      </c>
      <c r="U342" s="141">
        <v>0.995</v>
      </c>
      <c r="V342" s="142">
        <v>1</v>
      </c>
      <c r="W342" s="141">
        <v>1.0149999999999999</v>
      </c>
      <c r="X342" s="141">
        <v>1.0149999999999999</v>
      </c>
      <c r="Y342" s="141">
        <v>1</v>
      </c>
      <c r="Z342" s="141">
        <v>1.02</v>
      </c>
      <c r="AA342" s="141">
        <v>0.99</v>
      </c>
      <c r="AB342" s="143">
        <f>_xlfn.STDEV.P(D342:AA342)</f>
        <v>1.0439558180306285E-2</v>
      </c>
      <c r="AC342" s="143"/>
    </row>
    <row r="343" spans="1:29">
      <c r="A343" s="260"/>
      <c r="C343" t="s">
        <v>221</v>
      </c>
      <c r="D343" s="144">
        <v>0.45</v>
      </c>
      <c r="E343" s="144">
        <v>0.495</v>
      </c>
      <c r="F343" s="144">
        <v>0.48499999999999999</v>
      </c>
      <c r="G343" s="144">
        <v>0.45500000000000002</v>
      </c>
      <c r="H343" s="144">
        <v>0.46500000000000002</v>
      </c>
      <c r="I343" s="141">
        <v>0.51</v>
      </c>
      <c r="J343" s="145">
        <v>0.47</v>
      </c>
      <c r="K343" s="144">
        <v>0.48499999999999999</v>
      </c>
      <c r="L343" s="144">
        <v>0.51</v>
      </c>
      <c r="M343" s="144">
        <v>0.49</v>
      </c>
      <c r="N343" s="144">
        <v>0.48</v>
      </c>
      <c r="O343" s="141">
        <v>0.48499999999999999</v>
      </c>
      <c r="P343" s="145">
        <v>0.51</v>
      </c>
      <c r="Q343" s="144">
        <v>0.48499999999999999</v>
      </c>
      <c r="R343" s="144">
        <v>0.48</v>
      </c>
      <c r="S343" s="144">
        <v>0.45500000000000002</v>
      </c>
      <c r="T343" s="144">
        <v>0.48499999999999999</v>
      </c>
      <c r="U343" s="141">
        <v>0.495</v>
      </c>
      <c r="V343" s="145">
        <v>0.495</v>
      </c>
      <c r="W343" s="144">
        <v>0.49</v>
      </c>
      <c r="X343" s="144">
        <v>0.5</v>
      </c>
      <c r="Y343" s="144">
        <v>0.47</v>
      </c>
      <c r="Z343" s="144">
        <v>0.52</v>
      </c>
      <c r="AA343" s="144">
        <v>0.505</v>
      </c>
      <c r="AB343" s="143">
        <f>_xlfn.STDEV.P(D343:AA343)</f>
        <v>1.8214577495328659E-2</v>
      </c>
      <c r="AC343" s="146"/>
    </row>
    <row r="344" spans="1:29">
      <c r="A344" s="260"/>
      <c r="B344" s="147" t="s">
        <v>1851</v>
      </c>
      <c r="D344" s="148" t="s">
        <v>1794</v>
      </c>
      <c r="E344" s="148" t="s">
        <v>1794</v>
      </c>
      <c r="F344" s="148" t="s">
        <v>1794</v>
      </c>
      <c r="G344" s="148" t="s">
        <v>1796</v>
      </c>
      <c r="H344" s="148" t="s">
        <v>1794</v>
      </c>
      <c r="I344" s="149" t="s">
        <v>1796</v>
      </c>
      <c r="J344" s="150" t="s">
        <v>1794</v>
      </c>
      <c r="K344" s="148" t="s">
        <v>1794</v>
      </c>
      <c r="L344" s="148" t="s">
        <v>1794</v>
      </c>
      <c r="M344" s="148" t="s">
        <v>1794</v>
      </c>
      <c r="N344" s="148" t="s">
        <v>1796</v>
      </c>
      <c r="O344" s="149" t="s">
        <v>1796</v>
      </c>
      <c r="P344" s="150" t="s">
        <v>1796</v>
      </c>
      <c r="Q344" s="148" t="s">
        <v>1794</v>
      </c>
      <c r="R344" s="148" t="s">
        <v>1794</v>
      </c>
      <c r="S344" s="148" t="s">
        <v>1796</v>
      </c>
      <c r="T344" s="148" t="s">
        <v>1796</v>
      </c>
      <c r="U344" s="149" t="s">
        <v>1796</v>
      </c>
      <c r="V344" s="150" t="s">
        <v>1794</v>
      </c>
      <c r="W344" s="148" t="s">
        <v>1794</v>
      </c>
      <c r="X344" s="148" t="s">
        <v>1796</v>
      </c>
      <c r="Y344" s="148" t="s">
        <v>1794</v>
      </c>
      <c r="Z344" s="148" t="s">
        <v>1796</v>
      </c>
      <c r="AA344" s="148" t="s">
        <v>1794</v>
      </c>
      <c r="AB344" s="143"/>
      <c r="AC344" s="151" t="s">
        <v>1908</v>
      </c>
    </row>
    <row r="345" spans="1:29">
      <c r="A345" s="260"/>
      <c r="B345" t="s">
        <v>1853</v>
      </c>
      <c r="C345" t="s">
        <v>40</v>
      </c>
      <c r="D345" s="141">
        <v>0.51</v>
      </c>
      <c r="E345" s="141">
        <v>0.51</v>
      </c>
      <c r="F345" s="141">
        <v>0.53500000000000003</v>
      </c>
      <c r="G345" s="141">
        <v>0.44500000000000001</v>
      </c>
      <c r="H345" s="141">
        <v>0.46</v>
      </c>
      <c r="I345" s="141">
        <v>0.47</v>
      </c>
      <c r="J345" s="142">
        <v>0.5</v>
      </c>
      <c r="K345" s="141">
        <v>0.495</v>
      </c>
      <c r="L345" s="141">
        <v>0.48499999999999999</v>
      </c>
      <c r="M345" s="141">
        <v>0.55000000000000004</v>
      </c>
      <c r="N345" s="141">
        <v>0.46</v>
      </c>
      <c r="O345" s="141">
        <v>0.45500000000000002</v>
      </c>
      <c r="P345" s="142">
        <v>0.45</v>
      </c>
      <c r="Q345" s="141">
        <v>0.5</v>
      </c>
      <c r="R345" s="141">
        <v>0.48499999999999999</v>
      </c>
      <c r="S345" s="141">
        <v>0.41</v>
      </c>
      <c r="T345" s="141">
        <v>0.49</v>
      </c>
      <c r="U345" s="141">
        <v>0.495</v>
      </c>
      <c r="V345" s="142">
        <v>0.46</v>
      </c>
      <c r="W345" s="141">
        <v>0.495</v>
      </c>
      <c r="X345" s="141">
        <v>0.49</v>
      </c>
      <c r="Y345" s="141">
        <v>0.495</v>
      </c>
      <c r="Z345" s="141">
        <v>0.49</v>
      </c>
      <c r="AA345" s="141">
        <v>0.45500000000000002</v>
      </c>
      <c r="AB345" s="143">
        <f>_xlfn.STDEV.P(D345:AA345)</f>
        <v>2.9682930934947935E-2</v>
      </c>
      <c r="AC345" s="143"/>
    </row>
    <row r="346" spans="1:29">
      <c r="A346" s="260"/>
      <c r="C346" t="s">
        <v>220</v>
      </c>
      <c r="D346" s="141">
        <v>1.01</v>
      </c>
      <c r="E346" s="141">
        <v>1.0049999999999999</v>
      </c>
      <c r="F346" s="141">
        <v>1.01</v>
      </c>
      <c r="G346" s="141">
        <v>0.995</v>
      </c>
      <c r="H346" s="141">
        <v>1.01</v>
      </c>
      <c r="I346" s="141">
        <v>0.995</v>
      </c>
      <c r="J346" s="142">
        <v>1.0049999999999999</v>
      </c>
      <c r="K346" s="141">
        <v>1.0049999999999999</v>
      </c>
      <c r="L346" s="141">
        <v>1.01</v>
      </c>
      <c r="M346" s="141">
        <v>1.02</v>
      </c>
      <c r="N346" s="141">
        <v>1.01</v>
      </c>
      <c r="O346" s="141">
        <v>1</v>
      </c>
      <c r="P346" s="142">
        <v>0.99</v>
      </c>
      <c r="Q346" s="141">
        <v>1.0049999999999999</v>
      </c>
      <c r="R346" s="141">
        <v>1.0049999999999999</v>
      </c>
      <c r="S346" s="141">
        <v>0.995</v>
      </c>
      <c r="T346" s="141">
        <v>0.995</v>
      </c>
      <c r="U346" s="141">
        <v>1.01</v>
      </c>
      <c r="V346" s="142">
        <v>0.995</v>
      </c>
      <c r="W346" s="141">
        <v>0.995</v>
      </c>
      <c r="X346" s="141">
        <v>1</v>
      </c>
      <c r="Y346" s="141">
        <v>1</v>
      </c>
      <c r="Z346" s="141">
        <v>0.99</v>
      </c>
      <c r="AA346" s="141">
        <v>0.995</v>
      </c>
      <c r="AB346" s="143">
        <f>_xlfn.STDEV.P(D346:AA346)</f>
        <v>7.6262521740513003E-3</v>
      </c>
      <c r="AC346" s="143"/>
    </row>
    <row r="347" spans="1:29">
      <c r="A347" s="260"/>
      <c r="C347" t="s">
        <v>221</v>
      </c>
      <c r="D347" s="144">
        <v>0.47</v>
      </c>
      <c r="E347" s="144">
        <v>0.47499999999999998</v>
      </c>
      <c r="F347" s="144">
        <v>0.495</v>
      </c>
      <c r="G347" s="144">
        <v>0.44500000000000001</v>
      </c>
      <c r="H347" s="144">
        <v>0.48499999999999999</v>
      </c>
      <c r="I347" s="141">
        <v>0.48</v>
      </c>
      <c r="J347" s="145">
        <v>0.48499999999999999</v>
      </c>
      <c r="K347" s="144">
        <v>0.495</v>
      </c>
      <c r="L347" s="144">
        <v>0.505</v>
      </c>
      <c r="M347" s="144">
        <v>0.47499999999999998</v>
      </c>
      <c r="N347" s="144">
        <v>0.48499999999999999</v>
      </c>
      <c r="O347" s="141">
        <v>0.46500000000000002</v>
      </c>
      <c r="P347" s="145">
        <v>0.46</v>
      </c>
      <c r="Q347" s="144">
        <v>0.48</v>
      </c>
      <c r="R347" s="144">
        <v>0.495</v>
      </c>
      <c r="S347" s="144">
        <v>0.505</v>
      </c>
      <c r="T347" s="144">
        <v>0.52</v>
      </c>
      <c r="U347" s="141">
        <v>0.51</v>
      </c>
      <c r="V347" s="145">
        <v>0.51500000000000001</v>
      </c>
      <c r="W347" s="144">
        <v>0.49</v>
      </c>
      <c r="X347" s="144">
        <v>0.46500000000000002</v>
      </c>
      <c r="Y347" s="144">
        <v>0.48</v>
      </c>
      <c r="Z347" s="144">
        <v>0.52500000000000002</v>
      </c>
      <c r="AA347" s="144">
        <v>0.52</v>
      </c>
      <c r="AB347" s="143">
        <f>_xlfn.STDEV.P(D347:AA347)</f>
        <v>2.0334656719229096E-2</v>
      </c>
      <c r="AC347" s="146"/>
    </row>
    <row r="348" spans="1:29">
      <c r="A348" s="260"/>
      <c r="B348" s="147" t="s">
        <v>1854</v>
      </c>
      <c r="D348" s="148" t="s">
        <v>1795</v>
      </c>
      <c r="E348" s="148" t="s">
        <v>1796</v>
      </c>
      <c r="F348" s="148" t="s">
        <v>1796</v>
      </c>
      <c r="G348" s="148" t="s">
        <v>1794</v>
      </c>
      <c r="H348" s="148" t="s">
        <v>1794</v>
      </c>
      <c r="I348" s="149" t="s">
        <v>1796</v>
      </c>
      <c r="J348" s="150" t="s">
        <v>1794</v>
      </c>
      <c r="K348" s="148" t="s">
        <v>1796</v>
      </c>
      <c r="L348" s="148" t="s">
        <v>1794</v>
      </c>
      <c r="M348" s="148" t="s">
        <v>1794</v>
      </c>
      <c r="N348" s="148" t="s">
        <v>1794</v>
      </c>
      <c r="O348" s="149" t="s">
        <v>1794</v>
      </c>
      <c r="P348" s="150" t="s">
        <v>1794</v>
      </c>
      <c r="Q348" s="148" t="s">
        <v>1794</v>
      </c>
      <c r="R348" s="148" t="s">
        <v>1794</v>
      </c>
      <c r="S348" s="148" t="s">
        <v>1796</v>
      </c>
      <c r="T348" s="148" t="s">
        <v>1794</v>
      </c>
      <c r="U348" s="149" t="s">
        <v>1794</v>
      </c>
      <c r="V348" s="150" t="s">
        <v>1794</v>
      </c>
      <c r="W348" s="148" t="s">
        <v>1796</v>
      </c>
      <c r="X348" s="148" t="s">
        <v>1796</v>
      </c>
      <c r="Y348" s="148" t="s">
        <v>1794</v>
      </c>
      <c r="Z348" s="148" t="s">
        <v>1794</v>
      </c>
      <c r="AA348" s="148" t="s">
        <v>1794</v>
      </c>
      <c r="AB348" s="143"/>
      <c r="AC348" s="151" t="s">
        <v>1909</v>
      </c>
    </row>
    <row r="349" spans="1:29">
      <c r="A349" s="260"/>
      <c r="B349" t="s">
        <v>1856</v>
      </c>
      <c r="C349" t="s">
        <v>40</v>
      </c>
      <c r="D349" s="141">
        <v>0.5</v>
      </c>
      <c r="E349" s="141">
        <v>0.505</v>
      </c>
      <c r="F349" s="141">
        <v>0.5</v>
      </c>
      <c r="G349" s="141">
        <v>0.44500000000000001</v>
      </c>
      <c r="H349" s="141">
        <v>0.48499999999999999</v>
      </c>
      <c r="I349" s="141">
        <v>0.47499999999999998</v>
      </c>
      <c r="J349" s="142">
        <v>0.505</v>
      </c>
      <c r="K349" s="141">
        <v>0.49</v>
      </c>
      <c r="L349" s="141">
        <v>0.51</v>
      </c>
      <c r="M349" s="141">
        <v>0.51</v>
      </c>
      <c r="N349" s="141">
        <v>0.51500000000000001</v>
      </c>
      <c r="O349" s="141">
        <v>0.52</v>
      </c>
      <c r="P349" s="142">
        <v>0.51500000000000001</v>
      </c>
      <c r="Q349" s="141">
        <v>0.46500000000000002</v>
      </c>
      <c r="R349" s="141">
        <v>0.46</v>
      </c>
      <c r="S349" s="141">
        <v>0.53500000000000003</v>
      </c>
      <c r="T349" s="141">
        <v>0.505</v>
      </c>
      <c r="U349" s="141">
        <v>0.495</v>
      </c>
      <c r="V349" s="142">
        <v>0.48</v>
      </c>
      <c r="W349" s="141">
        <v>0.49</v>
      </c>
      <c r="X349" s="141">
        <v>0.47499999999999998</v>
      </c>
      <c r="Y349" s="141">
        <v>0.48499999999999999</v>
      </c>
      <c r="Z349" s="141">
        <v>0.51500000000000001</v>
      </c>
      <c r="AA349" s="141">
        <v>0.44</v>
      </c>
      <c r="AB349" s="143">
        <f>_xlfn.STDEV.P(D349:AA349)</f>
        <v>2.3273733406281572E-2</v>
      </c>
      <c r="AC349" s="143"/>
    </row>
    <row r="350" spans="1:29">
      <c r="A350" s="260"/>
      <c r="C350" t="s">
        <v>220</v>
      </c>
      <c r="D350" s="141">
        <v>1</v>
      </c>
      <c r="E350" s="141">
        <v>1.0049999999999999</v>
      </c>
      <c r="F350" s="141">
        <v>1.0049999999999999</v>
      </c>
      <c r="G350" s="141">
        <v>1.0049999999999999</v>
      </c>
      <c r="H350" s="141">
        <v>0.98499999999999999</v>
      </c>
      <c r="I350" s="141">
        <v>0.97499999999999998</v>
      </c>
      <c r="J350" s="142">
        <v>1.02</v>
      </c>
      <c r="K350" s="141">
        <v>1.0049999999999999</v>
      </c>
      <c r="L350" s="141">
        <v>1</v>
      </c>
      <c r="M350" s="141">
        <v>1.03</v>
      </c>
      <c r="N350" s="141">
        <v>1.0049999999999999</v>
      </c>
      <c r="O350" s="141">
        <v>1.0049999999999999</v>
      </c>
      <c r="P350" s="142">
        <v>1.0049999999999999</v>
      </c>
      <c r="Q350" s="141">
        <v>1</v>
      </c>
      <c r="R350" s="141">
        <v>1.0449999999999999</v>
      </c>
      <c r="S350" s="141">
        <v>1.02</v>
      </c>
      <c r="T350" s="141">
        <v>1</v>
      </c>
      <c r="U350" s="141">
        <v>1.0049999999999999</v>
      </c>
      <c r="V350" s="142">
        <v>1</v>
      </c>
      <c r="W350" s="141">
        <v>1.0049999999999999</v>
      </c>
      <c r="X350" s="141">
        <v>1.01</v>
      </c>
      <c r="Y350" s="141">
        <v>0.995</v>
      </c>
      <c r="Z350" s="141">
        <v>1.01</v>
      </c>
      <c r="AA350" s="141">
        <v>0.95</v>
      </c>
      <c r="AB350" s="143">
        <f>_xlfn.STDEV.P(D350:AA350)</f>
        <v>1.7349301538934898E-2</v>
      </c>
      <c r="AC350" s="143"/>
    </row>
    <row r="351" spans="1:29">
      <c r="A351" s="260"/>
      <c r="C351" t="s">
        <v>221</v>
      </c>
      <c r="D351" s="144">
        <v>0.48499999999999999</v>
      </c>
      <c r="E351" s="144">
        <v>0.48499999999999999</v>
      </c>
      <c r="F351" s="144">
        <v>0.48</v>
      </c>
      <c r="G351" s="144">
        <v>0.46</v>
      </c>
      <c r="H351" s="144">
        <v>0.495</v>
      </c>
      <c r="I351" s="141">
        <v>0.45500000000000002</v>
      </c>
      <c r="J351" s="145">
        <v>0.48</v>
      </c>
      <c r="K351" s="144">
        <v>0.48</v>
      </c>
      <c r="L351" s="144">
        <v>0.44500000000000001</v>
      </c>
      <c r="M351" s="144">
        <v>0.42499999999999999</v>
      </c>
      <c r="N351" s="144">
        <v>0.49</v>
      </c>
      <c r="O351" s="141">
        <v>0.49</v>
      </c>
      <c r="P351" s="145">
        <v>0.48</v>
      </c>
      <c r="Q351" s="144">
        <v>0.505</v>
      </c>
      <c r="R351" s="144">
        <v>0.53500000000000003</v>
      </c>
      <c r="S351" s="144">
        <v>0.48499999999999999</v>
      </c>
      <c r="T351" s="144">
        <v>0.48499999999999999</v>
      </c>
      <c r="U351" s="141">
        <v>0.495</v>
      </c>
      <c r="V351" s="145">
        <v>0.505</v>
      </c>
      <c r="W351" s="144">
        <v>0.49</v>
      </c>
      <c r="X351" s="144">
        <v>0.48</v>
      </c>
      <c r="Y351" s="144">
        <v>0.60499999999999998</v>
      </c>
      <c r="Z351" s="144">
        <v>0.53</v>
      </c>
      <c r="AA351" s="144">
        <v>0.495</v>
      </c>
      <c r="AB351" s="143">
        <f>_xlfn.STDEV.P(D351:AA351)</f>
        <v>3.3134825586785079E-2</v>
      </c>
      <c r="AC351" s="146"/>
    </row>
    <row r="352" spans="1:29">
      <c r="A352" s="260"/>
      <c r="B352" s="147" t="s">
        <v>1857</v>
      </c>
      <c r="D352" s="148" t="s">
        <v>1794</v>
      </c>
      <c r="E352" s="148" t="s">
        <v>1796</v>
      </c>
      <c r="F352" s="148" t="s">
        <v>1794</v>
      </c>
      <c r="G352" s="148" t="s">
        <v>1794</v>
      </c>
      <c r="H352" s="148" t="s">
        <v>1794</v>
      </c>
      <c r="I352" s="149" t="s">
        <v>1794</v>
      </c>
      <c r="J352" s="150" t="s">
        <v>1794</v>
      </c>
      <c r="K352" s="148" t="s">
        <v>1794</v>
      </c>
      <c r="L352" s="148" t="s">
        <v>1794</v>
      </c>
      <c r="M352" s="148" t="s">
        <v>1794</v>
      </c>
      <c r="N352" s="148" t="s">
        <v>1794</v>
      </c>
      <c r="O352" s="149" t="s">
        <v>1794</v>
      </c>
      <c r="P352" s="150" t="s">
        <v>1794</v>
      </c>
      <c r="Q352" s="148" t="s">
        <v>1794</v>
      </c>
      <c r="R352" s="148" t="s">
        <v>1796</v>
      </c>
      <c r="S352" s="148" t="s">
        <v>1794</v>
      </c>
      <c r="T352" s="148" t="s">
        <v>1794</v>
      </c>
      <c r="U352" s="149" t="s">
        <v>1794</v>
      </c>
      <c r="V352" s="150" t="s">
        <v>1794</v>
      </c>
      <c r="W352" s="148" t="s">
        <v>1794</v>
      </c>
      <c r="X352" s="148" t="s">
        <v>1794</v>
      </c>
      <c r="Y352" s="148" t="s">
        <v>1794</v>
      </c>
      <c r="Z352" s="148" t="s">
        <v>1794</v>
      </c>
      <c r="AA352" s="148" t="s">
        <v>1794</v>
      </c>
      <c r="AB352" s="143"/>
      <c r="AC352" s="151" t="s">
        <v>1901</v>
      </c>
    </row>
    <row r="353" spans="1:29">
      <c r="A353" s="260"/>
      <c r="B353" s="126" t="s">
        <v>1861</v>
      </c>
      <c r="C353" s="127" t="s">
        <v>40</v>
      </c>
      <c r="D353" s="128">
        <v>0.48499999999999999</v>
      </c>
      <c r="E353" s="128">
        <v>0.49</v>
      </c>
      <c r="F353" s="128">
        <v>0.47499999999999998</v>
      </c>
      <c r="G353" s="128">
        <v>0.48</v>
      </c>
      <c r="H353" s="128">
        <v>0.46</v>
      </c>
      <c r="I353" s="128">
        <v>0.45</v>
      </c>
      <c r="J353" s="129">
        <v>0.47</v>
      </c>
      <c r="K353" s="128">
        <v>0.48499999999999999</v>
      </c>
      <c r="L353" s="128">
        <v>0.48499999999999999</v>
      </c>
      <c r="M353" s="128">
        <v>0.46500000000000002</v>
      </c>
      <c r="N353" s="128">
        <v>0.48</v>
      </c>
      <c r="O353" s="128">
        <v>0.51500000000000001</v>
      </c>
      <c r="P353" s="129">
        <v>0.46</v>
      </c>
      <c r="Q353" s="128">
        <v>0.46</v>
      </c>
      <c r="R353" s="128">
        <v>0.48499999999999999</v>
      </c>
      <c r="S353" s="128">
        <v>0.46500000000000002</v>
      </c>
      <c r="T353" s="128">
        <v>0.44500000000000001</v>
      </c>
      <c r="U353" s="128">
        <v>0.46</v>
      </c>
      <c r="V353" s="129">
        <v>0.46500000000000002</v>
      </c>
      <c r="W353" s="128">
        <v>0.47</v>
      </c>
      <c r="X353" s="128">
        <v>0.48</v>
      </c>
      <c r="Y353" s="128">
        <v>0.49</v>
      </c>
      <c r="Z353" s="128">
        <v>0.5</v>
      </c>
      <c r="AA353" s="128">
        <v>0.39</v>
      </c>
      <c r="AB353" s="132">
        <f>_xlfn.STDEV.P(D353:AA353)</f>
        <v>2.3105284388352944E-2</v>
      </c>
      <c r="AC353" s="132"/>
    </row>
    <row r="354" spans="1:29">
      <c r="A354" s="260"/>
      <c r="B354" s="126"/>
      <c r="C354" s="127" t="s">
        <v>220</v>
      </c>
      <c r="D354" s="128">
        <v>1.0049999999999999</v>
      </c>
      <c r="E354" s="128">
        <v>0.995</v>
      </c>
      <c r="F354" s="128">
        <v>1.0249999999999999</v>
      </c>
      <c r="G354" s="128">
        <v>1.0049999999999999</v>
      </c>
      <c r="H354" s="128">
        <v>1</v>
      </c>
      <c r="I354" s="128">
        <v>1</v>
      </c>
      <c r="J354" s="129">
        <v>1.0049999999999999</v>
      </c>
      <c r="K354" s="128">
        <v>1.0049999999999999</v>
      </c>
      <c r="L354" s="128">
        <v>0.99</v>
      </c>
      <c r="M354" s="128">
        <v>1.01</v>
      </c>
      <c r="N354" s="128">
        <v>0.99</v>
      </c>
      <c r="O354" s="128">
        <v>0.99</v>
      </c>
      <c r="P354" s="129">
        <v>0.995</v>
      </c>
      <c r="Q354" s="128">
        <v>1.0249999999999999</v>
      </c>
      <c r="R354" s="128">
        <v>0.995</v>
      </c>
      <c r="S354" s="128">
        <v>1</v>
      </c>
      <c r="T354" s="128">
        <v>1.0049999999999999</v>
      </c>
      <c r="U354" s="128">
        <v>0.99</v>
      </c>
      <c r="V354" s="129">
        <v>1</v>
      </c>
      <c r="W354" s="128">
        <v>1</v>
      </c>
      <c r="X354" s="128">
        <v>0.98</v>
      </c>
      <c r="Y354" s="128">
        <v>1.04</v>
      </c>
      <c r="Z354" s="128">
        <v>1</v>
      </c>
      <c r="AA354" s="128">
        <v>1.0149999999999999</v>
      </c>
      <c r="AB354" s="132">
        <f>_xlfn.STDEV.P(D354:AA354)</f>
        <v>1.2908263395549711E-2</v>
      </c>
      <c r="AC354" s="132"/>
    </row>
    <row r="355" spans="1:29">
      <c r="A355" s="260"/>
      <c r="B355" s="126"/>
      <c r="C355" s="127" t="s">
        <v>221</v>
      </c>
      <c r="D355" s="133">
        <v>0.5</v>
      </c>
      <c r="E355" s="133">
        <v>0.5</v>
      </c>
      <c r="F355" s="133">
        <v>0.47</v>
      </c>
      <c r="G355" s="133">
        <v>0.51</v>
      </c>
      <c r="H355" s="133">
        <v>0.52</v>
      </c>
      <c r="I355" s="128">
        <v>0.49</v>
      </c>
      <c r="J355" s="134">
        <v>0.51500000000000001</v>
      </c>
      <c r="K355" s="133">
        <v>0.52500000000000002</v>
      </c>
      <c r="L355" s="133">
        <v>0.505</v>
      </c>
      <c r="M355" s="133">
        <v>0.52500000000000002</v>
      </c>
      <c r="N355" s="133">
        <v>0.505</v>
      </c>
      <c r="O355" s="128">
        <v>0.54500000000000004</v>
      </c>
      <c r="P355" s="134">
        <v>0.54500000000000004</v>
      </c>
      <c r="Q355" s="133">
        <v>0.47499999999999998</v>
      </c>
      <c r="R355" s="133">
        <v>0.52</v>
      </c>
      <c r="S355" s="133">
        <v>0.52</v>
      </c>
      <c r="T355" s="133">
        <v>0.55500000000000005</v>
      </c>
      <c r="U355" s="128">
        <v>0.52500000000000002</v>
      </c>
      <c r="V355" s="134">
        <v>0.52500000000000002</v>
      </c>
      <c r="W355" s="133">
        <v>0.51</v>
      </c>
      <c r="X355" s="133">
        <v>0.51500000000000001</v>
      </c>
      <c r="Y355" s="133">
        <v>0.54</v>
      </c>
      <c r="Z355" s="133">
        <v>0.53500000000000003</v>
      </c>
      <c r="AA355" s="133">
        <v>0.5</v>
      </c>
      <c r="AB355" s="132">
        <f>_xlfn.STDEV.P(D355:AA355)</f>
        <v>2.0479283231272214E-2</v>
      </c>
      <c r="AC355" s="135"/>
    </row>
    <row r="356" spans="1:29">
      <c r="A356" s="260"/>
      <c r="B356" s="136" t="s">
        <v>1862</v>
      </c>
      <c r="C356" s="127"/>
      <c r="D356" s="137" t="s">
        <v>1794</v>
      </c>
      <c r="E356" s="137" t="s">
        <v>1796</v>
      </c>
      <c r="F356" s="137" t="s">
        <v>1796</v>
      </c>
      <c r="G356" s="137" t="s">
        <v>1794</v>
      </c>
      <c r="H356" s="137" t="s">
        <v>1794</v>
      </c>
      <c r="I356" s="138" t="s">
        <v>1795</v>
      </c>
      <c r="J356" s="139" t="s">
        <v>1794</v>
      </c>
      <c r="K356" s="137" t="s">
        <v>1796</v>
      </c>
      <c r="L356" s="137" t="s">
        <v>1794</v>
      </c>
      <c r="M356" s="137" t="s">
        <v>1794</v>
      </c>
      <c r="N356" s="137" t="s">
        <v>1794</v>
      </c>
      <c r="O356" s="138" t="s">
        <v>1794</v>
      </c>
      <c r="P356" s="139" t="s">
        <v>1794</v>
      </c>
      <c r="Q356" s="137" t="s">
        <v>1794</v>
      </c>
      <c r="R356" s="137" t="s">
        <v>1794</v>
      </c>
      <c r="S356" s="137" t="s">
        <v>1794</v>
      </c>
      <c r="T356" s="137" t="s">
        <v>1794</v>
      </c>
      <c r="U356" s="138" t="s">
        <v>1794</v>
      </c>
      <c r="V356" s="139" t="s">
        <v>1794</v>
      </c>
      <c r="W356" s="137" t="s">
        <v>1796</v>
      </c>
      <c r="X356" s="137" t="s">
        <v>1796</v>
      </c>
      <c r="Y356" s="137" t="s">
        <v>1794</v>
      </c>
      <c r="Z356" s="137" t="s">
        <v>1794</v>
      </c>
      <c r="AA356" s="137" t="s">
        <v>1794</v>
      </c>
      <c r="AB356" s="132"/>
      <c r="AC356" s="140" t="s">
        <v>1824</v>
      </c>
    </row>
    <row r="357" spans="1:29">
      <c r="A357" s="260"/>
      <c r="B357" t="s">
        <v>1864</v>
      </c>
      <c r="C357" t="s">
        <v>40</v>
      </c>
      <c r="D357" s="141">
        <v>0.52500000000000002</v>
      </c>
      <c r="E357" s="141">
        <v>0.47</v>
      </c>
      <c r="F357" s="141">
        <v>0.49</v>
      </c>
      <c r="G357" s="141">
        <v>0.47499999999999998</v>
      </c>
      <c r="H357" s="141">
        <v>0.48499999999999999</v>
      </c>
      <c r="I357" s="141">
        <v>0.48499999999999999</v>
      </c>
      <c r="J357" s="142">
        <v>0.49</v>
      </c>
      <c r="K357" s="141">
        <v>0.495</v>
      </c>
      <c r="L357" s="141">
        <v>0.48499999999999999</v>
      </c>
      <c r="M357" s="141">
        <v>0.51500000000000001</v>
      </c>
      <c r="N357" s="141">
        <v>0.495</v>
      </c>
      <c r="O357" s="141">
        <v>0.42499999999999999</v>
      </c>
      <c r="P357" s="142">
        <v>0.48</v>
      </c>
      <c r="Q357" s="141">
        <v>0.51</v>
      </c>
      <c r="R357" s="141">
        <v>0.51</v>
      </c>
      <c r="S357" s="141">
        <v>0.48499999999999999</v>
      </c>
      <c r="T357" s="141">
        <v>0.48499999999999999</v>
      </c>
      <c r="U357" s="141">
        <v>0.53500000000000003</v>
      </c>
      <c r="V357" s="142">
        <v>0.47</v>
      </c>
      <c r="W357" s="141">
        <v>0.51</v>
      </c>
      <c r="X357" s="141">
        <v>0.53</v>
      </c>
      <c r="Y357" s="141">
        <v>0.495</v>
      </c>
      <c r="Z357" s="141">
        <v>0.505</v>
      </c>
      <c r="AA357" s="141">
        <v>0.48</v>
      </c>
      <c r="AB357" s="143">
        <f>_xlfn.STDEV.P(D357:AA357)</f>
        <v>2.2680602333761395E-2</v>
      </c>
      <c r="AC357" s="143"/>
    </row>
    <row r="358" spans="1:29">
      <c r="A358" s="260"/>
      <c r="C358" t="s">
        <v>220</v>
      </c>
      <c r="D358" s="141">
        <v>1.0049999999999999</v>
      </c>
      <c r="E358" s="141">
        <v>1</v>
      </c>
      <c r="F358" s="141">
        <v>1.0149999999999999</v>
      </c>
      <c r="G358" s="141">
        <v>1.0049999999999999</v>
      </c>
      <c r="H358" s="141">
        <v>1.0049999999999999</v>
      </c>
      <c r="I358" s="141">
        <v>1.0049999999999999</v>
      </c>
      <c r="J358" s="142">
        <v>0.98499999999999999</v>
      </c>
      <c r="K358" s="141">
        <v>0.99</v>
      </c>
      <c r="L358" s="141">
        <v>1.0049999999999999</v>
      </c>
      <c r="M358" s="141">
        <v>0.99</v>
      </c>
      <c r="N358" s="141">
        <v>1</v>
      </c>
      <c r="O358" s="141">
        <v>1.01</v>
      </c>
      <c r="P358" s="142">
        <v>1</v>
      </c>
      <c r="Q358" s="141">
        <v>0.99</v>
      </c>
      <c r="R358" s="141">
        <v>1</v>
      </c>
      <c r="S358" s="141">
        <v>0.99</v>
      </c>
      <c r="T358" s="141">
        <v>1.01</v>
      </c>
      <c r="U358" s="141">
        <v>0.98499999999999999</v>
      </c>
      <c r="V358" s="142">
        <v>0.995</v>
      </c>
      <c r="W358" s="141">
        <v>1.0049999999999999</v>
      </c>
      <c r="X358" s="141">
        <v>0.995</v>
      </c>
      <c r="Y358" s="141">
        <v>1.0049999999999999</v>
      </c>
      <c r="Z358" s="141">
        <v>0.995</v>
      </c>
      <c r="AA358" s="141">
        <v>0.995</v>
      </c>
      <c r="AB358" s="143">
        <f>_xlfn.STDEV.P(D358:AA358)</f>
        <v>7.9930525388545066E-3</v>
      </c>
      <c r="AC358" s="143"/>
    </row>
    <row r="359" spans="1:29">
      <c r="A359" s="260"/>
      <c r="C359" t="s">
        <v>221</v>
      </c>
      <c r="D359" s="144">
        <v>0.55000000000000004</v>
      </c>
      <c r="E359" s="144">
        <v>0.54500000000000004</v>
      </c>
      <c r="F359" s="144">
        <v>0.55000000000000004</v>
      </c>
      <c r="G359" s="144">
        <v>0.53</v>
      </c>
      <c r="H359" s="144">
        <v>0.55000000000000004</v>
      </c>
      <c r="I359" s="141">
        <v>0.53</v>
      </c>
      <c r="J359" s="145">
        <v>0.54500000000000004</v>
      </c>
      <c r="K359" s="144">
        <v>0.56499999999999995</v>
      </c>
      <c r="L359" s="144">
        <v>0.54500000000000004</v>
      </c>
      <c r="M359" s="144">
        <v>0.56999999999999995</v>
      </c>
      <c r="N359" s="144">
        <v>0.56499999999999995</v>
      </c>
      <c r="O359" s="141">
        <v>0.51</v>
      </c>
      <c r="P359" s="145">
        <v>0.52500000000000002</v>
      </c>
      <c r="Q359" s="144">
        <v>0.52</v>
      </c>
      <c r="R359" s="144">
        <v>0.5</v>
      </c>
      <c r="S359" s="144">
        <v>0.55000000000000004</v>
      </c>
      <c r="T359" s="144">
        <v>0.53</v>
      </c>
      <c r="U359" s="141">
        <v>0.56499999999999995</v>
      </c>
      <c r="V359" s="145">
        <v>0.52500000000000002</v>
      </c>
      <c r="W359" s="144">
        <v>0.53500000000000003</v>
      </c>
      <c r="X359" s="144">
        <v>0.53500000000000003</v>
      </c>
      <c r="Y359" s="144">
        <v>0.55000000000000004</v>
      </c>
      <c r="Z359" s="144">
        <v>0.53</v>
      </c>
      <c r="AA359" s="144">
        <v>0.56499999999999995</v>
      </c>
      <c r="AB359" s="143">
        <f>_xlfn.STDEV.P(D359:AA359)</f>
        <v>1.796867451674965E-2</v>
      </c>
      <c r="AC359" s="146"/>
    </row>
    <row r="360" spans="1:29">
      <c r="A360" s="260"/>
      <c r="B360" s="147" t="s">
        <v>1865</v>
      </c>
      <c r="D360" s="148" t="s">
        <v>1794</v>
      </c>
      <c r="E360" s="148" t="s">
        <v>1794</v>
      </c>
      <c r="F360" s="148" t="s">
        <v>1794</v>
      </c>
      <c r="G360" s="148" t="s">
        <v>1794</v>
      </c>
      <c r="H360" s="148" t="s">
        <v>1794</v>
      </c>
      <c r="I360" s="149" t="s">
        <v>1794</v>
      </c>
      <c r="J360" s="150" t="s">
        <v>1794</v>
      </c>
      <c r="K360" s="148" t="s">
        <v>1794</v>
      </c>
      <c r="L360" s="148" t="s">
        <v>1794</v>
      </c>
      <c r="M360" s="148" t="s">
        <v>1794</v>
      </c>
      <c r="N360" s="148" t="s">
        <v>1794</v>
      </c>
      <c r="O360" s="149" t="s">
        <v>1794</v>
      </c>
      <c r="P360" s="150" t="s">
        <v>1794</v>
      </c>
      <c r="Q360" s="148" t="s">
        <v>1794</v>
      </c>
      <c r="R360" s="148" t="s">
        <v>1794</v>
      </c>
      <c r="S360" s="148" t="s">
        <v>1794</v>
      </c>
      <c r="T360" s="148" t="s">
        <v>1794</v>
      </c>
      <c r="U360" s="149" t="s">
        <v>1794</v>
      </c>
      <c r="V360" s="150" t="s">
        <v>1794</v>
      </c>
      <c r="W360" s="148" t="s">
        <v>1794</v>
      </c>
      <c r="X360" s="148" t="s">
        <v>1794</v>
      </c>
      <c r="Y360" s="148" t="s">
        <v>1794</v>
      </c>
      <c r="Z360" s="148" t="s">
        <v>1794</v>
      </c>
      <c r="AA360" s="148" t="s">
        <v>1794</v>
      </c>
      <c r="AB360" s="143"/>
      <c r="AC360" s="151" t="s">
        <v>1800</v>
      </c>
    </row>
    <row r="361" spans="1:29">
      <c r="A361" s="260"/>
      <c r="AB361" s="143"/>
    </row>
    <row r="362" spans="1:29">
      <c r="A362" s="260" t="s">
        <v>198</v>
      </c>
      <c r="B362" s="126" t="s">
        <v>1792</v>
      </c>
      <c r="C362" s="127" t="s">
        <v>40</v>
      </c>
      <c r="D362" s="128">
        <v>0.56499999999999995</v>
      </c>
      <c r="E362" s="128">
        <v>0.63500000000000001</v>
      </c>
      <c r="F362" s="128">
        <v>0.46500000000000002</v>
      </c>
      <c r="G362" s="128">
        <v>0.53</v>
      </c>
      <c r="H362" s="128">
        <v>0.54</v>
      </c>
      <c r="I362" s="128">
        <v>0.44500000000000001</v>
      </c>
      <c r="J362" s="129">
        <v>0.51</v>
      </c>
      <c r="K362" s="128">
        <v>0.54500000000000004</v>
      </c>
      <c r="L362" s="128">
        <v>0.52500000000000002</v>
      </c>
      <c r="M362" s="128">
        <v>0.54500000000000004</v>
      </c>
      <c r="N362" s="128">
        <v>0.55500000000000005</v>
      </c>
      <c r="O362" s="128">
        <v>0.52</v>
      </c>
      <c r="P362" s="129">
        <v>0.56499999999999995</v>
      </c>
      <c r="Q362" s="128">
        <v>0.56999999999999995</v>
      </c>
      <c r="R362" s="128">
        <v>0.56999999999999995</v>
      </c>
      <c r="S362" s="128">
        <v>0.52500000000000002</v>
      </c>
      <c r="T362" s="128">
        <v>0.55500000000000005</v>
      </c>
      <c r="U362" s="128">
        <v>0.53500000000000003</v>
      </c>
      <c r="V362" s="129">
        <v>0.53500000000000003</v>
      </c>
      <c r="W362" s="128">
        <v>0.53500000000000003</v>
      </c>
      <c r="X362" s="128">
        <v>0.54500000000000004</v>
      </c>
      <c r="Y362" s="128">
        <v>0.54500000000000004</v>
      </c>
      <c r="Z362" s="128">
        <v>0.54</v>
      </c>
      <c r="AA362" s="128">
        <v>0.54</v>
      </c>
      <c r="AB362" s="132">
        <f>_xlfn.STDEV.P(D362:AA362)</f>
        <v>3.4870793254846121E-2</v>
      </c>
      <c r="AC362" s="132"/>
    </row>
    <row r="363" spans="1:29">
      <c r="A363" s="260"/>
      <c r="B363" s="126"/>
      <c r="C363" s="127" t="s">
        <v>220</v>
      </c>
      <c r="D363" s="128">
        <v>0.95499999999999996</v>
      </c>
      <c r="E363" s="128">
        <v>1.02</v>
      </c>
      <c r="F363" s="128">
        <v>1.0349999999999999</v>
      </c>
      <c r="G363" s="128">
        <v>1.0149999999999999</v>
      </c>
      <c r="H363" s="128">
        <v>1.01</v>
      </c>
      <c r="I363" s="128">
        <v>1.02</v>
      </c>
      <c r="J363" s="129">
        <v>1.0149999999999999</v>
      </c>
      <c r="K363" s="128">
        <v>1.0249999999999999</v>
      </c>
      <c r="L363" s="128">
        <v>1.01</v>
      </c>
      <c r="M363" s="128">
        <v>0.99</v>
      </c>
      <c r="N363" s="128">
        <v>1.08</v>
      </c>
      <c r="O363" s="128">
        <v>1.0149999999999999</v>
      </c>
      <c r="P363" s="129">
        <v>0.98499999999999999</v>
      </c>
      <c r="Q363" s="128">
        <v>1</v>
      </c>
      <c r="R363" s="128">
        <v>1.01</v>
      </c>
      <c r="S363" s="128">
        <v>1.0049999999999999</v>
      </c>
      <c r="T363" s="128">
        <v>1.01</v>
      </c>
      <c r="U363" s="128">
        <v>1.0149999999999999</v>
      </c>
      <c r="V363" s="129">
        <v>1.0049999999999999</v>
      </c>
      <c r="W363" s="128">
        <v>1.01</v>
      </c>
      <c r="X363" s="128">
        <v>1.01</v>
      </c>
      <c r="Y363" s="128">
        <v>1.0149999999999999</v>
      </c>
      <c r="Z363" s="128">
        <v>1.0149999999999999</v>
      </c>
      <c r="AA363" s="128">
        <v>1.01</v>
      </c>
      <c r="AB363" s="132">
        <f>_xlfn.STDEV.P(D363:AA363)</f>
        <v>2.0649186155606455E-2</v>
      </c>
      <c r="AC363" s="132"/>
    </row>
    <row r="364" spans="1:29">
      <c r="A364" s="260"/>
      <c r="B364" s="126"/>
      <c r="C364" s="127" t="s">
        <v>221</v>
      </c>
      <c r="D364" s="133">
        <v>0.42</v>
      </c>
      <c r="E364" s="133">
        <v>0.45500000000000002</v>
      </c>
      <c r="F364" s="133">
        <v>0.36499999999999999</v>
      </c>
      <c r="G364" s="133">
        <v>0.41499999999999998</v>
      </c>
      <c r="H364" s="133">
        <v>0.42499999999999999</v>
      </c>
      <c r="I364" s="128">
        <v>0.375</v>
      </c>
      <c r="J364" s="134">
        <v>0.41499999999999998</v>
      </c>
      <c r="K364" s="133">
        <v>0.42</v>
      </c>
      <c r="L364" s="133">
        <v>0.40500000000000003</v>
      </c>
      <c r="M364" s="133">
        <v>0.38500000000000001</v>
      </c>
      <c r="N364" s="133">
        <v>0.39</v>
      </c>
      <c r="O364" s="128">
        <v>0.435</v>
      </c>
      <c r="P364" s="134">
        <v>0.435</v>
      </c>
      <c r="Q364" s="133">
        <v>0.40500000000000003</v>
      </c>
      <c r="R364" s="133">
        <v>0.43</v>
      </c>
      <c r="S364" s="133">
        <v>0.42</v>
      </c>
      <c r="T364" s="133">
        <v>0.46500000000000002</v>
      </c>
      <c r="U364" s="128">
        <v>0.44</v>
      </c>
      <c r="V364" s="134">
        <v>0.435</v>
      </c>
      <c r="W364" s="133">
        <v>0.42499999999999999</v>
      </c>
      <c r="X364" s="133">
        <v>0.435</v>
      </c>
      <c r="Y364" s="133">
        <v>0.44</v>
      </c>
      <c r="Z364" s="133">
        <v>0.43</v>
      </c>
      <c r="AA364" s="133">
        <v>0.42</v>
      </c>
      <c r="AB364" s="132">
        <f>_xlfn.STDEV.P(D364:AA364)</f>
        <v>2.3160633207137397E-2</v>
      </c>
      <c r="AC364" s="135"/>
    </row>
    <row r="365" spans="1:29">
      <c r="A365" s="260"/>
      <c r="B365" s="136" t="s">
        <v>1793</v>
      </c>
      <c r="C365" s="127"/>
      <c r="D365" s="137" t="s">
        <v>1794</v>
      </c>
      <c r="E365" s="137" t="s">
        <v>1794</v>
      </c>
      <c r="F365" s="137" t="s">
        <v>1794</v>
      </c>
      <c r="G365" s="137" t="s">
        <v>1794</v>
      </c>
      <c r="H365" s="137" t="s">
        <v>1794</v>
      </c>
      <c r="I365" s="138" t="s">
        <v>1794</v>
      </c>
      <c r="J365" s="139" t="s">
        <v>1794</v>
      </c>
      <c r="K365" s="137" t="s">
        <v>1794</v>
      </c>
      <c r="L365" s="137" t="s">
        <v>1794</v>
      </c>
      <c r="M365" s="137" t="s">
        <v>1794</v>
      </c>
      <c r="N365" s="137" t="s">
        <v>1794</v>
      </c>
      <c r="O365" s="138" t="s">
        <v>1794</v>
      </c>
      <c r="P365" s="139" t="s">
        <v>1794</v>
      </c>
      <c r="Q365" s="137" t="s">
        <v>1794</v>
      </c>
      <c r="R365" s="137" t="s">
        <v>1794</v>
      </c>
      <c r="S365" s="137" t="s">
        <v>1794</v>
      </c>
      <c r="T365" s="137" t="s">
        <v>1794</v>
      </c>
      <c r="U365" s="138" t="s">
        <v>1794</v>
      </c>
      <c r="V365" s="139" t="s">
        <v>1794</v>
      </c>
      <c r="W365" s="137" t="s">
        <v>1794</v>
      </c>
      <c r="X365" s="137" t="s">
        <v>1794</v>
      </c>
      <c r="Y365" s="137" t="s">
        <v>1794</v>
      </c>
      <c r="Z365" s="137" t="s">
        <v>1794</v>
      </c>
      <c r="AA365" s="137" t="s">
        <v>1794</v>
      </c>
      <c r="AB365" s="132"/>
      <c r="AC365" s="140" t="s">
        <v>1800</v>
      </c>
    </row>
    <row r="366" spans="1:29">
      <c r="A366" s="260"/>
      <c r="B366" t="s">
        <v>1798</v>
      </c>
      <c r="C366" t="s">
        <v>40</v>
      </c>
      <c r="D366" s="141">
        <v>0.56999999999999995</v>
      </c>
      <c r="E366" s="141">
        <v>0.56000000000000005</v>
      </c>
      <c r="F366" s="141">
        <v>0.53500000000000003</v>
      </c>
      <c r="G366" s="141">
        <v>0.56000000000000005</v>
      </c>
      <c r="H366" s="141">
        <v>0.54500000000000004</v>
      </c>
      <c r="I366" s="141">
        <v>0.56000000000000005</v>
      </c>
      <c r="J366" s="142">
        <v>0.56499999999999995</v>
      </c>
      <c r="K366" s="141">
        <v>0.59499999999999997</v>
      </c>
      <c r="L366" s="141">
        <v>0.59</v>
      </c>
      <c r="M366" s="141">
        <v>0.56999999999999995</v>
      </c>
      <c r="N366" s="141">
        <v>0.57499999999999996</v>
      </c>
      <c r="O366" s="141">
        <v>0.51</v>
      </c>
      <c r="P366" s="142">
        <v>0.53500000000000003</v>
      </c>
      <c r="Q366" s="141">
        <v>0.53500000000000003</v>
      </c>
      <c r="R366" s="141">
        <v>0.53500000000000003</v>
      </c>
      <c r="S366" s="141">
        <v>0.54</v>
      </c>
      <c r="T366" s="141">
        <v>0.55500000000000005</v>
      </c>
      <c r="U366" s="141">
        <v>0.53</v>
      </c>
      <c r="V366" s="142">
        <v>0.55500000000000005</v>
      </c>
      <c r="W366" s="141">
        <v>0.55500000000000005</v>
      </c>
      <c r="X366" s="141">
        <v>0.55500000000000005</v>
      </c>
      <c r="Y366" s="141">
        <v>0.505</v>
      </c>
      <c r="Z366" s="141">
        <v>0.53500000000000003</v>
      </c>
      <c r="AA366" s="141">
        <v>0.55500000000000005</v>
      </c>
      <c r="AB366" s="143">
        <f>_xlfn.STDEV.P(D366:AA366)</f>
        <v>2.1358993356949709E-2</v>
      </c>
      <c r="AC366" s="143"/>
    </row>
    <row r="367" spans="1:29">
      <c r="A367" s="260"/>
      <c r="C367" t="s">
        <v>220</v>
      </c>
      <c r="D367" s="141">
        <v>1.0149999999999999</v>
      </c>
      <c r="E367" s="141">
        <v>1.02</v>
      </c>
      <c r="F367" s="141">
        <v>1.0149999999999999</v>
      </c>
      <c r="G367" s="141">
        <v>1.02</v>
      </c>
      <c r="H367" s="141">
        <v>1.01</v>
      </c>
      <c r="I367" s="141">
        <v>1.0149999999999999</v>
      </c>
      <c r="J367" s="142">
        <v>1.0149999999999999</v>
      </c>
      <c r="K367" s="141">
        <v>1.02</v>
      </c>
      <c r="L367" s="141">
        <v>1.01</v>
      </c>
      <c r="M367" s="141">
        <v>1.0149999999999999</v>
      </c>
      <c r="N367" s="141">
        <v>1.0149999999999999</v>
      </c>
      <c r="O367" s="141">
        <v>1.01</v>
      </c>
      <c r="P367" s="142">
        <v>1.0149999999999999</v>
      </c>
      <c r="Q367" s="141">
        <v>1.01</v>
      </c>
      <c r="R367" s="141">
        <v>1.0149999999999999</v>
      </c>
      <c r="S367" s="141">
        <v>1.0149999999999999</v>
      </c>
      <c r="T367" s="141">
        <v>1.0149999999999999</v>
      </c>
      <c r="U367" s="141">
        <v>1.0149999999999999</v>
      </c>
      <c r="V367" s="142">
        <v>1.0649999999999999</v>
      </c>
      <c r="W367" s="141">
        <v>1.0049999999999999</v>
      </c>
      <c r="X367" s="141">
        <v>1.0249999999999999</v>
      </c>
      <c r="Y367" s="141">
        <v>1.0149999999999999</v>
      </c>
      <c r="Z367" s="141">
        <v>0.99</v>
      </c>
      <c r="AA367" s="141">
        <v>1.0249999999999999</v>
      </c>
      <c r="AB367" s="143">
        <f>_xlfn.STDEV.P(D367:AA367)</f>
        <v>1.2183492931011201E-2</v>
      </c>
      <c r="AC367" s="143"/>
    </row>
    <row r="368" spans="1:29">
      <c r="A368" s="260"/>
      <c r="C368" t="s">
        <v>221</v>
      </c>
      <c r="D368" s="144">
        <v>0.39</v>
      </c>
      <c r="E368" s="144">
        <v>0.39500000000000002</v>
      </c>
      <c r="F368" s="144">
        <v>0.4</v>
      </c>
      <c r="G368" s="144">
        <v>0.39500000000000002</v>
      </c>
      <c r="H368" s="144">
        <v>0.4</v>
      </c>
      <c r="I368" s="141">
        <v>0.42</v>
      </c>
      <c r="J368" s="145">
        <v>0.41</v>
      </c>
      <c r="K368" s="144">
        <v>0.41</v>
      </c>
      <c r="L368" s="144">
        <v>0.41</v>
      </c>
      <c r="M368" s="144">
        <v>0.39500000000000002</v>
      </c>
      <c r="N368" s="144">
        <v>0.41</v>
      </c>
      <c r="O368" s="141">
        <v>0.45</v>
      </c>
      <c r="P368" s="145">
        <v>0.42499999999999999</v>
      </c>
      <c r="Q368" s="144">
        <v>0.44500000000000001</v>
      </c>
      <c r="R368" s="144">
        <v>0.43</v>
      </c>
      <c r="S368" s="144">
        <v>0.375</v>
      </c>
      <c r="T368" s="144">
        <v>0.42499999999999999</v>
      </c>
      <c r="U368" s="141">
        <v>0.4</v>
      </c>
      <c r="V368" s="145">
        <v>0.45</v>
      </c>
      <c r="W368" s="144">
        <v>0.39</v>
      </c>
      <c r="X368" s="144">
        <v>0.38500000000000001</v>
      </c>
      <c r="Y368" s="144">
        <v>0.38</v>
      </c>
      <c r="Z368" s="144">
        <v>0.42</v>
      </c>
      <c r="AA368" s="144">
        <v>0.40500000000000003</v>
      </c>
      <c r="AB368" s="143">
        <f>_xlfn.STDEV.P(D368:AA368)</f>
        <v>2.0411351348915845E-2</v>
      </c>
      <c r="AC368" s="146"/>
    </row>
    <row r="369" spans="1:29">
      <c r="A369" s="260"/>
      <c r="B369" s="147" t="s">
        <v>1799</v>
      </c>
      <c r="D369" s="148" t="s">
        <v>1794</v>
      </c>
      <c r="E369" s="148" t="s">
        <v>1794</v>
      </c>
      <c r="F369" s="148" t="s">
        <v>1794</v>
      </c>
      <c r="G369" s="148" t="s">
        <v>1794</v>
      </c>
      <c r="H369" s="148" t="s">
        <v>1794</v>
      </c>
      <c r="I369" s="149" t="s">
        <v>1794</v>
      </c>
      <c r="J369" s="150" t="s">
        <v>1794</v>
      </c>
      <c r="K369" s="148" t="s">
        <v>1794</v>
      </c>
      <c r="L369" s="148" t="s">
        <v>1794</v>
      </c>
      <c r="M369" s="148" t="s">
        <v>1794</v>
      </c>
      <c r="N369" s="148" t="s">
        <v>1794</v>
      </c>
      <c r="O369" s="149" t="s">
        <v>1794</v>
      </c>
      <c r="P369" s="150" t="s">
        <v>1794</v>
      </c>
      <c r="Q369" s="148" t="s">
        <v>1794</v>
      </c>
      <c r="R369" s="148" t="s">
        <v>1794</v>
      </c>
      <c r="S369" s="148" t="s">
        <v>1794</v>
      </c>
      <c r="T369" s="148" t="s">
        <v>1794</v>
      </c>
      <c r="U369" s="149" t="s">
        <v>1796</v>
      </c>
      <c r="V369" s="150" t="s">
        <v>1794</v>
      </c>
      <c r="W369" s="148" t="s">
        <v>1796</v>
      </c>
      <c r="X369" s="148" t="s">
        <v>1796</v>
      </c>
      <c r="Y369" s="148" t="s">
        <v>1794</v>
      </c>
      <c r="Z369" s="148" t="s">
        <v>1796</v>
      </c>
      <c r="AA369" s="148" t="s">
        <v>1794</v>
      </c>
      <c r="AB369" s="143"/>
      <c r="AC369" s="151" t="s">
        <v>1906</v>
      </c>
    </row>
    <row r="370" spans="1:29">
      <c r="A370" s="260"/>
      <c r="B370" t="s">
        <v>1801</v>
      </c>
      <c r="C370" t="s">
        <v>40</v>
      </c>
      <c r="D370" s="141">
        <v>0.55500000000000005</v>
      </c>
      <c r="E370" s="141">
        <v>0.53500000000000003</v>
      </c>
      <c r="F370" s="141">
        <v>0.435</v>
      </c>
      <c r="G370" s="141">
        <v>0.57499999999999996</v>
      </c>
      <c r="H370" s="141">
        <v>0.56000000000000005</v>
      </c>
      <c r="I370" s="141">
        <v>0.53500000000000003</v>
      </c>
      <c r="J370" s="142">
        <v>0.55000000000000004</v>
      </c>
      <c r="K370" s="141">
        <v>0.54</v>
      </c>
      <c r="L370" s="141">
        <v>0.56999999999999995</v>
      </c>
      <c r="M370" s="141">
        <v>0.54500000000000004</v>
      </c>
      <c r="N370" s="141">
        <v>0.51</v>
      </c>
      <c r="O370" s="141">
        <v>0.53</v>
      </c>
      <c r="P370" s="142">
        <v>0.53</v>
      </c>
      <c r="Q370" s="141">
        <v>0.53</v>
      </c>
      <c r="R370" s="141">
        <v>0.435</v>
      </c>
      <c r="S370" s="141">
        <v>0.52</v>
      </c>
      <c r="T370" s="141">
        <v>0.55500000000000005</v>
      </c>
      <c r="U370" s="141">
        <v>0.55000000000000004</v>
      </c>
      <c r="V370" s="142">
        <v>0.56000000000000005</v>
      </c>
      <c r="W370" s="141">
        <v>0.54500000000000004</v>
      </c>
      <c r="X370" s="141">
        <v>0.48499999999999999</v>
      </c>
      <c r="Y370" s="141">
        <v>0.55500000000000005</v>
      </c>
      <c r="Z370" s="141">
        <v>0.57499999999999996</v>
      </c>
      <c r="AA370" s="141">
        <v>0.54500000000000004</v>
      </c>
      <c r="AB370" s="143">
        <f>_xlfn.STDEV.P(D370:AA370)</f>
        <v>3.5977785391358749E-2</v>
      </c>
      <c r="AC370" s="143"/>
    </row>
    <row r="371" spans="1:29">
      <c r="A371" s="260"/>
      <c r="C371" t="s">
        <v>220</v>
      </c>
      <c r="D371" s="141">
        <v>1.0149999999999999</v>
      </c>
      <c r="E371" s="141">
        <v>1.03</v>
      </c>
      <c r="F371" s="141">
        <v>1.0249999999999999</v>
      </c>
      <c r="G371" s="141">
        <v>1.02</v>
      </c>
      <c r="H371" s="141">
        <v>1.01</v>
      </c>
      <c r="I371" s="141">
        <v>1.0049999999999999</v>
      </c>
      <c r="J371" s="142">
        <v>0.98499999999999999</v>
      </c>
      <c r="K371" s="141">
        <v>1.0149999999999999</v>
      </c>
      <c r="L371" s="141">
        <v>0.995</v>
      </c>
      <c r="M371" s="141">
        <v>1.0249999999999999</v>
      </c>
      <c r="N371" s="141">
        <v>1.01</v>
      </c>
      <c r="O371" s="141">
        <v>1.02</v>
      </c>
      <c r="P371" s="142">
        <v>0.97499999999999998</v>
      </c>
      <c r="Q371" s="141">
        <v>1.02</v>
      </c>
      <c r="R371" s="141">
        <v>1.0349999999999999</v>
      </c>
      <c r="S371" s="141">
        <v>1.0549999999999999</v>
      </c>
      <c r="T371" s="141">
        <v>1.105</v>
      </c>
      <c r="U371" s="141">
        <v>1.01</v>
      </c>
      <c r="V371" s="142">
        <v>1.0349999999999999</v>
      </c>
      <c r="W371" s="141">
        <v>1.0049999999999999</v>
      </c>
      <c r="X371" s="141">
        <v>1.0449999999999999</v>
      </c>
      <c r="Y371" s="141">
        <v>1.04</v>
      </c>
      <c r="Z371" s="141">
        <v>0.99</v>
      </c>
      <c r="AA371" s="141">
        <v>1.0149999999999999</v>
      </c>
      <c r="AB371" s="143">
        <f>_xlfn.STDEV.P(D371:AA371)</f>
        <v>2.5555461201516635E-2</v>
      </c>
      <c r="AC371" s="143"/>
    </row>
    <row r="372" spans="1:29">
      <c r="A372" s="260"/>
      <c r="C372" t="s">
        <v>221</v>
      </c>
      <c r="D372" s="144">
        <v>0.43</v>
      </c>
      <c r="E372" s="144">
        <v>0.44</v>
      </c>
      <c r="F372" s="144">
        <v>0.48</v>
      </c>
      <c r="G372" s="144">
        <v>0.44500000000000001</v>
      </c>
      <c r="H372" s="144">
        <v>0.41</v>
      </c>
      <c r="I372" s="141">
        <v>0.42</v>
      </c>
      <c r="J372" s="145">
        <v>0.4</v>
      </c>
      <c r="K372" s="144">
        <v>0.42</v>
      </c>
      <c r="L372" s="144">
        <v>0.45</v>
      </c>
      <c r="M372" s="144">
        <v>0.41</v>
      </c>
      <c r="N372" s="144">
        <v>0.44</v>
      </c>
      <c r="O372" s="141">
        <v>0.40500000000000003</v>
      </c>
      <c r="P372" s="145">
        <v>0.48</v>
      </c>
      <c r="Q372" s="144">
        <v>0.42</v>
      </c>
      <c r="R372" s="144">
        <v>0.38500000000000001</v>
      </c>
      <c r="S372" s="144">
        <v>0.505</v>
      </c>
      <c r="T372" s="144">
        <v>0.35499999999999998</v>
      </c>
      <c r="U372" s="141">
        <v>0.42499999999999999</v>
      </c>
      <c r="V372" s="145">
        <v>0.435</v>
      </c>
      <c r="W372" s="144">
        <v>0.43</v>
      </c>
      <c r="X372" s="144">
        <v>0.375</v>
      </c>
      <c r="Y372" s="144">
        <v>0.41499999999999998</v>
      </c>
      <c r="Z372" s="144">
        <v>0.45500000000000002</v>
      </c>
      <c r="AA372" s="144">
        <v>0.46</v>
      </c>
      <c r="AB372" s="143">
        <f>_xlfn.STDEV.P(D372:AA372)</f>
        <v>3.3236839500770825E-2</v>
      </c>
      <c r="AC372" s="146"/>
    </row>
    <row r="373" spans="1:29">
      <c r="A373" s="260"/>
      <c r="B373" s="147" t="s">
        <v>1802</v>
      </c>
      <c r="D373" s="148" t="s">
        <v>1794</v>
      </c>
      <c r="E373" s="148" t="s">
        <v>1803</v>
      </c>
      <c r="F373" s="148" t="s">
        <v>1796</v>
      </c>
      <c r="G373" s="148" t="s">
        <v>1796</v>
      </c>
      <c r="H373" s="148" t="s">
        <v>1794</v>
      </c>
      <c r="I373" s="149" t="s">
        <v>1795</v>
      </c>
      <c r="J373" s="150" t="s">
        <v>1794</v>
      </c>
      <c r="K373" s="148" t="s">
        <v>1796</v>
      </c>
      <c r="L373" s="148" t="s">
        <v>1796</v>
      </c>
      <c r="M373" s="148" t="s">
        <v>1794</v>
      </c>
      <c r="N373" s="148" t="s">
        <v>1794</v>
      </c>
      <c r="O373" s="149" t="s">
        <v>1796</v>
      </c>
      <c r="P373" s="150" t="s">
        <v>1796</v>
      </c>
      <c r="Q373" s="148" t="s">
        <v>1796</v>
      </c>
      <c r="R373" s="148" t="s">
        <v>1803</v>
      </c>
      <c r="S373" s="148" t="s">
        <v>1796</v>
      </c>
      <c r="T373" s="148" t="s">
        <v>1796</v>
      </c>
      <c r="U373" s="149" t="s">
        <v>1796</v>
      </c>
      <c r="V373" s="150" t="s">
        <v>1796</v>
      </c>
      <c r="W373" s="148" t="s">
        <v>1796</v>
      </c>
      <c r="X373" s="148" t="s">
        <v>1796</v>
      </c>
      <c r="Y373" s="148" t="s">
        <v>1794</v>
      </c>
      <c r="Z373" s="148" t="s">
        <v>1794</v>
      </c>
      <c r="AA373" s="148" t="s">
        <v>1794</v>
      </c>
      <c r="AB373" s="143"/>
      <c r="AC373" s="151" t="s">
        <v>1910</v>
      </c>
    </row>
    <row r="374" spans="1:29">
      <c r="A374" s="260"/>
      <c r="B374" s="153" t="s">
        <v>1805</v>
      </c>
      <c r="C374" s="153" t="s">
        <v>40</v>
      </c>
      <c r="D374" s="154">
        <v>0.55000000000000004</v>
      </c>
      <c r="E374" s="154">
        <v>0.55000000000000004</v>
      </c>
      <c r="F374" s="154">
        <v>0.69499999999999995</v>
      </c>
      <c r="G374" s="154">
        <v>0.54</v>
      </c>
      <c r="H374" s="154">
        <v>0.55500000000000005</v>
      </c>
      <c r="I374" s="154">
        <v>0.55000000000000004</v>
      </c>
      <c r="J374" s="155">
        <v>0.57999999999999996</v>
      </c>
      <c r="K374" s="154">
        <v>0.55000000000000004</v>
      </c>
      <c r="L374" s="154">
        <v>0.53500000000000003</v>
      </c>
      <c r="M374" s="154">
        <v>0.54</v>
      </c>
      <c r="N374" s="154">
        <v>0.56499999999999995</v>
      </c>
      <c r="O374" s="154">
        <v>0.53</v>
      </c>
      <c r="P374" s="155">
        <v>0.56000000000000005</v>
      </c>
      <c r="Q374" s="154">
        <v>0.60499999999999998</v>
      </c>
      <c r="R374" s="154">
        <v>0.44</v>
      </c>
      <c r="S374" s="154">
        <v>0.68</v>
      </c>
      <c r="T374" s="154">
        <v>0.56000000000000005</v>
      </c>
      <c r="U374" s="154">
        <v>0.53500000000000003</v>
      </c>
      <c r="V374" s="155">
        <v>0.56499999999999995</v>
      </c>
      <c r="W374" s="154">
        <v>0.53</v>
      </c>
      <c r="X374" s="154">
        <v>0.435</v>
      </c>
      <c r="Y374" s="154">
        <v>0.56999999999999995</v>
      </c>
      <c r="Z374" s="154">
        <v>0.53</v>
      </c>
      <c r="AA374" s="154">
        <v>0.505</v>
      </c>
      <c r="AB374" s="156">
        <f>_xlfn.STDEV.P(D374:AA374)</f>
        <v>5.4771859537742752E-2</v>
      </c>
      <c r="AC374" s="156"/>
    </row>
    <row r="375" spans="1:29">
      <c r="A375" s="260"/>
      <c r="B375" s="153"/>
      <c r="C375" s="153" t="s">
        <v>220</v>
      </c>
      <c r="D375" s="154">
        <v>1.02</v>
      </c>
      <c r="E375" s="154">
        <v>1.0049999999999999</v>
      </c>
      <c r="F375" s="154">
        <v>1.085</v>
      </c>
      <c r="G375" s="154">
        <v>0.97499999999999998</v>
      </c>
      <c r="H375" s="154">
        <v>1.0149999999999999</v>
      </c>
      <c r="I375" s="154">
        <v>1.03</v>
      </c>
      <c r="J375" s="155">
        <v>1.0449999999999999</v>
      </c>
      <c r="K375" s="154">
        <v>1.01</v>
      </c>
      <c r="L375" s="154">
        <v>1.05</v>
      </c>
      <c r="M375" s="154">
        <v>1.0249999999999999</v>
      </c>
      <c r="N375" s="154">
        <v>1.02</v>
      </c>
      <c r="O375" s="154">
        <v>0.995</v>
      </c>
      <c r="P375" s="155">
        <v>1.0149999999999999</v>
      </c>
      <c r="Q375" s="154">
        <v>0.97499999999999998</v>
      </c>
      <c r="R375" s="154">
        <v>1.0349999999999999</v>
      </c>
      <c r="S375" s="154">
        <v>1.04</v>
      </c>
      <c r="T375" s="154">
        <v>1.01</v>
      </c>
      <c r="U375" s="154">
        <v>1.01</v>
      </c>
      <c r="V375" s="155">
        <v>1.0249999999999999</v>
      </c>
      <c r="W375" s="154">
        <v>1.01</v>
      </c>
      <c r="X375" s="154">
        <v>1.0149999999999999</v>
      </c>
      <c r="Y375" s="154">
        <v>1.03</v>
      </c>
      <c r="Z375" s="154">
        <v>1.0149999999999999</v>
      </c>
      <c r="AA375" s="154">
        <v>1.03</v>
      </c>
      <c r="AB375" s="156">
        <f>_xlfn.STDEV.P(D375:AA375)</f>
        <v>2.2475874411367308E-2</v>
      </c>
      <c r="AC375" s="156"/>
    </row>
    <row r="376" spans="1:29">
      <c r="A376" s="260"/>
      <c r="B376" s="153"/>
      <c r="C376" s="153" t="s">
        <v>221</v>
      </c>
      <c r="D376" s="157">
        <v>0.41499999999999998</v>
      </c>
      <c r="E376" s="157">
        <v>0.40500000000000003</v>
      </c>
      <c r="F376" s="157">
        <v>0.45</v>
      </c>
      <c r="G376" s="157">
        <v>0.38500000000000001</v>
      </c>
      <c r="H376" s="157">
        <v>0.43</v>
      </c>
      <c r="I376" s="154">
        <v>0.40500000000000003</v>
      </c>
      <c r="J376" s="158">
        <v>0.42499999999999999</v>
      </c>
      <c r="K376" s="157">
        <v>0.43</v>
      </c>
      <c r="L376" s="157">
        <v>0.41499999999999998</v>
      </c>
      <c r="M376" s="157">
        <v>0.41</v>
      </c>
      <c r="N376" s="157">
        <v>0.39</v>
      </c>
      <c r="O376" s="154">
        <v>0.44500000000000001</v>
      </c>
      <c r="P376" s="158">
        <v>0.44500000000000001</v>
      </c>
      <c r="Q376" s="157">
        <v>0.46</v>
      </c>
      <c r="R376" s="157">
        <v>0.37</v>
      </c>
      <c r="S376" s="157">
        <v>0.40500000000000003</v>
      </c>
      <c r="T376" s="157">
        <v>0.4</v>
      </c>
      <c r="U376" s="154">
        <v>0.44</v>
      </c>
      <c r="V376" s="158">
        <v>0.41499999999999998</v>
      </c>
      <c r="W376" s="157">
        <v>0.42</v>
      </c>
      <c r="X376" s="157">
        <v>0.42</v>
      </c>
      <c r="Y376" s="157">
        <v>0.435</v>
      </c>
      <c r="Z376" s="157">
        <v>0.43</v>
      </c>
      <c r="AA376" s="157">
        <v>0.45</v>
      </c>
      <c r="AB376" s="156">
        <f>_xlfn.STDEV.P(D376:AA376)</f>
        <v>2.185713556255714E-2</v>
      </c>
      <c r="AC376" s="164"/>
    </row>
    <row r="377" spans="1:29">
      <c r="A377" s="260"/>
      <c r="B377" s="159" t="s">
        <v>1806</v>
      </c>
      <c r="C377" s="153"/>
      <c r="D377" s="160" t="s">
        <v>1794</v>
      </c>
      <c r="E377" s="160" t="s">
        <v>1803</v>
      </c>
      <c r="F377" s="160" t="s">
        <v>1796</v>
      </c>
      <c r="G377" s="160" t="s">
        <v>1794</v>
      </c>
      <c r="H377" s="160" t="s">
        <v>1796</v>
      </c>
      <c r="I377" s="161" t="s">
        <v>1794</v>
      </c>
      <c r="J377" s="162" t="s">
        <v>1794</v>
      </c>
      <c r="K377" s="160" t="s">
        <v>1794</v>
      </c>
      <c r="L377" s="160" t="s">
        <v>1796</v>
      </c>
      <c r="M377" s="160" t="s">
        <v>1796</v>
      </c>
      <c r="N377" s="160" t="s">
        <v>1794</v>
      </c>
      <c r="O377" s="161" t="s">
        <v>1794</v>
      </c>
      <c r="P377" s="162" t="s">
        <v>1796</v>
      </c>
      <c r="Q377" s="160" t="s">
        <v>1796</v>
      </c>
      <c r="R377" s="160" t="s">
        <v>1803</v>
      </c>
      <c r="S377" s="160" t="s">
        <v>1794</v>
      </c>
      <c r="T377" s="160" t="s">
        <v>1794</v>
      </c>
      <c r="U377" s="161" t="s">
        <v>1796</v>
      </c>
      <c r="V377" s="162" t="s">
        <v>1796</v>
      </c>
      <c r="W377" s="160" t="s">
        <v>1796</v>
      </c>
      <c r="X377" s="160" t="s">
        <v>1794</v>
      </c>
      <c r="Y377" s="160" t="s">
        <v>1794</v>
      </c>
      <c r="Z377" s="160" t="s">
        <v>1794</v>
      </c>
      <c r="AA377" s="160" t="s">
        <v>1794</v>
      </c>
      <c r="AB377" s="156"/>
      <c r="AC377" s="165" t="s">
        <v>1911</v>
      </c>
    </row>
    <row r="378" spans="1:29">
      <c r="A378" s="260"/>
      <c r="B378" t="s">
        <v>1807</v>
      </c>
      <c r="C378" t="s">
        <v>40</v>
      </c>
      <c r="D378" s="141">
        <v>0.52</v>
      </c>
      <c r="E378" s="141">
        <v>0.54500000000000004</v>
      </c>
      <c r="F378" s="141">
        <v>0.51500000000000001</v>
      </c>
      <c r="G378" s="141">
        <v>0.57499999999999996</v>
      </c>
      <c r="H378" s="141">
        <v>0.55000000000000004</v>
      </c>
      <c r="I378" s="141">
        <v>0.54</v>
      </c>
      <c r="J378" s="142">
        <v>0.54</v>
      </c>
      <c r="K378" s="141">
        <v>0.57499999999999996</v>
      </c>
      <c r="L378" s="141">
        <v>0.54</v>
      </c>
      <c r="M378" s="141">
        <v>0.505</v>
      </c>
      <c r="N378" s="141">
        <v>0.53</v>
      </c>
      <c r="O378" s="141">
        <v>0.57999999999999996</v>
      </c>
      <c r="P378" s="142">
        <v>0.51500000000000001</v>
      </c>
      <c r="Q378" s="141">
        <v>0.57999999999999996</v>
      </c>
      <c r="R378" s="141">
        <v>0.46500000000000002</v>
      </c>
      <c r="S378" s="141">
        <v>0.56999999999999995</v>
      </c>
      <c r="T378" s="141">
        <v>0.56999999999999995</v>
      </c>
      <c r="U378" s="141">
        <v>0.59499999999999997</v>
      </c>
      <c r="V378" s="142">
        <v>0.54500000000000004</v>
      </c>
      <c r="W378" s="141">
        <v>0.56000000000000005</v>
      </c>
      <c r="X378" s="141">
        <v>0.56000000000000005</v>
      </c>
      <c r="Y378" s="141">
        <v>0.62</v>
      </c>
      <c r="Z378" s="141">
        <v>0.57999999999999996</v>
      </c>
      <c r="AA378" s="141">
        <v>0.53</v>
      </c>
      <c r="AB378" s="143">
        <f>_xlfn.STDEV.P(D378:AA378)</f>
        <v>3.2675142395337073E-2</v>
      </c>
      <c r="AC378" s="143"/>
    </row>
    <row r="379" spans="1:29">
      <c r="A379" s="260"/>
      <c r="C379" t="s">
        <v>220</v>
      </c>
      <c r="D379" s="141">
        <v>1.05</v>
      </c>
      <c r="E379" s="141">
        <v>1.0049999999999999</v>
      </c>
      <c r="F379" s="141">
        <v>0.94499999999999995</v>
      </c>
      <c r="G379" s="141">
        <v>1.0349999999999999</v>
      </c>
      <c r="H379" s="141">
        <v>1.0249999999999999</v>
      </c>
      <c r="I379" s="141">
        <v>1.01</v>
      </c>
      <c r="J379" s="142">
        <v>0.99</v>
      </c>
      <c r="K379" s="141">
        <v>0.99</v>
      </c>
      <c r="L379" s="141">
        <v>0.96</v>
      </c>
      <c r="M379" s="141">
        <v>1.0249999999999999</v>
      </c>
      <c r="N379" s="141">
        <v>1.01</v>
      </c>
      <c r="O379" s="141">
        <v>0.995</v>
      </c>
      <c r="P379" s="142">
        <v>1.01</v>
      </c>
      <c r="Q379" s="141">
        <v>1.0049999999999999</v>
      </c>
      <c r="R379" s="141">
        <v>1.0149999999999999</v>
      </c>
      <c r="S379" s="141">
        <v>0.995</v>
      </c>
      <c r="T379" s="141">
        <v>1.01</v>
      </c>
      <c r="U379" s="141">
        <v>1.02</v>
      </c>
      <c r="V379" s="142">
        <v>1.01</v>
      </c>
      <c r="W379" s="141">
        <v>1.075</v>
      </c>
      <c r="X379" s="141">
        <v>1.08</v>
      </c>
      <c r="Y379" s="141">
        <v>0.995</v>
      </c>
      <c r="Z379" s="141">
        <v>1.0149999999999999</v>
      </c>
      <c r="AA379" s="141">
        <v>0.99</v>
      </c>
      <c r="AB379" s="143">
        <f>_xlfn.STDEV.P(D379:AA379)</f>
        <v>2.9285472318009306E-2</v>
      </c>
      <c r="AC379" s="143"/>
    </row>
    <row r="380" spans="1:29">
      <c r="A380" s="260"/>
      <c r="C380" t="s">
        <v>221</v>
      </c>
      <c r="D380" s="144">
        <v>0.435</v>
      </c>
      <c r="E380" s="144">
        <v>0.45500000000000002</v>
      </c>
      <c r="F380" s="144">
        <v>0.37</v>
      </c>
      <c r="G380" s="144">
        <v>0.47</v>
      </c>
      <c r="H380" s="144">
        <v>0.45500000000000002</v>
      </c>
      <c r="I380" s="141">
        <v>0.44500000000000001</v>
      </c>
      <c r="J380" s="145">
        <v>0.43</v>
      </c>
      <c r="K380" s="144">
        <v>0.40500000000000003</v>
      </c>
      <c r="L380" s="144">
        <v>0.495</v>
      </c>
      <c r="M380" s="144">
        <v>0.41</v>
      </c>
      <c r="N380" s="144">
        <v>0.43</v>
      </c>
      <c r="O380" s="141">
        <v>0.49</v>
      </c>
      <c r="P380" s="145">
        <v>0.44500000000000001</v>
      </c>
      <c r="Q380" s="144">
        <v>0.43</v>
      </c>
      <c r="R380" s="144">
        <v>0.42</v>
      </c>
      <c r="S380" s="144">
        <v>0.44500000000000001</v>
      </c>
      <c r="T380" s="144">
        <v>0.42</v>
      </c>
      <c r="U380" s="141">
        <v>0.435</v>
      </c>
      <c r="V380" s="145">
        <v>0.43</v>
      </c>
      <c r="W380" s="144">
        <v>0.5</v>
      </c>
      <c r="X380" s="144">
        <v>0.4</v>
      </c>
      <c r="Y380" s="144">
        <v>0.505</v>
      </c>
      <c r="Z380" s="144">
        <v>0.42</v>
      </c>
      <c r="AA380" s="144">
        <v>0.45</v>
      </c>
      <c r="AB380" s="143">
        <f>_xlfn.STDEV.P(D380:AA380)</f>
        <v>3.2347398143694132E-2</v>
      </c>
      <c r="AC380" s="146"/>
    </row>
    <row r="381" spans="1:29">
      <c r="A381" s="260"/>
      <c r="B381" s="147" t="s">
        <v>1808</v>
      </c>
      <c r="D381" s="148" t="s">
        <v>1796</v>
      </c>
      <c r="E381" s="148" t="s">
        <v>1796</v>
      </c>
      <c r="F381" s="148" t="s">
        <v>1794</v>
      </c>
      <c r="G381" s="148" t="s">
        <v>1796</v>
      </c>
      <c r="H381" s="148" t="s">
        <v>1796</v>
      </c>
      <c r="I381" s="149" t="s">
        <v>1796</v>
      </c>
      <c r="J381" s="150" t="s">
        <v>1796</v>
      </c>
      <c r="K381" s="148" t="s">
        <v>1796</v>
      </c>
      <c r="L381" s="148" t="s">
        <v>1794</v>
      </c>
      <c r="M381" s="148" t="s">
        <v>1796</v>
      </c>
      <c r="N381" s="148" t="s">
        <v>1794</v>
      </c>
      <c r="O381" s="149" t="s">
        <v>1794</v>
      </c>
      <c r="P381" s="150" t="s">
        <v>1796</v>
      </c>
      <c r="Q381" s="148" t="s">
        <v>1794</v>
      </c>
      <c r="R381" s="148" t="s">
        <v>1796</v>
      </c>
      <c r="S381" s="148" t="s">
        <v>1796</v>
      </c>
      <c r="T381" s="148" t="s">
        <v>1794</v>
      </c>
      <c r="U381" s="149" t="s">
        <v>1796</v>
      </c>
      <c r="V381" s="150" t="s">
        <v>1796</v>
      </c>
      <c r="W381" s="148" t="s">
        <v>1796</v>
      </c>
      <c r="X381" s="148" t="s">
        <v>1796</v>
      </c>
      <c r="Y381" s="148" t="s">
        <v>1794</v>
      </c>
      <c r="Z381" s="148" t="s">
        <v>1796</v>
      </c>
      <c r="AA381" s="148" t="s">
        <v>1794</v>
      </c>
      <c r="AB381" s="143"/>
      <c r="AC381" s="151" t="s">
        <v>1912</v>
      </c>
    </row>
    <row r="382" spans="1:29">
      <c r="A382" s="260"/>
      <c r="B382" t="s">
        <v>1809</v>
      </c>
      <c r="C382" t="s">
        <v>40</v>
      </c>
      <c r="D382" s="141">
        <v>0.54500000000000004</v>
      </c>
      <c r="E382" s="141">
        <v>0.52500000000000002</v>
      </c>
      <c r="F382" s="141">
        <v>0.53</v>
      </c>
      <c r="G382" s="141">
        <v>0.54500000000000004</v>
      </c>
      <c r="H382" s="141">
        <v>0.54500000000000004</v>
      </c>
      <c r="I382" s="141">
        <v>0.55000000000000004</v>
      </c>
      <c r="J382" s="142">
        <v>0.54500000000000004</v>
      </c>
      <c r="K382" s="141">
        <v>0.52500000000000002</v>
      </c>
      <c r="L382" s="141">
        <v>0.52500000000000002</v>
      </c>
      <c r="M382" s="141">
        <v>0.53</v>
      </c>
      <c r="N382" s="141">
        <v>0.5</v>
      </c>
      <c r="O382" s="141">
        <v>0.55000000000000004</v>
      </c>
      <c r="P382" s="142">
        <v>0.54500000000000004</v>
      </c>
      <c r="Q382" s="141">
        <v>0.54</v>
      </c>
      <c r="R382" s="141">
        <v>0.495</v>
      </c>
      <c r="S382" s="141">
        <v>0.59499999999999997</v>
      </c>
      <c r="T382" s="141">
        <v>0.53</v>
      </c>
      <c r="U382" s="141">
        <v>0.55500000000000005</v>
      </c>
      <c r="V382" s="142">
        <v>0.54500000000000004</v>
      </c>
      <c r="W382" s="141">
        <v>0.56000000000000005</v>
      </c>
      <c r="X382" s="141">
        <v>0.55500000000000005</v>
      </c>
      <c r="Y382" s="141">
        <v>0.54500000000000004</v>
      </c>
      <c r="Z382" s="141">
        <v>0.49</v>
      </c>
      <c r="AA382" s="141">
        <v>0.54</v>
      </c>
      <c r="AB382" s="143">
        <f>_xlfn.STDEV.P(D382:AA382)</f>
        <v>2.1646625346434238E-2</v>
      </c>
      <c r="AC382" s="143"/>
    </row>
    <row r="383" spans="1:29">
      <c r="A383" s="260"/>
      <c r="C383" t="s">
        <v>220</v>
      </c>
      <c r="D383" s="141">
        <v>1.0149999999999999</v>
      </c>
      <c r="E383" s="141">
        <v>1.0149999999999999</v>
      </c>
      <c r="F383" s="141">
        <v>1.0149999999999999</v>
      </c>
      <c r="G383" s="141">
        <v>1.02</v>
      </c>
      <c r="H383" s="141">
        <v>1.01</v>
      </c>
      <c r="I383" s="141">
        <v>1.02</v>
      </c>
      <c r="J383" s="142">
        <v>1.02</v>
      </c>
      <c r="K383" s="141">
        <v>1.01</v>
      </c>
      <c r="L383" s="141">
        <v>1.06</v>
      </c>
      <c r="M383" s="141">
        <v>1.0149999999999999</v>
      </c>
      <c r="N383" s="141">
        <v>1.0149999999999999</v>
      </c>
      <c r="O383" s="141">
        <v>1.0149999999999999</v>
      </c>
      <c r="P383" s="142">
        <v>1.0249999999999999</v>
      </c>
      <c r="Q383" s="141">
        <v>1.03</v>
      </c>
      <c r="R383" s="141">
        <v>1.0149999999999999</v>
      </c>
      <c r="S383" s="141">
        <v>1.0049999999999999</v>
      </c>
      <c r="T383" s="141">
        <v>1.0149999999999999</v>
      </c>
      <c r="U383" s="141">
        <v>1.0049999999999999</v>
      </c>
      <c r="V383" s="142">
        <v>1.0049999999999999</v>
      </c>
      <c r="W383" s="141">
        <v>1.0149999999999999</v>
      </c>
      <c r="X383" s="141">
        <v>1.01</v>
      </c>
      <c r="Y383" s="141">
        <v>1.0049999999999999</v>
      </c>
      <c r="Z383" s="141">
        <v>1.01</v>
      </c>
      <c r="AA383" s="141">
        <v>1.0149999999999999</v>
      </c>
      <c r="AB383" s="143">
        <f>_xlfn.STDEV.P(D383:AA383)</f>
        <v>1.0990447240925008E-2</v>
      </c>
      <c r="AC383" s="143"/>
    </row>
    <row r="384" spans="1:29">
      <c r="A384" s="260"/>
      <c r="C384" t="s">
        <v>221</v>
      </c>
      <c r="D384" s="144">
        <v>0.38</v>
      </c>
      <c r="E384" s="144">
        <v>0.4</v>
      </c>
      <c r="F384" s="144">
        <v>0.39</v>
      </c>
      <c r="G384" s="144">
        <v>0.39</v>
      </c>
      <c r="H384" s="144">
        <v>0.38500000000000001</v>
      </c>
      <c r="I384" s="141">
        <v>0.4</v>
      </c>
      <c r="J384" s="145">
        <v>0.41499999999999998</v>
      </c>
      <c r="K384" s="144">
        <v>0.40500000000000003</v>
      </c>
      <c r="L384" s="144">
        <v>0.41499999999999998</v>
      </c>
      <c r="M384" s="144">
        <v>0.41499999999999998</v>
      </c>
      <c r="N384" s="144">
        <v>0.45</v>
      </c>
      <c r="O384" s="141">
        <v>0.43</v>
      </c>
      <c r="P384" s="145">
        <v>0.42</v>
      </c>
      <c r="Q384" s="144">
        <v>0.40500000000000003</v>
      </c>
      <c r="R384" s="144">
        <v>0.42</v>
      </c>
      <c r="S384" s="144">
        <v>0.41499999999999998</v>
      </c>
      <c r="T384" s="144">
        <v>0.4</v>
      </c>
      <c r="U384" s="141">
        <v>0.42</v>
      </c>
      <c r="V384" s="145">
        <v>0.42</v>
      </c>
      <c r="W384" s="144">
        <v>0.43</v>
      </c>
      <c r="X384" s="144">
        <v>0.41</v>
      </c>
      <c r="Y384" s="144">
        <v>0.41</v>
      </c>
      <c r="Z384" s="144">
        <v>0.40500000000000003</v>
      </c>
      <c r="AA384" s="144">
        <v>0.42499999999999999</v>
      </c>
      <c r="AB384" s="143">
        <f>_xlfn.STDEV.P(D384:AA384)</f>
        <v>1.5566557369352191E-2</v>
      </c>
      <c r="AC384" s="146"/>
    </row>
    <row r="385" spans="1:29">
      <c r="A385" s="260"/>
      <c r="B385" s="147" t="s">
        <v>1810</v>
      </c>
      <c r="D385" s="148" t="s">
        <v>1794</v>
      </c>
      <c r="E385" s="148" t="s">
        <v>1794</v>
      </c>
      <c r="F385" s="148" t="s">
        <v>1794</v>
      </c>
      <c r="G385" s="148" t="s">
        <v>1794</v>
      </c>
      <c r="H385" s="148" t="s">
        <v>1794</v>
      </c>
      <c r="I385" s="149" t="s">
        <v>1794</v>
      </c>
      <c r="J385" s="150" t="s">
        <v>1794</v>
      </c>
      <c r="K385" s="148" t="s">
        <v>1794</v>
      </c>
      <c r="L385" s="148" t="s">
        <v>1794</v>
      </c>
      <c r="M385" s="148" t="s">
        <v>1794</v>
      </c>
      <c r="N385" s="148" t="s">
        <v>1794</v>
      </c>
      <c r="O385" s="149" t="s">
        <v>1794</v>
      </c>
      <c r="P385" s="150" t="s">
        <v>1794</v>
      </c>
      <c r="Q385" s="148" t="s">
        <v>1794</v>
      </c>
      <c r="R385" s="148" t="s">
        <v>1796</v>
      </c>
      <c r="S385" s="148" t="s">
        <v>1796</v>
      </c>
      <c r="T385" s="148" t="s">
        <v>1794</v>
      </c>
      <c r="U385" s="149" t="s">
        <v>1796</v>
      </c>
      <c r="V385" s="150" t="s">
        <v>1794</v>
      </c>
      <c r="W385" s="148" t="s">
        <v>1796</v>
      </c>
      <c r="X385" s="148" t="s">
        <v>1794</v>
      </c>
      <c r="Y385" s="148" t="s">
        <v>1794</v>
      </c>
      <c r="Z385" s="148" t="s">
        <v>1794</v>
      </c>
      <c r="AA385" s="148" t="s">
        <v>1794</v>
      </c>
      <c r="AB385" s="143"/>
      <c r="AC385" s="151" t="s">
        <v>1906</v>
      </c>
    </row>
    <row r="386" spans="1:29">
      <c r="A386" s="260"/>
      <c r="B386" t="s">
        <v>1811</v>
      </c>
      <c r="C386" t="s">
        <v>40</v>
      </c>
      <c r="D386" s="141">
        <v>0.54500000000000004</v>
      </c>
      <c r="E386" s="141">
        <v>0.54</v>
      </c>
      <c r="F386" s="141">
        <v>0.495</v>
      </c>
      <c r="G386" s="141">
        <v>0.61499999999999999</v>
      </c>
      <c r="H386" s="141">
        <v>0.56999999999999995</v>
      </c>
      <c r="I386" s="141">
        <v>0.54500000000000004</v>
      </c>
      <c r="J386" s="142">
        <v>0.54</v>
      </c>
      <c r="K386" s="141">
        <v>0.57999999999999996</v>
      </c>
      <c r="L386" s="141">
        <v>0.57999999999999996</v>
      </c>
      <c r="M386" s="141">
        <v>0.625</v>
      </c>
      <c r="N386" s="141">
        <v>0.56000000000000005</v>
      </c>
      <c r="O386" s="141">
        <v>0.55500000000000005</v>
      </c>
      <c r="P386" s="142">
        <v>0.55000000000000004</v>
      </c>
      <c r="Q386" s="141">
        <v>0.56499999999999995</v>
      </c>
      <c r="R386" s="141">
        <v>0.62</v>
      </c>
      <c r="S386" s="141">
        <v>0.54500000000000004</v>
      </c>
      <c r="T386" s="141">
        <v>0.69499999999999995</v>
      </c>
      <c r="U386" s="141">
        <v>0.53500000000000003</v>
      </c>
      <c r="V386" s="142">
        <v>0.54500000000000004</v>
      </c>
      <c r="W386" s="141">
        <v>0.58499999999999996</v>
      </c>
      <c r="X386" s="141">
        <v>0.57999999999999996</v>
      </c>
      <c r="Y386" s="141">
        <v>0.58499999999999996</v>
      </c>
      <c r="Z386" s="141">
        <v>0.54</v>
      </c>
      <c r="AA386" s="141">
        <v>0.52500000000000002</v>
      </c>
      <c r="AB386" s="143">
        <f>_xlfn.STDEV.P(D386:AA386)</f>
        <v>4.0104031385053203E-2</v>
      </c>
      <c r="AC386" s="143"/>
    </row>
    <row r="387" spans="1:29">
      <c r="A387" s="260"/>
      <c r="C387" t="s">
        <v>220</v>
      </c>
      <c r="D387" s="141">
        <v>1.02</v>
      </c>
      <c r="E387" s="141">
        <v>1.0149999999999999</v>
      </c>
      <c r="F387" s="141">
        <v>0.98</v>
      </c>
      <c r="G387" s="141">
        <v>1</v>
      </c>
      <c r="H387" s="141">
        <v>1.01</v>
      </c>
      <c r="I387" s="141">
        <v>1.0249999999999999</v>
      </c>
      <c r="J387" s="142">
        <v>1.01</v>
      </c>
      <c r="K387" s="141">
        <v>1.01</v>
      </c>
      <c r="L387" s="141">
        <v>1.0149999999999999</v>
      </c>
      <c r="M387" s="141">
        <v>1.02</v>
      </c>
      <c r="N387" s="141">
        <v>1.0249999999999999</v>
      </c>
      <c r="O387" s="141">
        <v>1.0249999999999999</v>
      </c>
      <c r="P387" s="142">
        <v>1.01</v>
      </c>
      <c r="Q387" s="141">
        <v>1.02</v>
      </c>
      <c r="R387" s="141">
        <v>1.0149999999999999</v>
      </c>
      <c r="S387" s="141">
        <v>1.03</v>
      </c>
      <c r="T387" s="141">
        <v>1.0649999999999999</v>
      </c>
      <c r="U387" s="141">
        <v>1.01</v>
      </c>
      <c r="V387" s="142">
        <v>1.02</v>
      </c>
      <c r="W387" s="141">
        <v>1.0049999999999999</v>
      </c>
      <c r="X387" s="141">
        <v>1.0149999999999999</v>
      </c>
      <c r="Y387" s="141">
        <v>1.0249999999999999</v>
      </c>
      <c r="Z387" s="141">
        <v>1.02</v>
      </c>
      <c r="AA387" s="141">
        <v>0.96499999999999997</v>
      </c>
      <c r="AB387" s="143">
        <f>_xlfn.STDEV.P(D387:AA387)</f>
        <v>1.7587825255619922E-2</v>
      </c>
      <c r="AC387" s="143"/>
    </row>
    <row r="388" spans="1:29">
      <c r="A388" s="260"/>
      <c r="C388" t="s">
        <v>221</v>
      </c>
      <c r="D388" s="144">
        <v>0.42</v>
      </c>
      <c r="E388" s="144">
        <v>0.42499999999999999</v>
      </c>
      <c r="F388" s="144">
        <v>0.43</v>
      </c>
      <c r="G388" s="144">
        <v>0.47</v>
      </c>
      <c r="H388" s="144">
        <v>0.44</v>
      </c>
      <c r="I388" s="141">
        <v>0.42499999999999999</v>
      </c>
      <c r="J388" s="145">
        <v>0.41499999999999998</v>
      </c>
      <c r="K388" s="144">
        <v>0.48</v>
      </c>
      <c r="L388" s="144">
        <v>0.41</v>
      </c>
      <c r="M388" s="144">
        <v>0.435</v>
      </c>
      <c r="N388" s="144">
        <v>0.43</v>
      </c>
      <c r="O388" s="141">
        <v>0.42</v>
      </c>
      <c r="P388" s="145">
        <v>0.435</v>
      </c>
      <c r="Q388" s="144">
        <v>0.41</v>
      </c>
      <c r="R388" s="144">
        <v>0.46500000000000002</v>
      </c>
      <c r="S388" s="144">
        <v>0.48</v>
      </c>
      <c r="T388" s="144">
        <v>0.44</v>
      </c>
      <c r="U388" s="141">
        <v>0.45500000000000002</v>
      </c>
      <c r="V388" s="145">
        <v>0.43</v>
      </c>
      <c r="W388" s="144">
        <v>0.42499999999999999</v>
      </c>
      <c r="X388" s="144">
        <v>0.44</v>
      </c>
      <c r="Y388" s="144">
        <v>0.42</v>
      </c>
      <c r="Z388" s="144">
        <v>0.42499999999999999</v>
      </c>
      <c r="AA388" s="144">
        <v>0.435</v>
      </c>
      <c r="AB388" s="143">
        <f>_xlfn.STDEV.P(D388:AA388)</f>
        <v>1.9825628755617199E-2</v>
      </c>
      <c r="AC388" s="146"/>
    </row>
    <row r="389" spans="1:29">
      <c r="A389" s="260"/>
      <c r="B389" s="147" t="s">
        <v>1812</v>
      </c>
      <c r="D389" s="148" t="s">
        <v>1794</v>
      </c>
      <c r="E389" s="148" t="s">
        <v>1795</v>
      </c>
      <c r="F389" s="148" t="s">
        <v>1796</v>
      </c>
      <c r="G389" s="148" t="s">
        <v>1796</v>
      </c>
      <c r="H389" s="148" t="s">
        <v>1795</v>
      </c>
      <c r="I389" s="149" t="s">
        <v>1796</v>
      </c>
      <c r="J389" s="150" t="s">
        <v>1796</v>
      </c>
      <c r="K389" s="148" t="s">
        <v>1796</v>
      </c>
      <c r="L389" s="148" t="s">
        <v>1794</v>
      </c>
      <c r="M389" s="148" t="s">
        <v>1796</v>
      </c>
      <c r="N389" s="148" t="s">
        <v>1794</v>
      </c>
      <c r="O389" s="149" t="s">
        <v>1794</v>
      </c>
      <c r="P389" s="150" t="s">
        <v>1794</v>
      </c>
      <c r="Q389" s="148" t="s">
        <v>1794</v>
      </c>
      <c r="R389" s="148" t="s">
        <v>1795</v>
      </c>
      <c r="S389" s="148" t="s">
        <v>1796</v>
      </c>
      <c r="T389" s="148" t="s">
        <v>1796</v>
      </c>
      <c r="U389" s="149" t="s">
        <v>1794</v>
      </c>
      <c r="V389" s="150" t="s">
        <v>1794</v>
      </c>
      <c r="W389" s="148" t="s">
        <v>1796</v>
      </c>
      <c r="X389" s="148" t="s">
        <v>1796</v>
      </c>
      <c r="Y389" s="148" t="s">
        <v>1794</v>
      </c>
      <c r="Z389" s="148" t="s">
        <v>1794</v>
      </c>
      <c r="AA389" s="148" t="s">
        <v>1794</v>
      </c>
      <c r="AB389" s="143"/>
      <c r="AC389" s="151" t="s">
        <v>1913</v>
      </c>
    </row>
    <row r="390" spans="1:29">
      <c r="A390" s="260"/>
      <c r="B390" t="s">
        <v>1813</v>
      </c>
      <c r="C390" t="s">
        <v>40</v>
      </c>
      <c r="D390" s="141">
        <v>0.56999999999999995</v>
      </c>
      <c r="E390" s="141">
        <v>0.59499999999999997</v>
      </c>
      <c r="F390" s="141">
        <v>0.54</v>
      </c>
      <c r="G390" s="141">
        <v>0.54500000000000004</v>
      </c>
      <c r="H390" s="141">
        <v>0.56000000000000005</v>
      </c>
      <c r="I390" s="141">
        <v>0.53</v>
      </c>
      <c r="J390" s="142">
        <v>0.55500000000000005</v>
      </c>
      <c r="K390" s="141">
        <v>0.58499999999999996</v>
      </c>
      <c r="L390" s="141">
        <v>0.56000000000000005</v>
      </c>
      <c r="M390" s="141">
        <v>0.55000000000000004</v>
      </c>
      <c r="N390" s="141">
        <v>0.53</v>
      </c>
      <c r="O390" s="141">
        <v>0.51</v>
      </c>
      <c r="P390" s="142">
        <v>0.54500000000000004</v>
      </c>
      <c r="Q390" s="141">
        <v>0.54</v>
      </c>
      <c r="R390" s="141">
        <v>0.53500000000000003</v>
      </c>
      <c r="S390" s="141">
        <v>0.59499999999999997</v>
      </c>
      <c r="T390" s="141">
        <v>0.495</v>
      </c>
      <c r="U390" s="141">
        <v>0.54</v>
      </c>
      <c r="V390" s="142">
        <v>0.54</v>
      </c>
      <c r="W390" s="141">
        <v>0.54</v>
      </c>
      <c r="X390" s="141">
        <v>0.51500000000000001</v>
      </c>
      <c r="Y390" s="141">
        <v>0.495</v>
      </c>
      <c r="Z390" s="141">
        <v>0.53500000000000003</v>
      </c>
      <c r="AA390" s="141">
        <v>0.56499999999999995</v>
      </c>
      <c r="AB390" s="143">
        <f>_xlfn.STDEV.P(D390:AA390)</f>
        <v>2.5897098722100546E-2</v>
      </c>
      <c r="AC390" s="143"/>
    </row>
    <row r="391" spans="1:29">
      <c r="A391" s="260"/>
      <c r="C391" t="s">
        <v>220</v>
      </c>
      <c r="D391" s="141">
        <v>1.0149999999999999</v>
      </c>
      <c r="E391" s="141">
        <v>1.02</v>
      </c>
      <c r="F391" s="141">
        <v>1.0149999999999999</v>
      </c>
      <c r="G391" s="141">
        <v>1.01</v>
      </c>
      <c r="H391" s="141">
        <v>1.0149999999999999</v>
      </c>
      <c r="I391" s="141">
        <v>1.0249999999999999</v>
      </c>
      <c r="J391" s="142">
        <v>1.0149999999999999</v>
      </c>
      <c r="K391" s="141">
        <v>1.01</v>
      </c>
      <c r="L391" s="141">
        <v>1.0149999999999999</v>
      </c>
      <c r="M391" s="141">
        <v>1.01</v>
      </c>
      <c r="N391" s="141">
        <v>0.99</v>
      </c>
      <c r="O391" s="141">
        <v>1.01</v>
      </c>
      <c r="P391" s="142">
        <v>1.06</v>
      </c>
      <c r="Q391" s="141">
        <v>1.0249999999999999</v>
      </c>
      <c r="R391" s="141">
        <v>1</v>
      </c>
      <c r="S391" s="141">
        <v>1.0549999999999999</v>
      </c>
      <c r="T391" s="141">
        <v>0.995</v>
      </c>
      <c r="U391" s="141">
        <v>1.03</v>
      </c>
      <c r="V391" s="142">
        <v>1.02</v>
      </c>
      <c r="W391" s="141">
        <v>1.0049999999999999</v>
      </c>
      <c r="X391" s="141">
        <v>1</v>
      </c>
      <c r="Y391" s="141">
        <v>1.03</v>
      </c>
      <c r="Z391" s="141">
        <v>1.01</v>
      </c>
      <c r="AA391" s="141">
        <v>1.0049999999999999</v>
      </c>
      <c r="AB391" s="143">
        <f>_xlfn.STDEV.P(D391:AA391)</f>
        <v>1.5941244113584392E-2</v>
      </c>
      <c r="AC391" s="143"/>
    </row>
    <row r="392" spans="1:29">
      <c r="A392" s="260"/>
      <c r="C392" t="s">
        <v>221</v>
      </c>
      <c r="D392" s="144">
        <v>0.435</v>
      </c>
      <c r="E392" s="144">
        <v>0.45500000000000002</v>
      </c>
      <c r="F392" s="144">
        <v>0.45</v>
      </c>
      <c r="G392" s="144">
        <v>0.435</v>
      </c>
      <c r="H392" s="144">
        <v>0.45</v>
      </c>
      <c r="I392" s="141">
        <v>0.43</v>
      </c>
      <c r="J392" s="145">
        <v>0.44500000000000001</v>
      </c>
      <c r="K392" s="144">
        <v>0.435</v>
      </c>
      <c r="L392" s="144">
        <v>0.46</v>
      </c>
      <c r="M392" s="144">
        <v>0.48499999999999999</v>
      </c>
      <c r="N392" s="144">
        <v>0.45</v>
      </c>
      <c r="O392" s="141">
        <v>0.44500000000000001</v>
      </c>
      <c r="P392" s="145">
        <v>0.39500000000000002</v>
      </c>
      <c r="Q392" s="144">
        <v>0.46</v>
      </c>
      <c r="R392" s="144">
        <v>0.43</v>
      </c>
      <c r="S392" s="144">
        <v>0.47499999999999998</v>
      </c>
      <c r="T392" s="144">
        <v>0.48499999999999999</v>
      </c>
      <c r="U392" s="141">
        <v>0.41</v>
      </c>
      <c r="V392" s="145">
        <v>0.44500000000000001</v>
      </c>
      <c r="W392" s="144">
        <v>0.45</v>
      </c>
      <c r="X392" s="144">
        <v>0.46500000000000002</v>
      </c>
      <c r="Y392" s="144">
        <v>0.45</v>
      </c>
      <c r="Z392" s="144">
        <v>0.45</v>
      </c>
      <c r="AA392" s="144">
        <v>0.46</v>
      </c>
      <c r="AB392" s="143">
        <f>_xlfn.STDEV.P(D392:AA392)</f>
        <v>2.0099578491987229E-2</v>
      </c>
      <c r="AC392" s="146"/>
    </row>
    <row r="393" spans="1:29">
      <c r="A393" s="260"/>
      <c r="B393" s="147" t="s">
        <v>1814</v>
      </c>
      <c r="D393" s="148" t="s">
        <v>1794</v>
      </c>
      <c r="E393" s="148" t="s">
        <v>1794</v>
      </c>
      <c r="F393" s="148" t="s">
        <v>1803</v>
      </c>
      <c r="G393" s="148" t="s">
        <v>1796</v>
      </c>
      <c r="H393" s="148" t="s">
        <v>1796</v>
      </c>
      <c r="I393" s="149" t="s">
        <v>1794</v>
      </c>
      <c r="J393" s="150" t="s">
        <v>1796</v>
      </c>
      <c r="K393" s="148" t="s">
        <v>1795</v>
      </c>
      <c r="L393" s="148" t="s">
        <v>1794</v>
      </c>
      <c r="M393" s="148" t="s">
        <v>1794</v>
      </c>
      <c r="N393" s="148" t="s">
        <v>1794</v>
      </c>
      <c r="O393" s="149" t="s">
        <v>1794</v>
      </c>
      <c r="P393" s="150" t="s">
        <v>1796</v>
      </c>
      <c r="Q393" s="148" t="s">
        <v>1796</v>
      </c>
      <c r="R393" s="148" t="s">
        <v>1796</v>
      </c>
      <c r="S393" s="148" t="s">
        <v>1796</v>
      </c>
      <c r="T393" s="148" t="s">
        <v>1794</v>
      </c>
      <c r="U393" s="149" t="s">
        <v>1794</v>
      </c>
      <c r="V393" s="150" t="s">
        <v>1796</v>
      </c>
      <c r="W393" s="148" t="s">
        <v>1796</v>
      </c>
      <c r="X393" s="148" t="s">
        <v>1794</v>
      </c>
      <c r="Y393" s="148" t="s">
        <v>1794</v>
      </c>
      <c r="Z393" s="148" t="s">
        <v>1794</v>
      </c>
      <c r="AA393" s="148" t="s">
        <v>1794</v>
      </c>
      <c r="AB393" s="143"/>
      <c r="AC393" s="151" t="s">
        <v>1911</v>
      </c>
    </row>
    <row r="394" spans="1:29">
      <c r="A394" s="260"/>
      <c r="B394" t="s">
        <v>1815</v>
      </c>
      <c r="C394" t="s">
        <v>40</v>
      </c>
      <c r="D394" s="141">
        <v>0.55000000000000004</v>
      </c>
      <c r="E394" s="141">
        <v>0.53500000000000003</v>
      </c>
      <c r="F394" s="141">
        <v>0.69</v>
      </c>
      <c r="G394" s="141">
        <v>0.51500000000000001</v>
      </c>
      <c r="H394" s="141">
        <v>0.54500000000000004</v>
      </c>
      <c r="I394" s="141">
        <v>0.52</v>
      </c>
      <c r="J394" s="142">
        <v>0.53500000000000003</v>
      </c>
      <c r="K394" s="141">
        <v>0.54</v>
      </c>
      <c r="L394" s="141">
        <v>0.56000000000000005</v>
      </c>
      <c r="M394" s="141">
        <v>0.51</v>
      </c>
      <c r="N394" s="141">
        <v>0.59</v>
      </c>
      <c r="O394" s="141">
        <v>0.47499999999999998</v>
      </c>
      <c r="P394" s="142">
        <v>0.51</v>
      </c>
      <c r="Q394" s="141">
        <v>0.54</v>
      </c>
      <c r="R394" s="141">
        <v>0.53500000000000003</v>
      </c>
      <c r="S394" s="141">
        <v>0.47</v>
      </c>
      <c r="T394" s="141">
        <v>0.6</v>
      </c>
      <c r="U394" s="141">
        <v>0.54</v>
      </c>
      <c r="V394" s="142">
        <v>0.52</v>
      </c>
      <c r="W394" s="141">
        <v>0.53</v>
      </c>
      <c r="X394" s="141">
        <v>0.53</v>
      </c>
      <c r="Y394" s="141">
        <v>0.55000000000000004</v>
      </c>
      <c r="Z394" s="141">
        <v>0.75</v>
      </c>
      <c r="AA394" s="141">
        <v>0.53</v>
      </c>
      <c r="AB394" s="143">
        <f>_xlfn.STDEV.P(D394:AA394)</f>
        <v>5.9235581930685004E-2</v>
      </c>
      <c r="AC394" s="143"/>
    </row>
    <row r="395" spans="1:29">
      <c r="A395" s="260"/>
      <c r="C395" t="s">
        <v>220</v>
      </c>
      <c r="D395" s="141">
        <v>1.02</v>
      </c>
      <c r="E395" s="141">
        <v>1.0149999999999999</v>
      </c>
      <c r="F395" s="141">
        <v>1.02</v>
      </c>
      <c r="G395" s="141">
        <v>1.0049999999999999</v>
      </c>
      <c r="H395" s="141">
        <v>1.0049999999999999</v>
      </c>
      <c r="I395" s="141">
        <v>1.01</v>
      </c>
      <c r="J395" s="142">
        <v>1.0049999999999999</v>
      </c>
      <c r="K395" s="141">
        <v>1.0149999999999999</v>
      </c>
      <c r="L395" s="141">
        <v>1.01</v>
      </c>
      <c r="M395" s="141">
        <v>1.02</v>
      </c>
      <c r="N395" s="141">
        <v>1.0149999999999999</v>
      </c>
      <c r="O395" s="141">
        <v>0.97499999999999998</v>
      </c>
      <c r="P395" s="142">
        <v>1.0149999999999999</v>
      </c>
      <c r="Q395" s="141">
        <v>0.99</v>
      </c>
      <c r="R395" s="141">
        <v>1.0049999999999999</v>
      </c>
      <c r="S395" s="141">
        <v>1</v>
      </c>
      <c r="T395" s="141">
        <v>1.095</v>
      </c>
      <c r="U395" s="141">
        <v>1.0249999999999999</v>
      </c>
      <c r="V395" s="142">
        <v>1.0149999999999999</v>
      </c>
      <c r="W395" s="141">
        <v>1.01</v>
      </c>
      <c r="X395" s="141">
        <v>1.0149999999999999</v>
      </c>
      <c r="Y395" s="141">
        <v>1.02</v>
      </c>
      <c r="Z395" s="141">
        <v>1.05</v>
      </c>
      <c r="AA395" s="141">
        <v>1.02</v>
      </c>
      <c r="AB395" s="143">
        <f>_xlfn.STDEV.P(D395:AA395)</f>
        <v>2.1179417091443612E-2</v>
      </c>
      <c r="AC395" s="143"/>
    </row>
    <row r="396" spans="1:29">
      <c r="A396" s="260"/>
      <c r="C396" t="s">
        <v>221</v>
      </c>
      <c r="D396" s="144">
        <v>0.41499999999999998</v>
      </c>
      <c r="E396" s="144">
        <v>0.4</v>
      </c>
      <c r="F396" s="144">
        <v>0.37</v>
      </c>
      <c r="G396" s="144">
        <v>0.41</v>
      </c>
      <c r="H396" s="144">
        <v>0.42499999999999999</v>
      </c>
      <c r="I396" s="141">
        <v>0.42499999999999999</v>
      </c>
      <c r="J396" s="145">
        <v>0.43</v>
      </c>
      <c r="K396" s="144">
        <v>0.41</v>
      </c>
      <c r="L396" s="144">
        <v>0.39</v>
      </c>
      <c r="M396" s="144">
        <v>0.39</v>
      </c>
      <c r="N396" s="144">
        <v>0.43</v>
      </c>
      <c r="O396" s="141">
        <v>0.39500000000000002</v>
      </c>
      <c r="P396" s="145">
        <v>0.38500000000000001</v>
      </c>
      <c r="Q396" s="144">
        <v>0.435</v>
      </c>
      <c r="R396" s="144">
        <v>0.41</v>
      </c>
      <c r="S396" s="144">
        <v>0.45</v>
      </c>
      <c r="T396" s="144">
        <v>0.41499999999999998</v>
      </c>
      <c r="U396" s="141">
        <v>0.41499999999999998</v>
      </c>
      <c r="V396" s="145">
        <v>0.47</v>
      </c>
      <c r="W396" s="144">
        <v>0.41499999999999998</v>
      </c>
      <c r="X396" s="144">
        <v>0.41</v>
      </c>
      <c r="Y396" s="144">
        <v>0.46</v>
      </c>
      <c r="Z396" s="144">
        <v>0.46</v>
      </c>
      <c r="AA396" s="144">
        <v>0.41</v>
      </c>
      <c r="AB396" s="143">
        <f>_xlfn.STDEV.P(D396:AA396)</f>
        <v>2.4237503939601994E-2</v>
      </c>
      <c r="AC396" s="146"/>
    </row>
    <row r="397" spans="1:29">
      <c r="A397" s="260"/>
      <c r="B397" s="147" t="s">
        <v>1816</v>
      </c>
      <c r="D397" s="148" t="s">
        <v>1794</v>
      </c>
      <c r="E397" s="148" t="s">
        <v>1795</v>
      </c>
      <c r="F397" s="148" t="s">
        <v>1796</v>
      </c>
      <c r="G397" s="148" t="s">
        <v>1794</v>
      </c>
      <c r="H397" s="148" t="s">
        <v>1794</v>
      </c>
      <c r="I397" s="149" t="s">
        <v>1794</v>
      </c>
      <c r="J397" s="150" t="s">
        <v>1794</v>
      </c>
      <c r="K397" s="148" t="s">
        <v>1794</v>
      </c>
      <c r="L397" s="148" t="s">
        <v>1794</v>
      </c>
      <c r="M397" s="148" t="s">
        <v>1794</v>
      </c>
      <c r="N397" s="148" t="s">
        <v>1794</v>
      </c>
      <c r="O397" s="149" t="s">
        <v>1794</v>
      </c>
      <c r="P397" s="150" t="s">
        <v>1794</v>
      </c>
      <c r="Q397" s="148" t="s">
        <v>1794</v>
      </c>
      <c r="R397" s="148" t="s">
        <v>1803</v>
      </c>
      <c r="S397" s="148" t="s">
        <v>1794</v>
      </c>
      <c r="T397" s="148" t="s">
        <v>1794</v>
      </c>
      <c r="U397" s="149" t="s">
        <v>1794</v>
      </c>
      <c r="V397" s="150" t="s">
        <v>1803</v>
      </c>
      <c r="W397" s="148" t="s">
        <v>1794</v>
      </c>
      <c r="X397" s="148" t="s">
        <v>1794</v>
      </c>
      <c r="Y397" s="148" t="s">
        <v>1794</v>
      </c>
      <c r="Z397" s="148" t="s">
        <v>1794</v>
      </c>
      <c r="AA397" s="148" t="s">
        <v>1794</v>
      </c>
      <c r="AB397" s="143"/>
      <c r="AC397" s="151" t="s">
        <v>1914</v>
      </c>
    </row>
    <row r="398" spans="1:29">
      <c r="A398" s="260"/>
      <c r="B398" t="s">
        <v>1899</v>
      </c>
      <c r="C398" t="s">
        <v>40</v>
      </c>
      <c r="D398" s="141">
        <v>0.5</v>
      </c>
      <c r="E398" s="141">
        <v>0.53</v>
      </c>
      <c r="F398" s="141">
        <v>0.52500000000000002</v>
      </c>
      <c r="G398" s="141">
        <v>0.53500000000000003</v>
      </c>
      <c r="H398" s="141">
        <v>0.56999999999999995</v>
      </c>
      <c r="I398" s="141">
        <v>0.55000000000000004</v>
      </c>
      <c r="J398" s="142">
        <v>0.55500000000000005</v>
      </c>
      <c r="K398" s="141">
        <v>0.55500000000000005</v>
      </c>
      <c r="L398" s="141">
        <v>0.53500000000000003</v>
      </c>
      <c r="M398" s="141">
        <v>0.56499999999999995</v>
      </c>
      <c r="N398" s="141">
        <v>0.51500000000000001</v>
      </c>
      <c r="O398" s="141">
        <v>0.56499999999999995</v>
      </c>
      <c r="P398" s="142">
        <v>0.51</v>
      </c>
      <c r="Q398" s="141">
        <v>0.56499999999999995</v>
      </c>
      <c r="R398" s="141">
        <v>0.55500000000000005</v>
      </c>
      <c r="S398" s="141">
        <v>0.53500000000000003</v>
      </c>
      <c r="T398" s="141">
        <v>0.56999999999999995</v>
      </c>
      <c r="U398" s="141">
        <v>0.56000000000000005</v>
      </c>
      <c r="V398" s="142">
        <v>0.55000000000000004</v>
      </c>
      <c r="W398" s="141">
        <v>0.54</v>
      </c>
      <c r="X398" s="141">
        <v>0.53</v>
      </c>
      <c r="Y398" s="141">
        <v>0.54500000000000004</v>
      </c>
      <c r="Z398" s="141">
        <v>0.54</v>
      </c>
      <c r="AA398" s="141">
        <v>0.52</v>
      </c>
      <c r="AB398" s="143">
        <f>_xlfn.STDEV.P(D398:AA398)</f>
        <v>1.9202864369671505E-2</v>
      </c>
      <c r="AC398" s="143"/>
    </row>
    <row r="399" spans="1:29">
      <c r="A399" s="260"/>
      <c r="C399" t="s">
        <v>220</v>
      </c>
      <c r="D399" s="141">
        <v>1.02</v>
      </c>
      <c r="E399" s="141">
        <v>1.02</v>
      </c>
      <c r="F399" s="141">
        <v>1.0149999999999999</v>
      </c>
      <c r="G399" s="141">
        <v>1.0149999999999999</v>
      </c>
      <c r="H399" s="141">
        <v>1.0149999999999999</v>
      </c>
      <c r="I399" s="141">
        <v>1.01</v>
      </c>
      <c r="J399" s="142">
        <v>1.01</v>
      </c>
      <c r="K399" s="141">
        <v>1</v>
      </c>
      <c r="L399" s="141">
        <v>1.0149999999999999</v>
      </c>
      <c r="M399" s="141">
        <v>0.995</v>
      </c>
      <c r="N399" s="141">
        <v>1.01</v>
      </c>
      <c r="O399" s="141">
        <v>1.0049999999999999</v>
      </c>
      <c r="P399" s="142">
        <v>1.0249999999999999</v>
      </c>
      <c r="Q399" s="141">
        <v>0.995</v>
      </c>
      <c r="R399" s="141">
        <v>0.99</v>
      </c>
      <c r="S399" s="141">
        <v>0.99</v>
      </c>
      <c r="T399" s="141">
        <v>1.0249999999999999</v>
      </c>
      <c r="U399" s="141">
        <v>1.05</v>
      </c>
      <c r="V399" s="142">
        <v>1.0149999999999999</v>
      </c>
      <c r="W399" s="141">
        <v>1.0049999999999999</v>
      </c>
      <c r="X399" s="141">
        <v>0.94</v>
      </c>
      <c r="Y399" s="141">
        <v>1.0249999999999999</v>
      </c>
      <c r="Z399" s="141">
        <v>1.02</v>
      </c>
      <c r="AA399" s="141">
        <v>1.01</v>
      </c>
      <c r="AB399" s="143">
        <f>_xlfn.STDEV.P(D399:AA399)</f>
        <v>1.9346977943739834E-2</v>
      </c>
      <c r="AC399" s="143"/>
    </row>
    <row r="400" spans="1:29">
      <c r="A400" s="260"/>
      <c r="C400" t="s">
        <v>221</v>
      </c>
      <c r="D400" s="144">
        <v>0.42</v>
      </c>
      <c r="E400" s="144">
        <v>0.39500000000000002</v>
      </c>
      <c r="F400" s="144">
        <v>0.38500000000000001</v>
      </c>
      <c r="G400" s="144">
        <v>0.38</v>
      </c>
      <c r="H400" s="144">
        <v>0.375</v>
      </c>
      <c r="I400" s="141">
        <v>0.36</v>
      </c>
      <c r="J400" s="145">
        <v>0.42499999999999999</v>
      </c>
      <c r="K400" s="144">
        <v>0.39500000000000002</v>
      </c>
      <c r="L400" s="144">
        <v>0.42</v>
      </c>
      <c r="M400" s="144">
        <v>0.40500000000000003</v>
      </c>
      <c r="N400" s="144">
        <v>0.4</v>
      </c>
      <c r="O400" s="141">
        <v>0.46</v>
      </c>
      <c r="P400" s="145">
        <v>0.435</v>
      </c>
      <c r="Q400" s="144">
        <v>0.42499999999999999</v>
      </c>
      <c r="R400" s="144">
        <v>0.46</v>
      </c>
      <c r="S400" s="144">
        <v>0.40500000000000003</v>
      </c>
      <c r="T400" s="144">
        <v>0.4</v>
      </c>
      <c r="U400" s="141">
        <v>0.41499999999999998</v>
      </c>
      <c r="V400" s="145">
        <v>0.41</v>
      </c>
      <c r="W400" s="144">
        <v>0.41499999999999998</v>
      </c>
      <c r="X400" s="144">
        <v>0.52</v>
      </c>
      <c r="Y400" s="144">
        <v>0.435</v>
      </c>
      <c r="Z400" s="144">
        <v>0.46500000000000002</v>
      </c>
      <c r="AA400" s="144">
        <v>0.45500000000000002</v>
      </c>
      <c r="AB400" s="143">
        <f>_xlfn.STDEV.P(D400:AA400)</f>
        <v>3.4176827757349801E-2</v>
      </c>
      <c r="AC400" s="146"/>
    </row>
    <row r="401" spans="1:29">
      <c r="A401" s="260"/>
      <c r="B401" s="147" t="s">
        <v>1900</v>
      </c>
      <c r="D401" s="148" t="s">
        <v>1794</v>
      </c>
      <c r="E401" s="148" t="s">
        <v>1794</v>
      </c>
      <c r="F401" s="148" t="s">
        <v>1794</v>
      </c>
      <c r="G401" s="148" t="s">
        <v>1794</v>
      </c>
      <c r="H401" s="148" t="s">
        <v>1803</v>
      </c>
      <c r="I401" s="149" t="s">
        <v>1794</v>
      </c>
      <c r="J401" s="150" t="s">
        <v>1794</v>
      </c>
      <c r="K401" s="148" t="s">
        <v>1794</v>
      </c>
      <c r="L401" s="148" t="s">
        <v>1796</v>
      </c>
      <c r="M401" s="148" t="s">
        <v>1794</v>
      </c>
      <c r="N401" s="148" t="s">
        <v>1794</v>
      </c>
      <c r="O401" s="149" t="s">
        <v>1794</v>
      </c>
      <c r="P401" s="150" t="s">
        <v>1794</v>
      </c>
      <c r="Q401" s="148" t="s">
        <v>1796</v>
      </c>
      <c r="R401" s="148" t="s">
        <v>1803</v>
      </c>
      <c r="S401" s="148" t="s">
        <v>1796</v>
      </c>
      <c r="T401" s="148" t="s">
        <v>1796</v>
      </c>
      <c r="U401" s="149" t="s">
        <v>1794</v>
      </c>
      <c r="V401" s="150" t="s">
        <v>1794</v>
      </c>
      <c r="W401" s="148" t="s">
        <v>1794</v>
      </c>
      <c r="X401" s="148" t="s">
        <v>1794</v>
      </c>
      <c r="Y401" s="148" t="s">
        <v>1794</v>
      </c>
      <c r="Z401" s="148" t="s">
        <v>1794</v>
      </c>
      <c r="AA401" s="148" t="s">
        <v>1794</v>
      </c>
      <c r="AB401" s="143"/>
      <c r="AC401" s="151" t="s">
        <v>1878</v>
      </c>
    </row>
    <row r="402" spans="1:29">
      <c r="A402" s="260"/>
      <c r="B402" t="s">
        <v>1837</v>
      </c>
      <c r="C402" t="s">
        <v>40</v>
      </c>
      <c r="D402" s="141">
        <v>0.54500000000000004</v>
      </c>
      <c r="E402" s="141">
        <v>0.53500000000000003</v>
      </c>
      <c r="F402" s="141">
        <v>0.505</v>
      </c>
      <c r="G402" s="141">
        <v>0.51500000000000001</v>
      </c>
      <c r="H402" s="141">
        <v>0.54</v>
      </c>
      <c r="I402" s="141">
        <v>0.52500000000000002</v>
      </c>
      <c r="J402" s="142">
        <v>0.52500000000000002</v>
      </c>
      <c r="K402" s="141">
        <v>0.51</v>
      </c>
      <c r="L402" s="141">
        <v>0.54</v>
      </c>
      <c r="M402" s="141">
        <v>0.67</v>
      </c>
      <c r="N402" s="141">
        <v>0.55500000000000005</v>
      </c>
      <c r="O402" s="141">
        <v>0.51</v>
      </c>
      <c r="P402" s="142">
        <v>0.58499999999999996</v>
      </c>
      <c r="Q402" s="141">
        <v>0.54</v>
      </c>
      <c r="R402" s="141">
        <v>0.56499999999999995</v>
      </c>
      <c r="S402" s="141">
        <v>0.56999999999999995</v>
      </c>
      <c r="T402" s="141">
        <v>0.54</v>
      </c>
      <c r="U402" s="141">
        <v>0.51</v>
      </c>
      <c r="V402" s="142">
        <v>0.54</v>
      </c>
      <c r="W402" s="141">
        <v>0.56499999999999995</v>
      </c>
      <c r="X402" s="141">
        <v>0.53500000000000003</v>
      </c>
      <c r="Y402" s="141">
        <v>0.54500000000000004</v>
      </c>
      <c r="Z402" s="141">
        <v>0.54</v>
      </c>
      <c r="AA402" s="141">
        <v>0.59499999999999997</v>
      </c>
      <c r="AB402" s="143">
        <f>_xlfn.STDEV.P(D402:AA402)</f>
        <v>3.4489707603219184E-2</v>
      </c>
      <c r="AC402" s="143"/>
    </row>
    <row r="403" spans="1:29">
      <c r="A403" s="260"/>
      <c r="C403" t="s">
        <v>220</v>
      </c>
      <c r="D403" s="141">
        <v>1.0149999999999999</v>
      </c>
      <c r="E403" s="141">
        <v>0.995</v>
      </c>
      <c r="F403" s="141">
        <v>1.01</v>
      </c>
      <c r="G403" s="141">
        <v>1.0900000000000001</v>
      </c>
      <c r="H403" s="141">
        <v>0.98499999999999999</v>
      </c>
      <c r="I403" s="141">
        <v>1</v>
      </c>
      <c r="J403" s="142">
        <v>1.0049999999999999</v>
      </c>
      <c r="K403" s="141">
        <v>1.0249999999999999</v>
      </c>
      <c r="L403" s="141">
        <v>1.02</v>
      </c>
      <c r="M403" s="141">
        <v>0.97499999999999998</v>
      </c>
      <c r="N403" s="141">
        <v>1.01</v>
      </c>
      <c r="O403" s="141">
        <v>1.01</v>
      </c>
      <c r="P403" s="142">
        <v>0.995</v>
      </c>
      <c r="Q403" s="141">
        <v>1.04</v>
      </c>
      <c r="R403" s="141">
        <v>0.93500000000000005</v>
      </c>
      <c r="S403" s="141">
        <v>0.95499999999999996</v>
      </c>
      <c r="T403" s="141">
        <v>1.02</v>
      </c>
      <c r="U403" s="141">
        <v>0.99</v>
      </c>
      <c r="V403" s="142">
        <v>1.05</v>
      </c>
      <c r="W403" s="141">
        <v>1.02</v>
      </c>
      <c r="X403" s="141">
        <v>1.0449999999999999</v>
      </c>
      <c r="Y403" s="141">
        <v>0.97499999999999998</v>
      </c>
      <c r="Z403" s="141">
        <v>1.0900000000000001</v>
      </c>
      <c r="AA403" s="141">
        <v>0.99</v>
      </c>
      <c r="AB403" s="143">
        <f>_xlfn.STDEV.P(D403:AA403)</f>
        <v>3.5457696821549055E-2</v>
      </c>
      <c r="AC403" s="143"/>
    </row>
    <row r="404" spans="1:29">
      <c r="A404" s="260"/>
      <c r="C404" t="s">
        <v>221</v>
      </c>
      <c r="D404" s="144">
        <v>0.40500000000000003</v>
      </c>
      <c r="E404" s="144">
        <v>0.41499999999999998</v>
      </c>
      <c r="F404" s="144">
        <v>0.40500000000000003</v>
      </c>
      <c r="G404" s="144">
        <v>0.315</v>
      </c>
      <c r="H404" s="144">
        <v>0.435</v>
      </c>
      <c r="I404" s="141">
        <v>0.44500000000000001</v>
      </c>
      <c r="J404" s="145">
        <v>0.38500000000000001</v>
      </c>
      <c r="K404" s="144">
        <v>0.375</v>
      </c>
      <c r="L404" s="144">
        <v>0.41499999999999998</v>
      </c>
      <c r="M404" s="144">
        <v>0.41499999999999998</v>
      </c>
      <c r="N404" s="144">
        <v>0.42</v>
      </c>
      <c r="O404" s="141">
        <v>0.39</v>
      </c>
      <c r="P404" s="145">
        <v>0.45</v>
      </c>
      <c r="Q404" s="144">
        <v>0.38500000000000001</v>
      </c>
      <c r="R404" s="144">
        <v>0.49</v>
      </c>
      <c r="S404" s="144">
        <v>0.36</v>
      </c>
      <c r="T404" s="144">
        <v>0.46500000000000002</v>
      </c>
      <c r="U404" s="141">
        <v>0.43</v>
      </c>
      <c r="V404" s="145">
        <v>0.39</v>
      </c>
      <c r="W404" s="144">
        <v>0.42499999999999999</v>
      </c>
      <c r="X404" s="144">
        <v>0.43</v>
      </c>
      <c r="Y404" s="144">
        <v>0.47499999999999998</v>
      </c>
      <c r="Z404" s="144">
        <v>0.35499999999999998</v>
      </c>
      <c r="AA404" s="144">
        <v>0.47</v>
      </c>
      <c r="AB404" s="143">
        <f>_xlfn.STDEV.P(D404:AA404)</f>
        <v>4.047407863888524E-2</v>
      </c>
      <c r="AC404" s="146"/>
    </row>
    <row r="405" spans="1:29">
      <c r="A405" s="260"/>
      <c r="B405" s="147" t="s">
        <v>1838</v>
      </c>
      <c r="D405" s="148" t="s">
        <v>1796</v>
      </c>
      <c r="E405" s="148" t="s">
        <v>1794</v>
      </c>
      <c r="F405" s="148" t="s">
        <v>1794</v>
      </c>
      <c r="G405" s="148" t="s">
        <v>1794</v>
      </c>
      <c r="H405" s="148" t="s">
        <v>1794</v>
      </c>
      <c r="I405" s="149" t="s">
        <v>1794</v>
      </c>
      <c r="J405" s="150" t="s">
        <v>1803</v>
      </c>
      <c r="K405" s="148" t="s">
        <v>1796</v>
      </c>
      <c r="L405" s="148" t="s">
        <v>1794</v>
      </c>
      <c r="M405" s="148" t="s">
        <v>1796</v>
      </c>
      <c r="N405" s="148" t="s">
        <v>1794</v>
      </c>
      <c r="O405" s="149" t="s">
        <v>1796</v>
      </c>
      <c r="P405" s="150" t="s">
        <v>1796</v>
      </c>
      <c r="Q405" s="148" t="s">
        <v>1794</v>
      </c>
      <c r="R405" s="148" t="s">
        <v>1794</v>
      </c>
      <c r="S405" s="148" t="s">
        <v>1794</v>
      </c>
      <c r="T405" s="148" t="s">
        <v>1794</v>
      </c>
      <c r="U405" s="149" t="s">
        <v>1794</v>
      </c>
      <c r="V405" s="150" t="s">
        <v>1795</v>
      </c>
      <c r="W405" s="148" t="s">
        <v>1794</v>
      </c>
      <c r="X405" s="148" t="s">
        <v>1794</v>
      </c>
      <c r="Y405" s="148" t="s">
        <v>1796</v>
      </c>
      <c r="Z405" s="148" t="s">
        <v>1794</v>
      </c>
      <c r="AA405" s="148" t="s">
        <v>1794</v>
      </c>
      <c r="AB405" s="143"/>
      <c r="AC405" s="151" t="s">
        <v>1915</v>
      </c>
    </row>
    <row r="406" spans="1:29">
      <c r="A406" s="260"/>
      <c r="B406" t="s">
        <v>1839</v>
      </c>
      <c r="C406" t="s">
        <v>40</v>
      </c>
      <c r="D406" s="141">
        <v>0.53500000000000003</v>
      </c>
      <c r="E406" s="141">
        <v>0.53500000000000003</v>
      </c>
      <c r="F406" s="141">
        <v>0.56999999999999995</v>
      </c>
      <c r="G406" s="141">
        <v>0.54500000000000004</v>
      </c>
      <c r="H406" s="141">
        <v>0.54</v>
      </c>
      <c r="I406" s="141">
        <v>0.56000000000000005</v>
      </c>
      <c r="J406" s="142">
        <v>0.5</v>
      </c>
      <c r="K406" s="141">
        <v>0.52500000000000002</v>
      </c>
      <c r="L406" s="141">
        <v>0.56499999999999995</v>
      </c>
      <c r="M406" s="141">
        <v>0.53</v>
      </c>
      <c r="N406" s="141">
        <v>0.54500000000000004</v>
      </c>
      <c r="O406" s="141">
        <v>0.51500000000000001</v>
      </c>
      <c r="P406" s="142">
        <v>0.52500000000000002</v>
      </c>
      <c r="Q406" s="141">
        <v>0.55000000000000004</v>
      </c>
      <c r="R406" s="141">
        <v>0.58499999999999996</v>
      </c>
      <c r="S406" s="141">
        <v>0.52</v>
      </c>
      <c r="T406" s="141">
        <v>0.51</v>
      </c>
      <c r="U406" s="141">
        <v>0.55000000000000004</v>
      </c>
      <c r="V406" s="142">
        <v>0.59</v>
      </c>
      <c r="W406" s="141">
        <v>0.6</v>
      </c>
      <c r="X406" s="141">
        <v>0.52500000000000002</v>
      </c>
      <c r="Y406" s="141">
        <v>0.53500000000000003</v>
      </c>
      <c r="Z406" s="141">
        <v>0.60499999999999998</v>
      </c>
      <c r="AA406" s="141">
        <v>0.47499999999999998</v>
      </c>
      <c r="AB406" s="143">
        <f>_xlfn.STDEV.P(D406:AA406)</f>
        <v>3.0883264750778305E-2</v>
      </c>
      <c r="AC406" s="143"/>
    </row>
    <row r="407" spans="1:29">
      <c r="A407" s="260"/>
      <c r="C407" t="s">
        <v>220</v>
      </c>
      <c r="D407" s="141">
        <v>1.01</v>
      </c>
      <c r="E407" s="141">
        <v>1.02</v>
      </c>
      <c r="F407" s="141">
        <v>0.97</v>
      </c>
      <c r="G407" s="141">
        <v>1.0049999999999999</v>
      </c>
      <c r="H407" s="141">
        <v>1.01</v>
      </c>
      <c r="I407" s="141">
        <v>1.0249999999999999</v>
      </c>
      <c r="J407" s="142">
        <v>0.99</v>
      </c>
      <c r="K407" s="141">
        <v>1.02</v>
      </c>
      <c r="L407" s="141">
        <v>1.02</v>
      </c>
      <c r="M407" s="141">
        <v>1.0349999999999999</v>
      </c>
      <c r="N407" s="141">
        <v>1.02</v>
      </c>
      <c r="O407" s="141">
        <v>1.01</v>
      </c>
      <c r="P407" s="142">
        <v>1.0249999999999999</v>
      </c>
      <c r="Q407" s="141">
        <v>1.0149999999999999</v>
      </c>
      <c r="R407" s="141">
        <v>1.03</v>
      </c>
      <c r="S407" s="141">
        <v>1.04</v>
      </c>
      <c r="T407" s="141">
        <v>1.01</v>
      </c>
      <c r="U407" s="141">
        <v>1.0149999999999999</v>
      </c>
      <c r="V407" s="142">
        <v>1</v>
      </c>
      <c r="W407" s="141">
        <v>1.0249999999999999</v>
      </c>
      <c r="X407" s="141">
        <v>0.98499999999999999</v>
      </c>
      <c r="Y407" s="141">
        <v>1.0049999999999999</v>
      </c>
      <c r="Z407" s="141">
        <v>0.98</v>
      </c>
      <c r="AA407" s="141">
        <v>1.01</v>
      </c>
      <c r="AB407" s="143">
        <f>_xlfn.STDEV.P(D407:AA407)</f>
        <v>1.6675778759093148E-2</v>
      </c>
      <c r="AC407" s="143"/>
    </row>
    <row r="408" spans="1:29">
      <c r="A408" s="260"/>
      <c r="C408" t="s">
        <v>221</v>
      </c>
      <c r="D408" s="144">
        <v>0.43</v>
      </c>
      <c r="E408" s="144">
        <v>0.43</v>
      </c>
      <c r="F408" s="144">
        <v>0.42499999999999999</v>
      </c>
      <c r="G408" s="144">
        <v>0.44</v>
      </c>
      <c r="H408" s="144">
        <v>0.375</v>
      </c>
      <c r="I408" s="141">
        <v>0.46</v>
      </c>
      <c r="J408" s="145">
        <v>0.48</v>
      </c>
      <c r="K408" s="144">
        <v>0.435</v>
      </c>
      <c r="L408" s="144">
        <v>0.39500000000000002</v>
      </c>
      <c r="M408" s="144">
        <v>0.38</v>
      </c>
      <c r="N408" s="144">
        <v>0.43</v>
      </c>
      <c r="O408" s="141">
        <v>0.41</v>
      </c>
      <c r="P408" s="145">
        <v>0.41</v>
      </c>
      <c r="Q408" s="144">
        <v>0.435</v>
      </c>
      <c r="R408" s="144">
        <v>0.42499999999999999</v>
      </c>
      <c r="S408" s="144">
        <v>0.48499999999999999</v>
      </c>
      <c r="T408" s="144">
        <v>0.42499999999999999</v>
      </c>
      <c r="U408" s="141">
        <v>0.435</v>
      </c>
      <c r="V408" s="145">
        <v>0.42499999999999999</v>
      </c>
      <c r="W408" s="144">
        <v>0.42499999999999999</v>
      </c>
      <c r="X408" s="144">
        <v>0.49</v>
      </c>
      <c r="Y408" s="144">
        <v>0.45500000000000002</v>
      </c>
      <c r="Z408" s="144">
        <v>0.43</v>
      </c>
      <c r="AA408" s="144">
        <v>0.44</v>
      </c>
      <c r="AB408" s="143">
        <f>_xlfn.STDEV.P(D408:AA408)</f>
        <v>2.7760758675191542E-2</v>
      </c>
      <c r="AC408" s="146"/>
    </row>
    <row r="409" spans="1:29">
      <c r="A409" s="260"/>
      <c r="B409" s="147" t="s">
        <v>1840</v>
      </c>
      <c r="D409" s="148" t="s">
        <v>1794</v>
      </c>
      <c r="E409" s="148" t="s">
        <v>1794</v>
      </c>
      <c r="F409" s="148" t="s">
        <v>1796</v>
      </c>
      <c r="G409" s="148" t="s">
        <v>1794</v>
      </c>
      <c r="H409" s="148" t="s">
        <v>1794</v>
      </c>
      <c r="I409" s="149" t="s">
        <v>1794</v>
      </c>
      <c r="J409" s="150" t="s">
        <v>1796</v>
      </c>
      <c r="K409" s="148" t="s">
        <v>1796</v>
      </c>
      <c r="L409" s="148" t="s">
        <v>1794</v>
      </c>
      <c r="M409" s="148" t="s">
        <v>1794</v>
      </c>
      <c r="N409" s="148" t="s">
        <v>1794</v>
      </c>
      <c r="O409" s="149" t="s">
        <v>1794</v>
      </c>
      <c r="P409" s="150" t="s">
        <v>1796</v>
      </c>
      <c r="Q409" s="148" t="s">
        <v>1794</v>
      </c>
      <c r="R409" s="148" t="s">
        <v>1803</v>
      </c>
      <c r="S409" s="148" t="s">
        <v>1796</v>
      </c>
      <c r="T409" s="148" t="s">
        <v>1796</v>
      </c>
      <c r="U409" s="149" t="s">
        <v>1794</v>
      </c>
      <c r="V409" s="150" t="s">
        <v>1794</v>
      </c>
      <c r="W409" s="148" t="s">
        <v>1796</v>
      </c>
      <c r="X409" s="148" t="s">
        <v>1794</v>
      </c>
      <c r="Y409" s="148" t="s">
        <v>1794</v>
      </c>
      <c r="Z409" s="148" t="s">
        <v>1794</v>
      </c>
      <c r="AA409" s="148" t="s">
        <v>1794</v>
      </c>
      <c r="AB409" s="143"/>
      <c r="AC409" s="151" t="s">
        <v>1909</v>
      </c>
    </row>
    <row r="410" spans="1:29">
      <c r="A410" s="260"/>
      <c r="B410" t="s">
        <v>1842</v>
      </c>
      <c r="C410" t="s">
        <v>40</v>
      </c>
      <c r="D410" s="141">
        <v>0.51500000000000001</v>
      </c>
      <c r="E410" s="141">
        <v>0.51500000000000001</v>
      </c>
      <c r="F410" s="141">
        <v>0.6</v>
      </c>
      <c r="G410" s="141">
        <v>0.51500000000000001</v>
      </c>
      <c r="H410" s="141">
        <v>0.46500000000000002</v>
      </c>
      <c r="I410" s="141">
        <v>0.51</v>
      </c>
      <c r="J410" s="142">
        <v>0.49</v>
      </c>
      <c r="K410" s="141">
        <v>0.46500000000000002</v>
      </c>
      <c r="L410" s="141">
        <v>0.54500000000000004</v>
      </c>
      <c r="M410" s="141">
        <v>0.56499999999999995</v>
      </c>
      <c r="N410" s="141">
        <v>0.51500000000000001</v>
      </c>
      <c r="O410" s="141">
        <v>0.43</v>
      </c>
      <c r="P410" s="142">
        <v>0.52500000000000002</v>
      </c>
      <c r="Q410" s="141">
        <v>0.5</v>
      </c>
      <c r="R410" s="141">
        <v>0.53500000000000003</v>
      </c>
      <c r="S410" s="141">
        <v>0.49</v>
      </c>
      <c r="T410" s="141">
        <v>0.48499999999999999</v>
      </c>
      <c r="U410" s="141">
        <v>0.48</v>
      </c>
      <c r="V410" s="142">
        <v>0.51500000000000001</v>
      </c>
      <c r="W410" s="141">
        <v>0.51</v>
      </c>
      <c r="X410" s="141">
        <v>0.52500000000000002</v>
      </c>
      <c r="Y410" s="141">
        <v>0.53</v>
      </c>
      <c r="Z410" s="141">
        <v>0.56999999999999995</v>
      </c>
      <c r="AA410" s="141">
        <v>0.55000000000000004</v>
      </c>
      <c r="AB410" s="143">
        <f>_xlfn.STDEV.P(D410:AA410)</f>
        <v>3.6266160191010019E-2</v>
      </c>
      <c r="AC410" s="143"/>
    </row>
    <row r="411" spans="1:29">
      <c r="A411" s="260"/>
      <c r="C411" t="s">
        <v>220</v>
      </c>
      <c r="D411" s="141">
        <v>1.0149999999999999</v>
      </c>
      <c r="E411" s="141">
        <v>1.05</v>
      </c>
      <c r="F411" s="141">
        <v>0.94</v>
      </c>
      <c r="G411" s="141">
        <v>1.0149999999999999</v>
      </c>
      <c r="H411" s="141">
        <v>0.99</v>
      </c>
      <c r="I411" s="141">
        <v>1.0049999999999999</v>
      </c>
      <c r="J411" s="142">
        <v>0.995</v>
      </c>
      <c r="K411" s="141">
        <v>1.02</v>
      </c>
      <c r="L411" s="141">
        <v>1.05</v>
      </c>
      <c r="M411" s="141">
        <v>1.0049999999999999</v>
      </c>
      <c r="N411" s="141">
        <v>1.0149999999999999</v>
      </c>
      <c r="O411" s="141">
        <v>1.01</v>
      </c>
      <c r="P411" s="142">
        <v>0.97</v>
      </c>
      <c r="Q411" s="141">
        <v>1.0149999999999999</v>
      </c>
      <c r="R411" s="141">
        <v>1.0249999999999999</v>
      </c>
      <c r="S411" s="141">
        <v>0.97499999999999998</v>
      </c>
      <c r="T411" s="141">
        <v>1.075</v>
      </c>
      <c r="U411" s="141">
        <v>0.995</v>
      </c>
      <c r="V411" s="142">
        <v>0.99</v>
      </c>
      <c r="W411" s="141">
        <v>0.99</v>
      </c>
      <c r="X411" s="141">
        <v>0.97499999999999998</v>
      </c>
      <c r="Y411" s="141">
        <v>1.01</v>
      </c>
      <c r="Z411" s="141">
        <v>1.0349999999999999</v>
      </c>
      <c r="AA411" s="141">
        <v>1.0349999999999999</v>
      </c>
      <c r="AB411" s="143">
        <f>_xlfn.STDEV.P(D411:AA411)</f>
        <v>2.8638067129065969E-2</v>
      </c>
      <c r="AC411" s="143"/>
    </row>
    <row r="412" spans="1:29">
      <c r="A412" s="260"/>
      <c r="C412" t="s">
        <v>221</v>
      </c>
      <c r="D412" s="144">
        <v>0.41</v>
      </c>
      <c r="E412" s="144">
        <v>0.38500000000000001</v>
      </c>
      <c r="F412" s="144">
        <v>0.435</v>
      </c>
      <c r="G412" s="144">
        <v>0.41</v>
      </c>
      <c r="H412" s="144">
        <v>0.36499999999999999</v>
      </c>
      <c r="I412" s="141">
        <v>0.41</v>
      </c>
      <c r="J412" s="145">
        <v>0.41499999999999998</v>
      </c>
      <c r="K412" s="144">
        <v>0.42499999999999999</v>
      </c>
      <c r="L412" s="144">
        <v>0.4</v>
      </c>
      <c r="M412" s="144">
        <v>0.45</v>
      </c>
      <c r="N412" s="144">
        <v>0.43</v>
      </c>
      <c r="O412" s="141">
        <v>0.43</v>
      </c>
      <c r="P412" s="145">
        <v>0.46</v>
      </c>
      <c r="Q412" s="144">
        <v>0.38500000000000001</v>
      </c>
      <c r="R412" s="144">
        <v>0.46</v>
      </c>
      <c r="S412" s="144">
        <v>0.36499999999999999</v>
      </c>
      <c r="T412" s="144">
        <v>0.35</v>
      </c>
      <c r="U412" s="141">
        <v>0.45</v>
      </c>
      <c r="V412" s="145">
        <v>0.43</v>
      </c>
      <c r="W412" s="144">
        <v>0.41</v>
      </c>
      <c r="X412" s="144">
        <v>0.42499999999999999</v>
      </c>
      <c r="Y412" s="144">
        <v>0.41499999999999998</v>
      </c>
      <c r="Z412" s="144">
        <v>0.42499999999999999</v>
      </c>
      <c r="AA412" s="144">
        <v>0.435</v>
      </c>
      <c r="AB412" s="143">
        <f>_xlfn.STDEV.P(D412:AA412)</f>
        <v>2.8588768919513369E-2</v>
      </c>
      <c r="AC412" s="146"/>
    </row>
    <row r="413" spans="1:29">
      <c r="A413" s="260"/>
      <c r="B413" s="147" t="s">
        <v>1843</v>
      </c>
      <c r="D413" s="148" t="s">
        <v>1794</v>
      </c>
      <c r="E413" s="148" t="s">
        <v>1794</v>
      </c>
      <c r="F413" s="148" t="s">
        <v>1794</v>
      </c>
      <c r="G413" s="148" t="s">
        <v>1795</v>
      </c>
      <c r="H413" s="148" t="s">
        <v>1794</v>
      </c>
      <c r="I413" s="149" t="s">
        <v>1794</v>
      </c>
      <c r="J413" s="150" t="s">
        <v>1796</v>
      </c>
      <c r="K413" s="148" t="s">
        <v>1795</v>
      </c>
      <c r="L413" s="148" t="s">
        <v>1794</v>
      </c>
      <c r="M413" s="148" t="s">
        <v>1794</v>
      </c>
      <c r="N413" s="148" t="s">
        <v>1794</v>
      </c>
      <c r="O413" s="149" t="s">
        <v>1794</v>
      </c>
      <c r="P413" s="150" t="s">
        <v>1803</v>
      </c>
      <c r="Q413" s="148" t="s">
        <v>1794</v>
      </c>
      <c r="R413" s="148" t="s">
        <v>1795</v>
      </c>
      <c r="S413" s="148" t="s">
        <v>1796</v>
      </c>
      <c r="T413" s="148" t="s">
        <v>1796</v>
      </c>
      <c r="U413" s="149" t="s">
        <v>1794</v>
      </c>
      <c r="V413" s="150" t="s">
        <v>1794</v>
      </c>
      <c r="W413" s="148" t="s">
        <v>1796</v>
      </c>
      <c r="X413" s="148" t="s">
        <v>1794</v>
      </c>
      <c r="Y413" s="148" t="s">
        <v>1794</v>
      </c>
      <c r="Z413" s="148" t="s">
        <v>1794</v>
      </c>
      <c r="AA413" s="148" t="s">
        <v>1794</v>
      </c>
      <c r="AB413" s="143"/>
      <c r="AC413" s="151" t="s">
        <v>1916</v>
      </c>
    </row>
    <row r="414" spans="1:29">
      <c r="A414" s="260"/>
      <c r="B414" s="153" t="s">
        <v>1845</v>
      </c>
      <c r="C414" s="153" t="s">
        <v>40</v>
      </c>
      <c r="D414" s="154">
        <v>0.51500000000000001</v>
      </c>
      <c r="E414" s="154">
        <v>0.51500000000000001</v>
      </c>
      <c r="F414" s="154">
        <v>0.56000000000000005</v>
      </c>
      <c r="G414" s="154">
        <v>0.495</v>
      </c>
      <c r="H414" s="154">
        <v>0.49</v>
      </c>
      <c r="I414" s="154">
        <v>0.51500000000000001</v>
      </c>
      <c r="J414" s="155">
        <v>0.52</v>
      </c>
      <c r="K414" s="154">
        <v>0.56000000000000005</v>
      </c>
      <c r="L414" s="154">
        <v>0.5</v>
      </c>
      <c r="M414" s="154">
        <v>0.63500000000000001</v>
      </c>
      <c r="N414" s="154">
        <v>0.51</v>
      </c>
      <c r="O414" s="154">
        <v>0.52500000000000002</v>
      </c>
      <c r="P414" s="155">
        <v>0.47</v>
      </c>
      <c r="Q414" s="154">
        <v>0.505</v>
      </c>
      <c r="R414" s="154">
        <v>0.54</v>
      </c>
      <c r="S414" s="154">
        <v>0.56000000000000005</v>
      </c>
      <c r="T414" s="154">
        <v>0.51</v>
      </c>
      <c r="U414" s="154">
        <v>0.54</v>
      </c>
      <c r="V414" s="155">
        <v>0.52500000000000002</v>
      </c>
      <c r="W414" s="154">
        <v>0.55000000000000004</v>
      </c>
      <c r="X414" s="154">
        <v>0.51</v>
      </c>
      <c r="Y414" s="154">
        <v>0.49</v>
      </c>
      <c r="Z414" s="154">
        <v>0.54</v>
      </c>
      <c r="AA414" s="154">
        <v>0.45</v>
      </c>
      <c r="AB414" s="156">
        <f>_xlfn.STDEV.P(D414:AA414)</f>
        <v>3.5879330942603843E-2</v>
      </c>
      <c r="AC414" s="156"/>
    </row>
    <row r="415" spans="1:29">
      <c r="A415" s="260"/>
      <c r="B415" s="153"/>
      <c r="C415" s="153" t="s">
        <v>220</v>
      </c>
      <c r="D415" s="154">
        <v>1.01</v>
      </c>
      <c r="E415" s="154">
        <v>1.0349999999999999</v>
      </c>
      <c r="F415" s="154">
        <v>1</v>
      </c>
      <c r="G415" s="154">
        <v>1.0249999999999999</v>
      </c>
      <c r="H415" s="154">
        <v>1.03</v>
      </c>
      <c r="I415" s="154">
        <v>1.01</v>
      </c>
      <c r="J415" s="155">
        <v>1.0149999999999999</v>
      </c>
      <c r="K415" s="154">
        <v>1.0049999999999999</v>
      </c>
      <c r="L415" s="154">
        <v>0.995</v>
      </c>
      <c r="M415" s="154">
        <v>1.0149999999999999</v>
      </c>
      <c r="N415" s="154">
        <v>1.01</v>
      </c>
      <c r="O415" s="154">
        <v>1.0349999999999999</v>
      </c>
      <c r="P415" s="155">
        <v>1.05</v>
      </c>
      <c r="Q415" s="154">
        <v>1.01</v>
      </c>
      <c r="R415" s="154">
        <v>1.0549999999999999</v>
      </c>
      <c r="S415" s="154">
        <v>1.0249999999999999</v>
      </c>
      <c r="T415" s="154">
        <v>0.99</v>
      </c>
      <c r="U415" s="154">
        <v>1.01</v>
      </c>
      <c r="V415" s="155">
        <v>1.0149999999999999</v>
      </c>
      <c r="W415" s="154">
        <v>1.01</v>
      </c>
      <c r="X415" s="154">
        <v>0.99</v>
      </c>
      <c r="Y415" s="154">
        <v>1.0149999999999999</v>
      </c>
      <c r="Z415" s="154">
        <v>1</v>
      </c>
      <c r="AA415" s="154">
        <v>1.0149999999999999</v>
      </c>
      <c r="AB415" s="156">
        <f>_xlfn.STDEV.P(D415:AA415)</f>
        <v>1.6324615020133101E-2</v>
      </c>
      <c r="AC415" s="156"/>
    </row>
    <row r="416" spans="1:29">
      <c r="A416" s="260"/>
      <c r="B416" s="153"/>
      <c r="C416" s="153" t="s">
        <v>221</v>
      </c>
      <c r="D416" s="157">
        <v>0.38</v>
      </c>
      <c r="E416" s="157">
        <v>0.41</v>
      </c>
      <c r="F416" s="157">
        <v>0.39</v>
      </c>
      <c r="G416" s="157">
        <v>0.35499999999999998</v>
      </c>
      <c r="H416" s="157">
        <v>0.37</v>
      </c>
      <c r="I416" s="154">
        <v>0.39500000000000002</v>
      </c>
      <c r="J416" s="158">
        <v>0.42499999999999999</v>
      </c>
      <c r="K416" s="157">
        <v>0.41</v>
      </c>
      <c r="L416" s="157">
        <v>0.375</v>
      </c>
      <c r="M416" s="157">
        <v>0.435</v>
      </c>
      <c r="N416" s="157">
        <v>0.4</v>
      </c>
      <c r="O416" s="154">
        <v>0.4</v>
      </c>
      <c r="P416" s="158">
        <v>0.42</v>
      </c>
      <c r="Q416" s="157">
        <v>0.37</v>
      </c>
      <c r="R416" s="157">
        <v>0.39500000000000002</v>
      </c>
      <c r="S416" s="157">
        <v>0.38500000000000001</v>
      </c>
      <c r="T416" s="157">
        <v>0.38</v>
      </c>
      <c r="U416" s="154">
        <v>0.38500000000000001</v>
      </c>
      <c r="V416" s="158">
        <v>0.42</v>
      </c>
      <c r="W416" s="157">
        <v>0.4</v>
      </c>
      <c r="X416" s="157">
        <v>0.38</v>
      </c>
      <c r="Y416" s="157">
        <v>0.40500000000000003</v>
      </c>
      <c r="Z416" s="157">
        <v>0.39</v>
      </c>
      <c r="AA416" s="157">
        <v>0.4</v>
      </c>
      <c r="AB416" s="156">
        <f>_xlfn.STDEV.P(D416:AA416)</f>
        <v>1.8901012245085943E-2</v>
      </c>
      <c r="AC416" s="164"/>
    </row>
    <row r="417" spans="1:29">
      <c r="A417" s="260"/>
      <c r="B417" s="159" t="s">
        <v>1846</v>
      </c>
      <c r="C417" s="153"/>
      <c r="D417" s="160" t="s">
        <v>1796</v>
      </c>
      <c r="E417" s="160" t="s">
        <v>1794</v>
      </c>
      <c r="F417" s="160" t="s">
        <v>1796</v>
      </c>
      <c r="G417" s="160" t="s">
        <v>1794</v>
      </c>
      <c r="H417" s="160" t="s">
        <v>1796</v>
      </c>
      <c r="I417" s="161" t="s">
        <v>1796</v>
      </c>
      <c r="J417" s="162" t="s">
        <v>1803</v>
      </c>
      <c r="K417" s="160" t="s">
        <v>1803</v>
      </c>
      <c r="L417" s="160" t="s">
        <v>1796</v>
      </c>
      <c r="M417" s="160" t="s">
        <v>1803</v>
      </c>
      <c r="N417" s="160" t="s">
        <v>1794</v>
      </c>
      <c r="O417" s="161" t="s">
        <v>1796</v>
      </c>
      <c r="P417" s="162" t="s">
        <v>1794</v>
      </c>
      <c r="Q417" s="160" t="s">
        <v>1803</v>
      </c>
      <c r="R417" s="160" t="s">
        <v>1803</v>
      </c>
      <c r="S417" s="160" t="s">
        <v>1796</v>
      </c>
      <c r="T417" s="160" t="s">
        <v>1796</v>
      </c>
      <c r="U417" s="161" t="s">
        <v>1794</v>
      </c>
      <c r="V417" s="162" t="s">
        <v>1794</v>
      </c>
      <c r="W417" s="160" t="s">
        <v>1803</v>
      </c>
      <c r="X417" s="160" t="s">
        <v>1794</v>
      </c>
      <c r="Y417" s="160" t="s">
        <v>1794</v>
      </c>
      <c r="Z417" s="160" t="s">
        <v>1796</v>
      </c>
      <c r="AA417" s="160" t="s">
        <v>1794</v>
      </c>
      <c r="AB417" s="156"/>
      <c r="AC417" s="165" t="s">
        <v>1917</v>
      </c>
    </row>
    <row r="418" spans="1:29">
      <c r="A418" s="260"/>
      <c r="B418" t="s">
        <v>1848</v>
      </c>
      <c r="C418" t="s">
        <v>40</v>
      </c>
      <c r="D418" s="141">
        <v>0.48499999999999999</v>
      </c>
      <c r="E418" s="141">
        <v>0.57999999999999996</v>
      </c>
      <c r="F418" s="141">
        <v>0.56000000000000005</v>
      </c>
      <c r="G418" s="141">
        <v>0.54500000000000004</v>
      </c>
      <c r="H418" s="141">
        <v>0.56000000000000005</v>
      </c>
      <c r="I418" s="141">
        <v>0.55500000000000005</v>
      </c>
      <c r="J418" s="142">
        <v>0.55000000000000004</v>
      </c>
      <c r="K418" s="141">
        <v>0.56499999999999995</v>
      </c>
      <c r="L418" s="141">
        <v>0.55500000000000005</v>
      </c>
      <c r="M418" s="141">
        <v>0.55500000000000005</v>
      </c>
      <c r="N418" s="141">
        <v>0.45</v>
      </c>
      <c r="O418" s="141">
        <v>0.505</v>
      </c>
      <c r="P418" s="142">
        <v>0.54500000000000004</v>
      </c>
      <c r="Q418" s="141">
        <v>0.55500000000000005</v>
      </c>
      <c r="R418" s="141">
        <v>0.625</v>
      </c>
      <c r="S418" s="141">
        <v>0.61499999999999999</v>
      </c>
      <c r="T418" s="141">
        <v>0.54500000000000004</v>
      </c>
      <c r="U418" s="141">
        <v>0.54500000000000004</v>
      </c>
      <c r="V418" s="142">
        <v>0.5</v>
      </c>
      <c r="W418" s="141">
        <v>0.56499999999999995</v>
      </c>
      <c r="X418" s="141">
        <v>0.54500000000000004</v>
      </c>
      <c r="Y418" s="141">
        <v>0.53500000000000003</v>
      </c>
      <c r="Z418" s="141">
        <v>0.65500000000000003</v>
      </c>
      <c r="AA418" s="141">
        <v>0.505</v>
      </c>
      <c r="AB418" s="143">
        <f>_xlfn.STDEV.P(D418:AA418)</f>
        <v>4.2646805273079944E-2</v>
      </c>
      <c r="AC418" s="143"/>
    </row>
    <row r="419" spans="1:29">
      <c r="A419" s="260"/>
      <c r="C419" t="s">
        <v>220</v>
      </c>
      <c r="D419" s="141">
        <v>0.93</v>
      </c>
      <c r="E419" s="141">
        <v>1.02</v>
      </c>
      <c r="F419" s="141">
        <v>1.0149999999999999</v>
      </c>
      <c r="G419" s="141">
        <v>1.03</v>
      </c>
      <c r="H419" s="141">
        <v>1.0149999999999999</v>
      </c>
      <c r="I419" s="141">
        <v>1.0049999999999999</v>
      </c>
      <c r="J419" s="142">
        <v>1.02</v>
      </c>
      <c r="K419" s="141">
        <v>1.02</v>
      </c>
      <c r="L419" s="141">
        <v>1.02</v>
      </c>
      <c r="M419" s="141">
        <v>1.02</v>
      </c>
      <c r="N419" s="141">
        <v>1</v>
      </c>
      <c r="O419" s="141">
        <v>1.01</v>
      </c>
      <c r="P419" s="142">
        <v>1.02</v>
      </c>
      <c r="Q419" s="141">
        <v>1.05</v>
      </c>
      <c r="R419" s="141">
        <v>1.0149999999999999</v>
      </c>
      <c r="S419" s="141">
        <v>1.075</v>
      </c>
      <c r="T419" s="141">
        <v>1.02</v>
      </c>
      <c r="U419" s="141">
        <v>1.02</v>
      </c>
      <c r="V419" s="142">
        <v>1</v>
      </c>
      <c r="W419" s="141">
        <v>1.0049999999999999</v>
      </c>
      <c r="X419" s="141">
        <v>1.0549999999999999</v>
      </c>
      <c r="Y419" s="141">
        <v>1.0049999999999999</v>
      </c>
      <c r="Z419" s="141">
        <v>1.08</v>
      </c>
      <c r="AA419" s="141">
        <v>1.0249999999999999</v>
      </c>
      <c r="AB419" s="143">
        <f>_xlfn.STDEV.P(D419:AA419)</f>
        <v>2.7856745392972407E-2</v>
      </c>
      <c r="AC419" s="143"/>
    </row>
    <row r="420" spans="1:29">
      <c r="A420" s="260"/>
      <c r="C420" t="s">
        <v>221</v>
      </c>
      <c r="D420" s="144">
        <v>0.35499999999999998</v>
      </c>
      <c r="E420" s="144">
        <v>0.44</v>
      </c>
      <c r="F420" s="144">
        <v>0.40500000000000003</v>
      </c>
      <c r="G420" s="144">
        <v>0.45</v>
      </c>
      <c r="H420" s="144">
        <v>0.40500000000000003</v>
      </c>
      <c r="I420" s="141">
        <v>0.42</v>
      </c>
      <c r="J420" s="145">
        <v>0.42499999999999999</v>
      </c>
      <c r="K420" s="144">
        <v>0.40500000000000003</v>
      </c>
      <c r="L420" s="144">
        <v>0.4</v>
      </c>
      <c r="M420" s="144">
        <v>0.44</v>
      </c>
      <c r="N420" s="144">
        <v>0.42</v>
      </c>
      <c r="O420" s="141">
        <v>0.42499999999999999</v>
      </c>
      <c r="P420" s="145">
        <v>0.42499999999999999</v>
      </c>
      <c r="Q420" s="144">
        <v>0.39</v>
      </c>
      <c r="R420" s="144">
        <v>0.44</v>
      </c>
      <c r="S420" s="144">
        <v>0.44500000000000001</v>
      </c>
      <c r="T420" s="144">
        <v>0.39500000000000002</v>
      </c>
      <c r="U420" s="141">
        <v>0.42499999999999999</v>
      </c>
      <c r="V420" s="145">
        <v>0.46</v>
      </c>
      <c r="W420" s="144">
        <v>0.44500000000000001</v>
      </c>
      <c r="X420" s="144">
        <v>0.41499999999999998</v>
      </c>
      <c r="Y420" s="144">
        <v>0.45500000000000002</v>
      </c>
      <c r="Z420" s="144">
        <v>0.45500000000000002</v>
      </c>
      <c r="AA420" s="144">
        <v>0.46500000000000002</v>
      </c>
      <c r="AB420" s="143">
        <f>_xlfn.STDEV.P(D420:AA420)</f>
        <v>2.5596189766360845E-2</v>
      </c>
      <c r="AC420" s="146"/>
    </row>
    <row r="421" spans="1:29">
      <c r="A421" s="260"/>
      <c r="B421" s="147" t="s">
        <v>1849</v>
      </c>
      <c r="D421" s="148" t="s">
        <v>1794</v>
      </c>
      <c r="E421" s="148" t="s">
        <v>1794</v>
      </c>
      <c r="F421" s="148" t="s">
        <v>1794</v>
      </c>
      <c r="G421" s="148" t="s">
        <v>1794</v>
      </c>
      <c r="H421" s="148" t="s">
        <v>1794</v>
      </c>
      <c r="I421" s="149" t="s">
        <v>1794</v>
      </c>
      <c r="J421" s="150" t="s">
        <v>1794</v>
      </c>
      <c r="K421" s="148" t="s">
        <v>1794</v>
      </c>
      <c r="L421" s="148" t="s">
        <v>1794</v>
      </c>
      <c r="M421" s="148" t="s">
        <v>1794</v>
      </c>
      <c r="N421" s="148" t="s">
        <v>1794</v>
      </c>
      <c r="O421" s="149" t="s">
        <v>1794</v>
      </c>
      <c r="P421" s="150" t="s">
        <v>1794</v>
      </c>
      <c r="Q421" s="148" t="s">
        <v>1794</v>
      </c>
      <c r="R421" s="148" t="s">
        <v>1794</v>
      </c>
      <c r="S421" s="148" t="s">
        <v>1794</v>
      </c>
      <c r="T421" s="148" t="s">
        <v>1794</v>
      </c>
      <c r="U421" s="149" t="s">
        <v>1794</v>
      </c>
      <c r="V421" s="150" t="s">
        <v>1794</v>
      </c>
      <c r="W421" s="148" t="s">
        <v>1794</v>
      </c>
      <c r="X421" s="148" t="s">
        <v>1794</v>
      </c>
      <c r="Y421" s="148" t="s">
        <v>1794</v>
      </c>
      <c r="Z421" s="148" t="s">
        <v>1794</v>
      </c>
      <c r="AA421" s="148" t="s">
        <v>1794</v>
      </c>
      <c r="AB421" s="143"/>
      <c r="AC421" s="151" t="s">
        <v>1800</v>
      </c>
    </row>
    <row r="422" spans="1:29">
      <c r="A422" s="260"/>
      <c r="AB422" s="143"/>
    </row>
    <row r="423" spans="1:29">
      <c r="A423" s="260" t="s">
        <v>203</v>
      </c>
      <c r="B423" s="126" t="s">
        <v>1819</v>
      </c>
      <c r="C423" s="127" t="s">
        <v>40</v>
      </c>
      <c r="D423" s="128">
        <v>0.46500000000000002</v>
      </c>
      <c r="E423" s="128">
        <v>0.46</v>
      </c>
      <c r="F423" s="128">
        <v>0.46500000000000002</v>
      </c>
      <c r="G423" s="128">
        <v>0.45500000000000002</v>
      </c>
      <c r="H423" s="128">
        <v>0.47</v>
      </c>
      <c r="I423" s="128">
        <v>0.45</v>
      </c>
      <c r="J423" s="129">
        <v>0.49</v>
      </c>
      <c r="K423" s="128">
        <v>0.47499999999999998</v>
      </c>
      <c r="L423" s="128">
        <v>0.46</v>
      </c>
      <c r="M423" s="128">
        <v>0.46500000000000002</v>
      </c>
      <c r="N423" s="128">
        <v>0.46500000000000002</v>
      </c>
      <c r="O423" s="128">
        <v>0.45</v>
      </c>
      <c r="P423" s="129">
        <v>0.45</v>
      </c>
      <c r="Q423" s="128">
        <v>0.44</v>
      </c>
      <c r="R423" s="128">
        <v>0.57499999999999996</v>
      </c>
      <c r="S423" s="128">
        <v>0.46500000000000002</v>
      </c>
      <c r="T423" s="128">
        <v>0.46</v>
      </c>
      <c r="U423" s="128">
        <v>0.46500000000000002</v>
      </c>
      <c r="V423" s="129">
        <v>0.46500000000000002</v>
      </c>
      <c r="W423" s="128">
        <v>0.43</v>
      </c>
      <c r="X423" s="128">
        <v>0.51</v>
      </c>
      <c r="Y423" s="128">
        <v>0.48</v>
      </c>
      <c r="Z423" s="128">
        <v>0.45</v>
      </c>
      <c r="AA423" s="128">
        <v>0.45</v>
      </c>
      <c r="AB423" s="132">
        <f>_xlfn.STDEV.P(D423:AA423)</f>
        <v>2.749684325316069E-2</v>
      </c>
      <c r="AC423" s="132"/>
    </row>
    <row r="424" spans="1:29">
      <c r="A424" s="260"/>
      <c r="B424" s="126"/>
      <c r="C424" s="127" t="s">
        <v>220</v>
      </c>
      <c r="D424" s="128">
        <v>1.0049999999999999</v>
      </c>
      <c r="E424" s="128">
        <v>1.0049999999999999</v>
      </c>
      <c r="F424" s="128">
        <v>1</v>
      </c>
      <c r="G424" s="128">
        <v>0.97499999999999998</v>
      </c>
      <c r="H424" s="128">
        <v>1.01</v>
      </c>
      <c r="I424" s="128">
        <v>1.03</v>
      </c>
      <c r="J424" s="129">
        <v>1.01</v>
      </c>
      <c r="K424" s="128">
        <v>0.995</v>
      </c>
      <c r="L424" s="128">
        <v>0.995</v>
      </c>
      <c r="M424" s="128">
        <v>0.97499999999999998</v>
      </c>
      <c r="N424" s="128">
        <v>0.97499999999999998</v>
      </c>
      <c r="O424" s="128">
        <v>1.03</v>
      </c>
      <c r="P424" s="129">
        <v>1</v>
      </c>
      <c r="Q424" s="128">
        <v>1.01</v>
      </c>
      <c r="R424" s="128">
        <v>1.0049999999999999</v>
      </c>
      <c r="S424" s="128">
        <v>1.0049999999999999</v>
      </c>
      <c r="T424" s="128">
        <v>1.01</v>
      </c>
      <c r="U424" s="128">
        <v>1.0049999999999999</v>
      </c>
      <c r="V424" s="129">
        <v>1.01</v>
      </c>
      <c r="W424" s="128">
        <v>1.0249999999999999</v>
      </c>
      <c r="X424" s="128">
        <v>1.0149999999999999</v>
      </c>
      <c r="Y424" s="128">
        <v>1.01</v>
      </c>
      <c r="Z424" s="128">
        <v>1.01</v>
      </c>
      <c r="AA424" s="128">
        <v>1.01</v>
      </c>
      <c r="AB424" s="132">
        <f>_xlfn.STDEV.P(D424:AA424)</f>
        <v>1.4288690166235209E-2</v>
      </c>
      <c r="AC424" s="132"/>
    </row>
    <row r="425" spans="1:29">
      <c r="A425" s="260"/>
      <c r="B425" s="126"/>
      <c r="C425" s="127" t="s">
        <v>221</v>
      </c>
      <c r="D425" s="133">
        <v>0.54500000000000004</v>
      </c>
      <c r="E425" s="133">
        <v>0.55000000000000004</v>
      </c>
      <c r="F425" s="133">
        <v>0.55000000000000004</v>
      </c>
      <c r="G425" s="133">
        <v>0.52500000000000002</v>
      </c>
      <c r="H425" s="133">
        <v>0.54</v>
      </c>
      <c r="I425" s="128">
        <v>0.53</v>
      </c>
      <c r="J425" s="134">
        <v>0.55000000000000004</v>
      </c>
      <c r="K425" s="133">
        <v>0.55500000000000005</v>
      </c>
      <c r="L425" s="133">
        <v>0.56000000000000005</v>
      </c>
      <c r="M425" s="133">
        <v>0.55500000000000005</v>
      </c>
      <c r="N425" s="133">
        <v>0.55500000000000005</v>
      </c>
      <c r="O425" s="128">
        <v>0.53500000000000003</v>
      </c>
      <c r="P425" s="134">
        <v>0.54500000000000004</v>
      </c>
      <c r="Q425" s="133">
        <v>0.55500000000000005</v>
      </c>
      <c r="R425" s="133">
        <v>0.56000000000000005</v>
      </c>
      <c r="S425" s="133">
        <v>0.54500000000000004</v>
      </c>
      <c r="T425" s="133">
        <v>0.54</v>
      </c>
      <c r="U425" s="128">
        <v>0.55000000000000004</v>
      </c>
      <c r="V425" s="134">
        <v>0.56999999999999995</v>
      </c>
      <c r="W425" s="133">
        <v>0.53500000000000003</v>
      </c>
      <c r="X425" s="133">
        <v>0.54500000000000004</v>
      </c>
      <c r="Y425" s="133">
        <v>0.56999999999999995</v>
      </c>
      <c r="Z425" s="133">
        <v>0.54</v>
      </c>
      <c r="AA425" s="133">
        <v>0.54</v>
      </c>
      <c r="AB425" s="132">
        <f>_xlfn.STDEV.P(D425:AA425)</f>
        <v>1.1084821328685849E-2</v>
      </c>
      <c r="AC425" s="135"/>
    </row>
    <row r="426" spans="1:29">
      <c r="A426" s="260"/>
      <c r="B426" s="136" t="s">
        <v>1820</v>
      </c>
      <c r="C426" s="127"/>
      <c r="D426" s="137" t="s">
        <v>1794</v>
      </c>
      <c r="E426" s="137" t="s">
        <v>1794</v>
      </c>
      <c r="F426" s="137" t="s">
        <v>1794</v>
      </c>
      <c r="G426" s="137" t="s">
        <v>1794</v>
      </c>
      <c r="H426" s="137" t="s">
        <v>1794</v>
      </c>
      <c r="I426" s="138" t="s">
        <v>1794</v>
      </c>
      <c r="J426" s="139" t="s">
        <v>1794</v>
      </c>
      <c r="K426" s="137" t="s">
        <v>1794</v>
      </c>
      <c r="L426" s="137" t="s">
        <v>1794</v>
      </c>
      <c r="M426" s="137" t="s">
        <v>1794</v>
      </c>
      <c r="N426" s="137" t="s">
        <v>1794</v>
      </c>
      <c r="O426" s="138" t="s">
        <v>1794</v>
      </c>
      <c r="P426" s="139" t="s">
        <v>1794</v>
      </c>
      <c r="Q426" s="137" t="s">
        <v>1794</v>
      </c>
      <c r="R426" s="137" t="s">
        <v>1794</v>
      </c>
      <c r="S426" s="137" t="s">
        <v>1794</v>
      </c>
      <c r="T426" s="137" t="s">
        <v>1794</v>
      </c>
      <c r="U426" s="138" t="s">
        <v>1794</v>
      </c>
      <c r="V426" s="139" t="s">
        <v>1794</v>
      </c>
      <c r="W426" s="137" t="s">
        <v>1794</v>
      </c>
      <c r="X426" s="137" t="s">
        <v>1794</v>
      </c>
      <c r="Y426" s="137" t="s">
        <v>1794</v>
      </c>
      <c r="Z426" s="137" t="s">
        <v>1794</v>
      </c>
      <c r="AA426" s="137" t="s">
        <v>1794</v>
      </c>
      <c r="AB426" s="132"/>
      <c r="AC426" s="140" t="s">
        <v>1800</v>
      </c>
    </row>
    <row r="427" spans="1:29">
      <c r="A427" s="260"/>
      <c r="B427" t="s">
        <v>1801</v>
      </c>
      <c r="C427" t="s">
        <v>40</v>
      </c>
      <c r="D427" s="141">
        <v>0.46500000000000002</v>
      </c>
      <c r="E427" s="141">
        <v>0.46500000000000002</v>
      </c>
      <c r="F427" s="141">
        <v>0.46500000000000002</v>
      </c>
      <c r="G427" s="141">
        <v>0.46</v>
      </c>
      <c r="H427" s="141">
        <v>0.46</v>
      </c>
      <c r="I427" s="141">
        <v>0.46500000000000002</v>
      </c>
      <c r="J427" s="142">
        <v>0.45500000000000002</v>
      </c>
      <c r="K427" s="141">
        <v>0.46500000000000002</v>
      </c>
      <c r="L427" s="141">
        <v>0.46500000000000002</v>
      </c>
      <c r="M427" s="141">
        <v>0.45500000000000002</v>
      </c>
      <c r="N427" s="141">
        <v>0.46500000000000002</v>
      </c>
      <c r="O427" s="141">
        <v>0.45500000000000002</v>
      </c>
      <c r="P427" s="142">
        <v>0.45500000000000002</v>
      </c>
      <c r="Q427" s="141">
        <v>0.47</v>
      </c>
      <c r="R427" s="141">
        <v>0.46500000000000002</v>
      </c>
      <c r="S427" s="141">
        <v>0.46500000000000002</v>
      </c>
      <c r="T427" s="141">
        <v>0.46</v>
      </c>
      <c r="U427" s="141">
        <v>0.46</v>
      </c>
      <c r="V427" s="142">
        <v>0.45500000000000002</v>
      </c>
      <c r="W427" s="141">
        <v>0.45</v>
      </c>
      <c r="X427" s="141">
        <v>0.47</v>
      </c>
      <c r="Y427" s="141">
        <v>0.42</v>
      </c>
      <c r="Z427" s="141">
        <v>0.44500000000000001</v>
      </c>
      <c r="AA427" s="141">
        <v>0.45500000000000002</v>
      </c>
      <c r="AB427" s="143">
        <f>_xlfn.STDEV.P(D427:AA427)</f>
        <v>1.0129371484286019E-2</v>
      </c>
      <c r="AC427" s="143"/>
    </row>
    <row r="428" spans="1:29">
      <c r="A428" s="260"/>
      <c r="C428" t="s">
        <v>220</v>
      </c>
      <c r="D428" s="141">
        <v>1.0049999999999999</v>
      </c>
      <c r="E428" s="141">
        <v>1</v>
      </c>
      <c r="F428" s="141">
        <v>1.0049999999999999</v>
      </c>
      <c r="G428" s="141">
        <v>1.0049999999999999</v>
      </c>
      <c r="H428" s="141">
        <v>1.0049999999999999</v>
      </c>
      <c r="I428" s="141">
        <v>1</v>
      </c>
      <c r="J428" s="142">
        <v>1.0049999999999999</v>
      </c>
      <c r="K428" s="141">
        <v>1.0049999999999999</v>
      </c>
      <c r="L428" s="141">
        <v>1.0049999999999999</v>
      </c>
      <c r="M428" s="141">
        <v>1</v>
      </c>
      <c r="N428" s="141">
        <v>1.0049999999999999</v>
      </c>
      <c r="O428" s="141">
        <v>1</v>
      </c>
      <c r="P428" s="142">
        <v>1.0049999999999999</v>
      </c>
      <c r="Q428" s="141">
        <v>1</v>
      </c>
      <c r="R428" s="141">
        <v>1.0049999999999999</v>
      </c>
      <c r="S428" s="141">
        <v>1.0049999999999999</v>
      </c>
      <c r="T428" s="141">
        <v>1.0049999999999999</v>
      </c>
      <c r="U428" s="141">
        <v>1.0049999999999999</v>
      </c>
      <c r="V428" s="142">
        <v>1.0049999999999999</v>
      </c>
      <c r="W428" s="141">
        <v>1</v>
      </c>
      <c r="X428" s="141">
        <v>0.98499999999999999</v>
      </c>
      <c r="Y428" s="141">
        <v>1.02</v>
      </c>
      <c r="Z428" s="141">
        <v>1.0049999999999999</v>
      </c>
      <c r="AA428" s="141">
        <v>1</v>
      </c>
      <c r="AB428" s="143">
        <f>_xlfn.STDEV.P(D428:AA428)</f>
        <v>5.5277079839256499E-3</v>
      </c>
      <c r="AC428" s="143"/>
    </row>
    <row r="429" spans="1:29">
      <c r="A429" s="260"/>
      <c r="C429" t="s">
        <v>221</v>
      </c>
      <c r="D429" s="144">
        <v>0.56000000000000005</v>
      </c>
      <c r="E429" s="144">
        <v>0.55000000000000004</v>
      </c>
      <c r="F429" s="144">
        <v>0.56000000000000005</v>
      </c>
      <c r="G429" s="144">
        <v>0.56000000000000005</v>
      </c>
      <c r="H429" s="144">
        <v>0.56000000000000005</v>
      </c>
      <c r="I429" s="141">
        <v>0.56499999999999995</v>
      </c>
      <c r="J429" s="145">
        <v>0.56000000000000005</v>
      </c>
      <c r="K429" s="144">
        <v>0.55000000000000004</v>
      </c>
      <c r="L429" s="144">
        <v>0.55500000000000005</v>
      </c>
      <c r="M429" s="144">
        <v>0.56000000000000005</v>
      </c>
      <c r="N429" s="144">
        <v>0.55000000000000004</v>
      </c>
      <c r="O429" s="141">
        <v>0.54</v>
      </c>
      <c r="P429" s="145">
        <v>0.55000000000000004</v>
      </c>
      <c r="Q429" s="144">
        <v>0.55500000000000005</v>
      </c>
      <c r="R429" s="144">
        <v>0.54500000000000004</v>
      </c>
      <c r="S429" s="144">
        <v>0.56000000000000005</v>
      </c>
      <c r="T429" s="144">
        <v>0.55500000000000005</v>
      </c>
      <c r="U429" s="141">
        <v>0.55500000000000005</v>
      </c>
      <c r="V429" s="145">
        <v>0.57499999999999996</v>
      </c>
      <c r="W429" s="144">
        <v>0.56000000000000005</v>
      </c>
      <c r="X429" s="144">
        <v>0.57999999999999996</v>
      </c>
      <c r="Y429" s="144">
        <v>0.54</v>
      </c>
      <c r="Z429" s="144">
        <v>0.55500000000000005</v>
      </c>
      <c r="AA429" s="144">
        <v>0.55500000000000005</v>
      </c>
      <c r="AB429" s="143">
        <f>_xlfn.STDEV.P(D429:AA429)</f>
        <v>8.9534870612267732E-3</v>
      </c>
      <c r="AC429" s="146"/>
    </row>
    <row r="430" spans="1:29">
      <c r="A430" s="260"/>
      <c r="B430" s="147" t="s">
        <v>1802</v>
      </c>
      <c r="D430" s="148" t="s">
        <v>1794</v>
      </c>
      <c r="E430" s="148" t="s">
        <v>1794</v>
      </c>
      <c r="F430" s="148" t="s">
        <v>1794</v>
      </c>
      <c r="G430" s="148" t="s">
        <v>1794</v>
      </c>
      <c r="H430" s="148" t="s">
        <v>1794</v>
      </c>
      <c r="I430" s="149" t="s">
        <v>1794</v>
      </c>
      <c r="J430" s="150" t="s">
        <v>1794</v>
      </c>
      <c r="K430" s="148" t="s">
        <v>1794</v>
      </c>
      <c r="L430" s="148" t="s">
        <v>1796</v>
      </c>
      <c r="M430" s="148" t="s">
        <v>1796</v>
      </c>
      <c r="N430" s="148" t="s">
        <v>1796</v>
      </c>
      <c r="O430" s="149" t="s">
        <v>1794</v>
      </c>
      <c r="P430" s="150" t="s">
        <v>1794</v>
      </c>
      <c r="Q430" s="148" t="s">
        <v>1794</v>
      </c>
      <c r="R430" s="148" t="s">
        <v>1794</v>
      </c>
      <c r="S430" s="148" t="s">
        <v>1794</v>
      </c>
      <c r="T430" s="148" t="s">
        <v>1794</v>
      </c>
      <c r="U430" s="149" t="s">
        <v>1794</v>
      </c>
      <c r="V430" s="150" t="s">
        <v>1794</v>
      </c>
      <c r="W430" s="148" t="s">
        <v>1796</v>
      </c>
      <c r="X430" s="148" t="s">
        <v>1796</v>
      </c>
      <c r="Y430" s="148" t="s">
        <v>1796</v>
      </c>
      <c r="Z430" s="148" t="s">
        <v>1796</v>
      </c>
      <c r="AA430" s="148" t="s">
        <v>1795</v>
      </c>
      <c r="AB430" s="143"/>
      <c r="AC430" s="151" t="s">
        <v>1909</v>
      </c>
    </row>
    <row r="431" spans="1:29">
      <c r="A431" s="260"/>
      <c r="B431" t="s">
        <v>1805</v>
      </c>
      <c r="C431" t="s">
        <v>40</v>
      </c>
      <c r="D431" s="141">
        <v>0.46</v>
      </c>
      <c r="E431" s="141">
        <v>0.45500000000000002</v>
      </c>
      <c r="F431" s="141">
        <v>0.44</v>
      </c>
      <c r="G431" s="141">
        <v>0.44500000000000001</v>
      </c>
      <c r="H431" s="141">
        <v>0.44</v>
      </c>
      <c r="I431" s="141">
        <v>0.44</v>
      </c>
      <c r="J431" s="142">
        <v>0.47499999999999998</v>
      </c>
      <c r="K431" s="141">
        <v>0.45500000000000002</v>
      </c>
      <c r="L431" s="141">
        <v>0.46</v>
      </c>
      <c r="M431" s="141">
        <v>0.46</v>
      </c>
      <c r="N431" s="141">
        <v>0.45500000000000002</v>
      </c>
      <c r="O431" s="141">
        <v>0.54500000000000004</v>
      </c>
      <c r="P431" s="142">
        <v>0.43</v>
      </c>
      <c r="Q431" s="141">
        <v>0.44500000000000001</v>
      </c>
      <c r="R431" s="141">
        <v>0.47499999999999998</v>
      </c>
      <c r="S431" s="141">
        <v>0.40500000000000003</v>
      </c>
      <c r="T431" s="141">
        <v>0.45</v>
      </c>
      <c r="U431" s="141">
        <v>0.45500000000000002</v>
      </c>
      <c r="V431" s="142">
        <v>0.435</v>
      </c>
      <c r="W431" s="141">
        <v>0.46</v>
      </c>
      <c r="X431" s="141">
        <v>0.44500000000000001</v>
      </c>
      <c r="Y431" s="141">
        <v>0.40500000000000003</v>
      </c>
      <c r="Z431" s="141">
        <v>0.40500000000000003</v>
      </c>
      <c r="AA431" s="141">
        <v>0.38500000000000001</v>
      </c>
      <c r="AB431" s="143">
        <f>_xlfn.STDEV.P(D431:AA431)</f>
        <v>3.0166637891330658E-2</v>
      </c>
      <c r="AC431" s="143"/>
    </row>
    <row r="432" spans="1:29">
      <c r="A432" s="260"/>
      <c r="C432" t="s">
        <v>220</v>
      </c>
      <c r="D432" s="141">
        <v>1.01</v>
      </c>
      <c r="E432" s="141">
        <v>1</v>
      </c>
      <c r="F432" s="141">
        <v>0.995</v>
      </c>
      <c r="G432" s="141">
        <v>1</v>
      </c>
      <c r="H432" s="141">
        <v>1</v>
      </c>
      <c r="I432" s="141">
        <v>1</v>
      </c>
      <c r="J432" s="142">
        <v>1.0249999999999999</v>
      </c>
      <c r="K432" s="141">
        <v>1.0449999999999999</v>
      </c>
      <c r="L432" s="141">
        <v>1.0649999999999999</v>
      </c>
      <c r="M432" s="141">
        <v>1.0649999999999999</v>
      </c>
      <c r="N432" s="141">
        <v>1</v>
      </c>
      <c r="O432" s="141">
        <v>0.99</v>
      </c>
      <c r="P432" s="142">
        <v>1</v>
      </c>
      <c r="Q432" s="141">
        <v>1</v>
      </c>
      <c r="R432" s="141">
        <v>0.995</v>
      </c>
      <c r="S432" s="141">
        <v>1.0249999999999999</v>
      </c>
      <c r="T432" s="141">
        <v>0.995</v>
      </c>
      <c r="U432" s="141">
        <v>1.01</v>
      </c>
      <c r="V432" s="142">
        <v>1.0049999999999999</v>
      </c>
      <c r="W432" s="141">
        <v>1.0349999999999999</v>
      </c>
      <c r="X432" s="141">
        <v>1</v>
      </c>
      <c r="Y432" s="141">
        <v>0.98499999999999999</v>
      </c>
      <c r="Z432" s="141">
        <v>0.98499999999999999</v>
      </c>
      <c r="AA432" s="141">
        <v>1.01</v>
      </c>
      <c r="AB432" s="143">
        <f>_xlfn.STDEV.P(D432:AA432)</f>
        <v>2.1889875894272805E-2</v>
      </c>
      <c r="AC432" s="143"/>
    </row>
    <row r="433" spans="1:29">
      <c r="A433" s="260"/>
      <c r="C433" t="s">
        <v>221</v>
      </c>
      <c r="D433" s="144">
        <v>0.54</v>
      </c>
      <c r="E433" s="144">
        <v>0.55000000000000004</v>
      </c>
      <c r="F433" s="144">
        <v>0.53500000000000003</v>
      </c>
      <c r="G433" s="144">
        <v>0.54</v>
      </c>
      <c r="H433" s="144">
        <v>0.58499999999999996</v>
      </c>
      <c r="I433" s="141">
        <v>0.58499999999999996</v>
      </c>
      <c r="J433" s="145">
        <v>0.56000000000000005</v>
      </c>
      <c r="K433" s="144">
        <v>0.52</v>
      </c>
      <c r="L433" s="144">
        <v>0.52</v>
      </c>
      <c r="M433" s="144">
        <v>0.52</v>
      </c>
      <c r="N433" s="144">
        <v>0.54500000000000004</v>
      </c>
      <c r="O433" s="141">
        <v>0.54</v>
      </c>
      <c r="P433" s="145">
        <v>0.55000000000000004</v>
      </c>
      <c r="Q433" s="144">
        <v>0.55000000000000004</v>
      </c>
      <c r="R433" s="144">
        <v>0.55000000000000004</v>
      </c>
      <c r="S433" s="144">
        <v>0.54500000000000004</v>
      </c>
      <c r="T433" s="144">
        <v>0.56999999999999995</v>
      </c>
      <c r="U433" s="141">
        <v>0.56000000000000005</v>
      </c>
      <c r="V433" s="145">
        <v>0.54</v>
      </c>
      <c r="W433" s="144">
        <v>0.55000000000000004</v>
      </c>
      <c r="X433" s="144">
        <v>0.55000000000000004</v>
      </c>
      <c r="Y433" s="144">
        <v>0.54</v>
      </c>
      <c r="Z433" s="144">
        <v>0.54</v>
      </c>
      <c r="AA433" s="144">
        <v>0.55000000000000004</v>
      </c>
      <c r="AB433" s="143">
        <f>_xlfn.STDEV.P(D433:AA433)</f>
        <v>1.6392272484991872E-2</v>
      </c>
      <c r="AC433" s="146"/>
    </row>
    <row r="434" spans="1:29">
      <c r="A434" s="260"/>
      <c r="B434" s="147" t="s">
        <v>1806</v>
      </c>
      <c r="D434" s="148" t="s">
        <v>1794</v>
      </c>
      <c r="E434" s="148" t="s">
        <v>1796</v>
      </c>
      <c r="F434" s="148" t="s">
        <v>1796</v>
      </c>
      <c r="G434" s="148" t="s">
        <v>1796</v>
      </c>
      <c r="H434" s="148" t="s">
        <v>1795</v>
      </c>
      <c r="I434" s="149" t="s">
        <v>1794</v>
      </c>
      <c r="J434" s="150" t="s">
        <v>1794</v>
      </c>
      <c r="K434" s="148" t="s">
        <v>1794</v>
      </c>
      <c r="L434" s="148" t="s">
        <v>1796</v>
      </c>
      <c r="M434" s="148" t="s">
        <v>1796</v>
      </c>
      <c r="N434" s="148" t="s">
        <v>1803</v>
      </c>
      <c r="O434" s="149" t="s">
        <v>1794</v>
      </c>
      <c r="P434" s="150" t="s">
        <v>1796</v>
      </c>
      <c r="Q434" s="148" t="s">
        <v>1796</v>
      </c>
      <c r="R434" s="148" t="s">
        <v>1796</v>
      </c>
      <c r="S434" s="148" t="s">
        <v>1796</v>
      </c>
      <c r="T434" s="148" t="s">
        <v>1796</v>
      </c>
      <c r="U434" s="149" t="s">
        <v>1796</v>
      </c>
      <c r="V434" s="150" t="s">
        <v>1796</v>
      </c>
      <c r="W434" s="148" t="s">
        <v>1796</v>
      </c>
      <c r="X434" s="148" t="s">
        <v>1796</v>
      </c>
      <c r="Y434" s="148" t="s">
        <v>1795</v>
      </c>
      <c r="Z434" s="148" t="s">
        <v>1795</v>
      </c>
      <c r="AA434" s="148" t="s">
        <v>1794</v>
      </c>
      <c r="AB434" s="143"/>
      <c r="AC434" s="151" t="s">
        <v>1877</v>
      </c>
    </row>
    <row r="435" spans="1:29">
      <c r="A435" s="260"/>
      <c r="B435" t="s">
        <v>1807</v>
      </c>
      <c r="C435" t="s">
        <v>40</v>
      </c>
      <c r="D435" s="141">
        <v>0.44500000000000001</v>
      </c>
      <c r="E435" s="141">
        <v>0.45</v>
      </c>
      <c r="F435" s="141">
        <v>0.44500000000000001</v>
      </c>
      <c r="G435" s="141">
        <v>0.47</v>
      </c>
      <c r="H435" s="141">
        <v>0.47</v>
      </c>
      <c r="I435" s="141">
        <v>0.44500000000000001</v>
      </c>
      <c r="J435" s="142">
        <v>0.42</v>
      </c>
      <c r="K435" s="141">
        <v>0.42</v>
      </c>
      <c r="L435" s="141">
        <v>0.39500000000000002</v>
      </c>
      <c r="M435" s="141">
        <v>0.43</v>
      </c>
      <c r="N435" s="141">
        <v>0.39</v>
      </c>
      <c r="O435" s="141">
        <v>0.42499999999999999</v>
      </c>
      <c r="P435" s="142">
        <v>0.45</v>
      </c>
      <c r="Q435" s="141">
        <v>0.46</v>
      </c>
      <c r="R435" s="141">
        <v>0.45</v>
      </c>
      <c r="S435" s="141">
        <v>0.49</v>
      </c>
      <c r="T435" s="141">
        <v>0.49</v>
      </c>
      <c r="U435" s="141">
        <v>0.44</v>
      </c>
      <c r="V435" s="142">
        <v>0.45500000000000002</v>
      </c>
      <c r="W435" s="141">
        <v>0.43</v>
      </c>
      <c r="X435" s="141">
        <v>0.44</v>
      </c>
      <c r="Y435" s="141">
        <v>0.46500000000000002</v>
      </c>
      <c r="Z435" s="141">
        <v>0.5</v>
      </c>
      <c r="AA435" s="141">
        <v>0.46</v>
      </c>
      <c r="AB435" s="143">
        <f>_xlfn.STDEV.P(D435:AA435)</f>
        <v>2.6535321062479886E-2</v>
      </c>
      <c r="AC435" s="143"/>
    </row>
    <row r="436" spans="1:29">
      <c r="A436" s="260"/>
      <c r="C436" t="s">
        <v>220</v>
      </c>
      <c r="D436" s="141">
        <v>1</v>
      </c>
      <c r="E436" s="141">
        <v>1.0049999999999999</v>
      </c>
      <c r="F436" s="141">
        <v>0.92</v>
      </c>
      <c r="G436" s="141">
        <v>1</v>
      </c>
      <c r="H436" s="141">
        <v>1</v>
      </c>
      <c r="I436" s="141">
        <v>1.0900000000000001</v>
      </c>
      <c r="J436" s="142">
        <v>0.97499999999999998</v>
      </c>
      <c r="K436" s="141">
        <v>1.0249999999999999</v>
      </c>
      <c r="L436" s="141">
        <v>0.98</v>
      </c>
      <c r="M436" s="141">
        <v>1.0049999999999999</v>
      </c>
      <c r="N436" s="141">
        <v>0.98499999999999999</v>
      </c>
      <c r="O436" s="141">
        <v>1.0149999999999999</v>
      </c>
      <c r="P436" s="142">
        <v>0.98499999999999999</v>
      </c>
      <c r="Q436" s="141">
        <v>1.0349999999999999</v>
      </c>
      <c r="R436" s="141">
        <v>0.995</v>
      </c>
      <c r="S436" s="141">
        <v>1.0049999999999999</v>
      </c>
      <c r="T436" s="141">
        <v>1.0049999999999999</v>
      </c>
      <c r="U436" s="141">
        <v>0.995</v>
      </c>
      <c r="V436" s="142">
        <v>1.03</v>
      </c>
      <c r="W436" s="141">
        <v>1.03</v>
      </c>
      <c r="X436" s="141">
        <v>0.995</v>
      </c>
      <c r="Y436" s="141">
        <v>0.98</v>
      </c>
      <c r="Z436" s="141">
        <v>1</v>
      </c>
      <c r="AA436" s="141">
        <v>1</v>
      </c>
      <c r="AB436" s="143">
        <f>_xlfn.STDEV.P(D436:AA436)</f>
        <v>2.9082467752162226E-2</v>
      </c>
      <c r="AC436" s="143"/>
    </row>
    <row r="437" spans="1:29">
      <c r="A437" s="260"/>
      <c r="C437" t="s">
        <v>221</v>
      </c>
      <c r="D437" s="144">
        <v>0.56499999999999995</v>
      </c>
      <c r="E437" s="144">
        <v>0.55000000000000004</v>
      </c>
      <c r="F437" s="144">
        <v>0.57999999999999996</v>
      </c>
      <c r="G437" s="144">
        <v>0.56999999999999995</v>
      </c>
      <c r="H437" s="144">
        <v>0.56999999999999995</v>
      </c>
      <c r="I437" s="141">
        <v>0.52500000000000002</v>
      </c>
      <c r="J437" s="145">
        <v>0.59</v>
      </c>
      <c r="K437" s="144">
        <v>0.56000000000000005</v>
      </c>
      <c r="L437" s="144">
        <v>0.56999999999999995</v>
      </c>
      <c r="M437" s="144">
        <v>0.58499999999999996</v>
      </c>
      <c r="N437" s="144">
        <v>0.56999999999999995</v>
      </c>
      <c r="O437" s="141">
        <v>0.54</v>
      </c>
      <c r="P437" s="145">
        <v>0.54</v>
      </c>
      <c r="Q437" s="144">
        <v>0.61</v>
      </c>
      <c r="R437" s="144">
        <v>0.55500000000000005</v>
      </c>
      <c r="S437" s="144">
        <v>0.58499999999999996</v>
      </c>
      <c r="T437" s="144">
        <v>0.58499999999999996</v>
      </c>
      <c r="U437" s="141">
        <v>0.54500000000000004</v>
      </c>
      <c r="V437" s="145">
        <v>0.53</v>
      </c>
      <c r="W437" s="144">
        <v>0.54</v>
      </c>
      <c r="X437" s="144">
        <v>0.53500000000000003</v>
      </c>
      <c r="Y437" s="144">
        <v>0.52</v>
      </c>
      <c r="Z437" s="144">
        <v>0.54</v>
      </c>
      <c r="AA437" s="144">
        <v>0.54500000000000004</v>
      </c>
      <c r="AB437" s="143">
        <f>_xlfn.STDEV.P(D437:AA437)</f>
        <v>2.2889188071129881E-2</v>
      </c>
      <c r="AC437" s="146"/>
    </row>
    <row r="438" spans="1:29">
      <c r="A438" s="260"/>
      <c r="B438" s="147" t="s">
        <v>1808</v>
      </c>
      <c r="D438" s="148" t="s">
        <v>1794</v>
      </c>
      <c r="E438" s="148" t="s">
        <v>1796</v>
      </c>
      <c r="F438" s="148" t="s">
        <v>1796</v>
      </c>
      <c r="G438" s="148" t="s">
        <v>1796</v>
      </c>
      <c r="H438" s="148" t="s">
        <v>1795</v>
      </c>
      <c r="I438" s="149" t="s">
        <v>1795</v>
      </c>
      <c r="J438" s="150" t="s">
        <v>1796</v>
      </c>
      <c r="K438" s="148" t="s">
        <v>1803</v>
      </c>
      <c r="L438" s="148" t="s">
        <v>1803</v>
      </c>
      <c r="M438" s="148" t="s">
        <v>1794</v>
      </c>
      <c r="N438" s="148" t="s">
        <v>1794</v>
      </c>
      <c r="O438" s="149" t="s">
        <v>1796</v>
      </c>
      <c r="P438" s="150" t="s">
        <v>1795</v>
      </c>
      <c r="Q438" s="148" t="s">
        <v>1796</v>
      </c>
      <c r="R438" s="148" t="s">
        <v>1796</v>
      </c>
      <c r="S438" s="148" t="s">
        <v>1796</v>
      </c>
      <c r="T438" s="148" t="s">
        <v>1794</v>
      </c>
      <c r="U438" s="149" t="s">
        <v>1803</v>
      </c>
      <c r="V438" s="150" t="s">
        <v>1796</v>
      </c>
      <c r="W438" s="148" t="s">
        <v>1796</v>
      </c>
      <c r="X438" s="148" t="s">
        <v>1794</v>
      </c>
      <c r="Y438" s="148" t="s">
        <v>1794</v>
      </c>
      <c r="Z438" s="148" t="s">
        <v>1794</v>
      </c>
      <c r="AA438" s="148" t="s">
        <v>1794</v>
      </c>
      <c r="AB438" s="143"/>
      <c r="AC438" s="151" t="s">
        <v>1873</v>
      </c>
    </row>
    <row r="439" spans="1:29">
      <c r="A439" s="260"/>
      <c r="B439" t="s">
        <v>1809</v>
      </c>
      <c r="C439" t="s">
        <v>40</v>
      </c>
      <c r="D439" s="141">
        <v>0.45</v>
      </c>
      <c r="E439" s="141">
        <v>0.46</v>
      </c>
      <c r="F439" s="141">
        <v>0.48499999999999999</v>
      </c>
      <c r="G439" s="141">
        <v>0.44500000000000001</v>
      </c>
      <c r="H439" s="141">
        <v>0.45</v>
      </c>
      <c r="I439" s="141">
        <v>0.51</v>
      </c>
      <c r="J439" s="142">
        <v>0.435</v>
      </c>
      <c r="K439" s="141">
        <v>0.39</v>
      </c>
      <c r="L439" s="141">
        <v>0.495</v>
      </c>
      <c r="M439" s="141">
        <v>0.43</v>
      </c>
      <c r="N439" s="141">
        <v>0.43</v>
      </c>
      <c r="O439" s="141">
        <v>0.43</v>
      </c>
      <c r="P439" s="142">
        <v>0.435</v>
      </c>
      <c r="Q439" s="141">
        <v>0.46500000000000002</v>
      </c>
      <c r="R439" s="141">
        <v>0.41499999999999998</v>
      </c>
      <c r="S439" s="141">
        <v>0.41</v>
      </c>
      <c r="T439" s="141">
        <v>0.41499999999999998</v>
      </c>
      <c r="U439" s="141">
        <v>0.46</v>
      </c>
      <c r="V439" s="142">
        <v>0.46500000000000002</v>
      </c>
      <c r="W439" s="141">
        <v>0.41</v>
      </c>
      <c r="X439" s="141">
        <v>0.44500000000000001</v>
      </c>
      <c r="Y439" s="141">
        <v>0.45</v>
      </c>
      <c r="Z439" s="141">
        <v>0.40500000000000003</v>
      </c>
      <c r="AA439" s="141">
        <v>0.40500000000000003</v>
      </c>
      <c r="AB439" s="143">
        <f>_xlfn.STDEV.P(D439:AA439)</f>
        <v>2.9341736485763756E-2</v>
      </c>
      <c r="AC439" s="143"/>
    </row>
    <row r="440" spans="1:29">
      <c r="A440" s="260"/>
      <c r="C440" t="s">
        <v>220</v>
      </c>
      <c r="D440" s="141">
        <v>1</v>
      </c>
      <c r="E440" s="141">
        <v>1.0049999999999999</v>
      </c>
      <c r="F440" s="141">
        <v>1.0249999999999999</v>
      </c>
      <c r="G440" s="141">
        <v>0.995</v>
      </c>
      <c r="H440" s="141">
        <v>1.0249999999999999</v>
      </c>
      <c r="I440" s="141">
        <v>1.0449999999999999</v>
      </c>
      <c r="J440" s="142">
        <v>0.97</v>
      </c>
      <c r="K440" s="141">
        <v>0.96</v>
      </c>
      <c r="L440" s="141">
        <v>1.01</v>
      </c>
      <c r="M440" s="141">
        <v>0.995</v>
      </c>
      <c r="N440" s="141">
        <v>1.0249999999999999</v>
      </c>
      <c r="O440" s="141">
        <v>1.0249999999999999</v>
      </c>
      <c r="P440" s="142">
        <v>1.0049999999999999</v>
      </c>
      <c r="Q440" s="141">
        <v>0.995</v>
      </c>
      <c r="R440" s="141">
        <v>1.0049999999999999</v>
      </c>
      <c r="S440" s="141">
        <v>1.0049999999999999</v>
      </c>
      <c r="T440" s="141">
        <v>0.995</v>
      </c>
      <c r="U440" s="141">
        <v>0.995</v>
      </c>
      <c r="V440" s="142">
        <v>1</v>
      </c>
      <c r="W440" s="141">
        <v>1.0349999999999999</v>
      </c>
      <c r="X440" s="141">
        <v>0.95</v>
      </c>
      <c r="Y440" s="141">
        <v>1</v>
      </c>
      <c r="Z440" s="141">
        <v>1.01</v>
      </c>
      <c r="AA440" s="141">
        <v>1.01</v>
      </c>
      <c r="AB440" s="143">
        <f>_xlfn.STDEV.P(D440:AA440)</f>
        <v>2.1383364185480452E-2</v>
      </c>
      <c r="AC440" s="143"/>
    </row>
    <row r="441" spans="1:29">
      <c r="A441" s="260"/>
      <c r="C441" t="s">
        <v>221</v>
      </c>
      <c r="D441" s="144">
        <v>0.55000000000000004</v>
      </c>
      <c r="E441" s="144">
        <v>0.55000000000000004</v>
      </c>
      <c r="F441" s="144">
        <v>0.55000000000000004</v>
      </c>
      <c r="G441" s="144">
        <v>0.54500000000000004</v>
      </c>
      <c r="H441" s="144">
        <v>0.56999999999999995</v>
      </c>
      <c r="I441" s="141">
        <v>0.56499999999999995</v>
      </c>
      <c r="J441" s="145">
        <v>0.55500000000000005</v>
      </c>
      <c r="K441" s="144">
        <v>0.55000000000000004</v>
      </c>
      <c r="L441" s="144">
        <v>0.56000000000000005</v>
      </c>
      <c r="M441" s="144">
        <v>0.54</v>
      </c>
      <c r="N441" s="144">
        <v>0.55500000000000005</v>
      </c>
      <c r="O441" s="141">
        <v>0.55500000000000005</v>
      </c>
      <c r="P441" s="145">
        <v>0.55500000000000005</v>
      </c>
      <c r="Q441" s="144">
        <v>0.53</v>
      </c>
      <c r="R441" s="144">
        <v>0.53500000000000003</v>
      </c>
      <c r="S441" s="144">
        <v>0.54500000000000004</v>
      </c>
      <c r="T441" s="144">
        <v>0.53</v>
      </c>
      <c r="U441" s="141">
        <v>0.52500000000000002</v>
      </c>
      <c r="V441" s="145">
        <v>0.55000000000000004</v>
      </c>
      <c r="W441" s="144">
        <v>0.53</v>
      </c>
      <c r="X441" s="144">
        <v>0.56999999999999995</v>
      </c>
      <c r="Y441" s="144">
        <v>0.54</v>
      </c>
      <c r="Z441" s="144">
        <v>0.56499999999999995</v>
      </c>
      <c r="AA441" s="144">
        <v>0.56499999999999995</v>
      </c>
      <c r="AB441" s="143">
        <f>_xlfn.STDEV.P(D441:AA441)</f>
        <v>1.2854352375751936E-2</v>
      </c>
      <c r="AC441" s="146"/>
    </row>
    <row r="442" spans="1:29">
      <c r="A442" s="260"/>
      <c r="B442" s="147" t="s">
        <v>1810</v>
      </c>
      <c r="D442" s="148" t="s">
        <v>1794</v>
      </c>
      <c r="E442" s="148" t="s">
        <v>1796</v>
      </c>
      <c r="F442" s="148" t="s">
        <v>1796</v>
      </c>
      <c r="G442" s="148" t="s">
        <v>1796</v>
      </c>
      <c r="H442" s="148" t="s">
        <v>1803</v>
      </c>
      <c r="I442" s="149" t="s">
        <v>1794</v>
      </c>
      <c r="J442" s="150" t="s">
        <v>1803</v>
      </c>
      <c r="K442" s="148" t="s">
        <v>1796</v>
      </c>
      <c r="L442" s="148" t="s">
        <v>1796</v>
      </c>
      <c r="M442" s="148" t="s">
        <v>1795</v>
      </c>
      <c r="N442" s="148" t="s">
        <v>1794</v>
      </c>
      <c r="O442" s="149" t="s">
        <v>1794</v>
      </c>
      <c r="P442" s="150" t="s">
        <v>1796</v>
      </c>
      <c r="Q442" s="148" t="s">
        <v>1796</v>
      </c>
      <c r="R442" s="148" t="s">
        <v>1796</v>
      </c>
      <c r="S442" s="148" t="s">
        <v>1796</v>
      </c>
      <c r="T442" s="148" t="s">
        <v>1796</v>
      </c>
      <c r="U442" s="149" t="s">
        <v>1796</v>
      </c>
      <c r="V442" s="150" t="s">
        <v>1796</v>
      </c>
      <c r="W442" s="148" t="s">
        <v>1796</v>
      </c>
      <c r="X442" s="148" t="s">
        <v>1796</v>
      </c>
      <c r="Y442" s="148" t="s">
        <v>1796</v>
      </c>
      <c r="Z442" s="148" t="s">
        <v>1803</v>
      </c>
      <c r="AA442" s="148" t="s">
        <v>1794</v>
      </c>
      <c r="AB442" s="143"/>
      <c r="AC442" s="151" t="s">
        <v>1884</v>
      </c>
    </row>
    <row r="443" spans="1:29">
      <c r="A443" s="260"/>
      <c r="B443" t="s">
        <v>1811</v>
      </c>
      <c r="C443" t="s">
        <v>40</v>
      </c>
      <c r="D443" s="141">
        <v>0.45</v>
      </c>
      <c r="E443" s="141">
        <v>0.44500000000000001</v>
      </c>
      <c r="F443" s="141">
        <v>0.48</v>
      </c>
      <c r="G443" s="141">
        <v>0.44500000000000001</v>
      </c>
      <c r="H443" s="141">
        <v>0.46</v>
      </c>
      <c r="I443" s="141">
        <v>0.46</v>
      </c>
      <c r="J443" s="142">
        <v>0.435</v>
      </c>
      <c r="K443" s="141">
        <v>0.41499999999999998</v>
      </c>
      <c r="L443" s="141">
        <v>0.46500000000000002</v>
      </c>
      <c r="M443" s="141">
        <v>0.44</v>
      </c>
      <c r="N443" s="141">
        <v>0.44</v>
      </c>
      <c r="O443" s="141">
        <v>0.39500000000000002</v>
      </c>
      <c r="P443" s="142">
        <v>0.42499999999999999</v>
      </c>
      <c r="Q443" s="141">
        <v>0.47499999999999998</v>
      </c>
      <c r="R443" s="141">
        <v>0.38500000000000001</v>
      </c>
      <c r="S443" s="141">
        <v>0.44500000000000001</v>
      </c>
      <c r="T443" s="141">
        <v>0.43</v>
      </c>
      <c r="U443" s="141">
        <v>0.45</v>
      </c>
      <c r="V443" s="142">
        <v>0.44500000000000001</v>
      </c>
      <c r="W443" s="141">
        <v>0.44500000000000001</v>
      </c>
      <c r="X443" s="141">
        <v>0.42</v>
      </c>
      <c r="Y443" s="141">
        <v>0.46500000000000002</v>
      </c>
      <c r="Z443" s="141">
        <v>0.46500000000000002</v>
      </c>
      <c r="AA443" s="141">
        <v>0.47499999999999998</v>
      </c>
      <c r="AB443" s="143">
        <f>_xlfn.STDEV.P(D443:AA443)</f>
        <v>2.3362147387506044E-2</v>
      </c>
      <c r="AC443" s="143"/>
    </row>
    <row r="444" spans="1:29">
      <c r="A444" s="260"/>
      <c r="C444" t="s">
        <v>220</v>
      </c>
      <c r="D444" s="141">
        <v>1.0049999999999999</v>
      </c>
      <c r="E444" s="141">
        <v>1.0049999999999999</v>
      </c>
      <c r="F444" s="141">
        <v>1.0049999999999999</v>
      </c>
      <c r="G444" s="141">
        <v>1.01</v>
      </c>
      <c r="H444" s="141">
        <v>1.0349999999999999</v>
      </c>
      <c r="I444" s="141">
        <v>1.0349999999999999</v>
      </c>
      <c r="J444" s="142">
        <v>0.97499999999999998</v>
      </c>
      <c r="K444" s="141">
        <v>0.98499999999999999</v>
      </c>
      <c r="L444" s="141">
        <v>0.97499999999999998</v>
      </c>
      <c r="M444" s="141">
        <v>1</v>
      </c>
      <c r="N444" s="141">
        <v>1</v>
      </c>
      <c r="O444" s="141">
        <v>1.0049999999999999</v>
      </c>
      <c r="P444" s="142">
        <v>1.01</v>
      </c>
      <c r="Q444" s="141">
        <v>0.995</v>
      </c>
      <c r="R444" s="141">
        <v>1.0149999999999999</v>
      </c>
      <c r="S444" s="141">
        <v>0.995</v>
      </c>
      <c r="T444" s="141">
        <v>0.98499999999999999</v>
      </c>
      <c r="U444" s="141">
        <v>0.995</v>
      </c>
      <c r="V444" s="142">
        <v>1.0049999999999999</v>
      </c>
      <c r="W444" s="141">
        <v>1.07</v>
      </c>
      <c r="X444" s="141">
        <v>1.01</v>
      </c>
      <c r="Y444" s="141">
        <v>0.98</v>
      </c>
      <c r="Z444" s="141">
        <v>0.98</v>
      </c>
      <c r="AA444" s="141">
        <v>1.0149999999999999</v>
      </c>
      <c r="AB444" s="143">
        <f>_xlfn.STDEV.P(D444:AA444)</f>
        <v>2.0879116360612581E-2</v>
      </c>
      <c r="AC444" s="143"/>
    </row>
    <row r="445" spans="1:29">
      <c r="A445" s="260"/>
      <c r="C445" t="s">
        <v>221</v>
      </c>
      <c r="D445" s="144">
        <v>0.54500000000000004</v>
      </c>
      <c r="E445" s="144">
        <v>0.55000000000000004</v>
      </c>
      <c r="F445" s="144">
        <v>0.55500000000000005</v>
      </c>
      <c r="G445" s="144">
        <v>0.56999999999999995</v>
      </c>
      <c r="H445" s="144">
        <v>0.54</v>
      </c>
      <c r="I445" s="141">
        <v>0.54</v>
      </c>
      <c r="J445" s="145">
        <v>0.56999999999999995</v>
      </c>
      <c r="K445" s="144">
        <v>0.56999999999999995</v>
      </c>
      <c r="L445" s="144">
        <v>0.57999999999999996</v>
      </c>
      <c r="M445" s="144">
        <v>0.55500000000000005</v>
      </c>
      <c r="N445" s="144">
        <v>0.55500000000000005</v>
      </c>
      <c r="O445" s="141">
        <v>0.52500000000000002</v>
      </c>
      <c r="P445" s="145">
        <v>0.55500000000000005</v>
      </c>
      <c r="Q445" s="144">
        <v>0.56000000000000005</v>
      </c>
      <c r="R445" s="144">
        <v>0.54500000000000004</v>
      </c>
      <c r="S445" s="144">
        <v>0.57499999999999996</v>
      </c>
      <c r="T445" s="144">
        <v>0.54500000000000004</v>
      </c>
      <c r="U445" s="141">
        <v>0.505</v>
      </c>
      <c r="V445" s="145">
        <v>0.55000000000000004</v>
      </c>
      <c r="W445" s="144">
        <v>0.53</v>
      </c>
      <c r="X445" s="144">
        <v>0.54</v>
      </c>
      <c r="Y445" s="144">
        <v>0.56000000000000005</v>
      </c>
      <c r="Z445" s="144">
        <v>0.56000000000000005</v>
      </c>
      <c r="AA445" s="144">
        <v>0.52500000000000002</v>
      </c>
      <c r="AB445" s="143">
        <f>_xlfn.STDEV.P(D445:AA445)</f>
        <v>1.7289156444302164E-2</v>
      </c>
      <c r="AC445" s="146"/>
    </row>
    <row r="446" spans="1:29">
      <c r="A446" s="260"/>
      <c r="B446" s="147" t="s">
        <v>1812</v>
      </c>
      <c r="D446" s="148" t="s">
        <v>1794</v>
      </c>
      <c r="E446" s="148" t="s">
        <v>1796</v>
      </c>
      <c r="F446" s="148" t="s">
        <v>1796</v>
      </c>
      <c r="G446" s="148" t="s">
        <v>1796</v>
      </c>
      <c r="H446" s="148" t="s">
        <v>1795</v>
      </c>
      <c r="I446" s="149" t="s">
        <v>1794</v>
      </c>
      <c r="J446" s="150" t="s">
        <v>1794</v>
      </c>
      <c r="K446" s="148" t="s">
        <v>1794</v>
      </c>
      <c r="L446" s="148" t="s">
        <v>1796</v>
      </c>
      <c r="M446" s="148" t="s">
        <v>1796</v>
      </c>
      <c r="N446" s="148" t="s">
        <v>1796</v>
      </c>
      <c r="O446" s="149" t="s">
        <v>1794</v>
      </c>
      <c r="P446" s="150" t="s">
        <v>1794</v>
      </c>
      <c r="Q446" s="148" t="s">
        <v>1794</v>
      </c>
      <c r="R446" s="148" t="s">
        <v>1796</v>
      </c>
      <c r="S446" s="148" t="s">
        <v>1796</v>
      </c>
      <c r="T446" s="148" t="s">
        <v>1796</v>
      </c>
      <c r="U446" s="149" t="s">
        <v>1796</v>
      </c>
      <c r="V446" s="150" t="s">
        <v>1796</v>
      </c>
      <c r="W446" s="148" t="s">
        <v>1803</v>
      </c>
      <c r="X446" s="148" t="s">
        <v>1796</v>
      </c>
      <c r="Y446" s="148" t="s">
        <v>1796</v>
      </c>
      <c r="Z446" s="148" t="s">
        <v>1794</v>
      </c>
      <c r="AA446" s="148" t="s">
        <v>1794</v>
      </c>
      <c r="AB446" s="143"/>
      <c r="AC446" s="151" t="s">
        <v>1918</v>
      </c>
    </row>
    <row r="447" spans="1:29">
      <c r="A447" s="260"/>
      <c r="B447" t="s">
        <v>1813</v>
      </c>
      <c r="C447" t="s">
        <v>40</v>
      </c>
      <c r="D447" s="141">
        <v>0.46</v>
      </c>
      <c r="E447" s="141">
        <v>0.46</v>
      </c>
      <c r="F447" s="141">
        <v>0.45</v>
      </c>
      <c r="G447" s="141">
        <v>0.46500000000000002</v>
      </c>
      <c r="H447" s="141">
        <v>0.45</v>
      </c>
      <c r="I447" s="141">
        <v>0.45</v>
      </c>
      <c r="J447" s="142">
        <v>0.44500000000000001</v>
      </c>
      <c r="K447" s="141">
        <v>0.45500000000000002</v>
      </c>
      <c r="L447" s="141">
        <v>0.47</v>
      </c>
      <c r="M447" s="141">
        <v>0.47</v>
      </c>
      <c r="N447" s="141">
        <v>0.52</v>
      </c>
      <c r="O447" s="141">
        <v>0.46</v>
      </c>
      <c r="P447" s="142">
        <v>0.44500000000000001</v>
      </c>
      <c r="Q447" s="141">
        <v>0.45</v>
      </c>
      <c r="R447" s="141">
        <v>0.47499999999999998</v>
      </c>
      <c r="S447" s="141">
        <v>0.45500000000000002</v>
      </c>
      <c r="T447" s="141">
        <v>0.435</v>
      </c>
      <c r="U447" s="141">
        <v>0.435</v>
      </c>
      <c r="V447" s="142">
        <v>0.46500000000000002</v>
      </c>
      <c r="W447" s="141">
        <v>0.48499999999999999</v>
      </c>
      <c r="X447" s="141">
        <v>0.48499999999999999</v>
      </c>
      <c r="Y447" s="141">
        <v>0.48499999999999999</v>
      </c>
      <c r="Z447" s="141">
        <v>0.44500000000000001</v>
      </c>
      <c r="AA447" s="141">
        <v>0.42</v>
      </c>
      <c r="AB447" s="143">
        <f>_xlfn.STDEV.P(D447:AA447)</f>
        <v>2.0334656719229093E-2</v>
      </c>
      <c r="AC447" s="143"/>
    </row>
    <row r="448" spans="1:29">
      <c r="A448" s="260"/>
      <c r="C448" t="s">
        <v>220</v>
      </c>
      <c r="D448" s="141">
        <v>1.0049999999999999</v>
      </c>
      <c r="E448" s="141">
        <v>1.0049999999999999</v>
      </c>
      <c r="F448" s="141">
        <v>1.0249999999999999</v>
      </c>
      <c r="G448" s="141">
        <v>1.0049999999999999</v>
      </c>
      <c r="H448" s="141">
        <v>0.98499999999999999</v>
      </c>
      <c r="I448" s="141">
        <v>0.98499999999999999</v>
      </c>
      <c r="J448" s="142">
        <v>1.0149999999999999</v>
      </c>
      <c r="K448" s="141">
        <v>1.0149999999999999</v>
      </c>
      <c r="L448" s="141">
        <v>1.0249999999999999</v>
      </c>
      <c r="M448" s="141">
        <v>1.02</v>
      </c>
      <c r="N448" s="141">
        <v>1.0049999999999999</v>
      </c>
      <c r="O448" s="141">
        <v>1.02</v>
      </c>
      <c r="P448" s="142">
        <v>1.0049999999999999</v>
      </c>
      <c r="Q448" s="141">
        <v>1.0049999999999999</v>
      </c>
      <c r="R448" s="141">
        <v>0.97499999999999998</v>
      </c>
      <c r="S448" s="141">
        <v>1.01</v>
      </c>
      <c r="T448" s="141">
        <v>0.995</v>
      </c>
      <c r="U448" s="141">
        <v>0.995</v>
      </c>
      <c r="V448" s="142">
        <v>1.0149999999999999</v>
      </c>
      <c r="W448" s="141">
        <v>0.98</v>
      </c>
      <c r="X448" s="141">
        <v>1.0049999999999999</v>
      </c>
      <c r="Y448" s="141">
        <v>1.0049999999999999</v>
      </c>
      <c r="Z448" s="141">
        <v>1.0049999999999999</v>
      </c>
      <c r="AA448" s="141">
        <v>1.01</v>
      </c>
      <c r="AB448" s="143">
        <f>_xlfn.STDEV.P(D448:AA448)</f>
        <v>1.3108455180616131E-2</v>
      </c>
      <c r="AC448" s="143"/>
    </row>
    <row r="449" spans="1:29">
      <c r="A449" s="260"/>
      <c r="C449" t="s">
        <v>221</v>
      </c>
      <c r="D449" s="144">
        <v>0.55000000000000004</v>
      </c>
      <c r="E449" s="144">
        <v>0.54500000000000004</v>
      </c>
      <c r="F449" s="144">
        <v>0.53500000000000003</v>
      </c>
      <c r="G449" s="144">
        <v>0.56499999999999995</v>
      </c>
      <c r="H449" s="144">
        <v>0.55500000000000005</v>
      </c>
      <c r="I449" s="141">
        <v>0.55500000000000005</v>
      </c>
      <c r="J449" s="145">
        <v>0.54</v>
      </c>
      <c r="K449" s="144">
        <v>0.54</v>
      </c>
      <c r="L449" s="144">
        <v>0.54</v>
      </c>
      <c r="M449" s="144">
        <v>0.55000000000000004</v>
      </c>
      <c r="N449" s="144">
        <v>0.56499999999999995</v>
      </c>
      <c r="O449" s="141">
        <v>0.54500000000000004</v>
      </c>
      <c r="P449" s="145">
        <v>0.54</v>
      </c>
      <c r="Q449" s="144">
        <v>0.55000000000000004</v>
      </c>
      <c r="R449" s="144">
        <v>0.52</v>
      </c>
      <c r="S449" s="144">
        <v>0.55000000000000004</v>
      </c>
      <c r="T449" s="144">
        <v>0.56499999999999995</v>
      </c>
      <c r="U449" s="141">
        <v>0.56499999999999995</v>
      </c>
      <c r="V449" s="145">
        <v>0.56000000000000005</v>
      </c>
      <c r="W449" s="144">
        <v>0.59</v>
      </c>
      <c r="X449" s="144">
        <v>0.56999999999999995</v>
      </c>
      <c r="Y449" s="144">
        <v>0.56999999999999995</v>
      </c>
      <c r="Z449" s="144">
        <v>0.56999999999999995</v>
      </c>
      <c r="AA449" s="144">
        <v>0.54500000000000004</v>
      </c>
      <c r="AB449" s="143">
        <f>_xlfn.STDEV.P(D449:AA449)</f>
        <v>1.4695993407123638E-2</v>
      </c>
      <c r="AC449" s="146"/>
    </row>
    <row r="450" spans="1:29">
      <c r="A450" s="260"/>
      <c r="B450" s="147" t="s">
        <v>1814</v>
      </c>
      <c r="D450" s="148" t="s">
        <v>1794</v>
      </c>
      <c r="E450" s="148" t="s">
        <v>1796</v>
      </c>
      <c r="F450" s="148" t="s">
        <v>1796</v>
      </c>
      <c r="G450" s="148" t="s">
        <v>1796</v>
      </c>
      <c r="H450" s="148" t="s">
        <v>1803</v>
      </c>
      <c r="I450" s="149" t="s">
        <v>1794</v>
      </c>
      <c r="J450" s="150" t="s">
        <v>1794</v>
      </c>
      <c r="K450" s="148" t="s">
        <v>1796</v>
      </c>
      <c r="L450" s="148" t="s">
        <v>1796</v>
      </c>
      <c r="M450" s="148" t="s">
        <v>1796</v>
      </c>
      <c r="N450" s="148" t="s">
        <v>1796</v>
      </c>
      <c r="O450" s="149" t="s">
        <v>1794</v>
      </c>
      <c r="P450" s="150" t="s">
        <v>1803</v>
      </c>
      <c r="Q450" s="148" t="s">
        <v>1794</v>
      </c>
      <c r="R450" s="148" t="s">
        <v>1796</v>
      </c>
      <c r="S450" s="148" t="s">
        <v>1796</v>
      </c>
      <c r="T450" s="148" t="s">
        <v>1796</v>
      </c>
      <c r="U450" s="149" t="s">
        <v>1803</v>
      </c>
      <c r="V450" s="150" t="s">
        <v>1803</v>
      </c>
      <c r="W450" s="148" t="s">
        <v>1803</v>
      </c>
      <c r="X450" s="148" t="s">
        <v>1794</v>
      </c>
      <c r="Y450" s="148" t="s">
        <v>1794</v>
      </c>
      <c r="Z450" s="148" t="s">
        <v>1794</v>
      </c>
      <c r="AA450" s="148" t="s">
        <v>1794</v>
      </c>
      <c r="AB450" s="143"/>
      <c r="AC450" s="151" t="s">
        <v>1919</v>
      </c>
    </row>
    <row r="451" spans="1:29">
      <c r="A451" s="260"/>
      <c r="B451" t="s">
        <v>1815</v>
      </c>
      <c r="C451" t="s">
        <v>40</v>
      </c>
      <c r="D451" s="141">
        <v>0.45</v>
      </c>
      <c r="E451" s="141">
        <v>0.45</v>
      </c>
      <c r="F451" s="141">
        <v>0.46500000000000002</v>
      </c>
      <c r="G451" s="141">
        <v>0.44</v>
      </c>
      <c r="H451" s="141">
        <v>0.44</v>
      </c>
      <c r="I451" s="141">
        <v>0.44</v>
      </c>
      <c r="J451" s="142">
        <v>0.45</v>
      </c>
      <c r="K451" s="141">
        <v>0.44</v>
      </c>
      <c r="L451" s="141">
        <v>0.44500000000000001</v>
      </c>
      <c r="M451" s="141">
        <v>0.47499999999999998</v>
      </c>
      <c r="N451" s="141">
        <v>0.47499999999999998</v>
      </c>
      <c r="O451" s="141">
        <v>0.42</v>
      </c>
      <c r="P451" s="142">
        <v>0.435</v>
      </c>
      <c r="Q451" s="141">
        <v>0.435</v>
      </c>
      <c r="R451" s="141">
        <v>0.44500000000000001</v>
      </c>
      <c r="S451" s="141">
        <v>0.46500000000000002</v>
      </c>
      <c r="T451" s="141">
        <v>0.46500000000000002</v>
      </c>
      <c r="U451" s="141">
        <v>0.45</v>
      </c>
      <c r="V451" s="142">
        <v>0.42499999999999999</v>
      </c>
      <c r="W451" s="141">
        <v>0.5</v>
      </c>
      <c r="X451" s="141">
        <v>0.46500000000000002</v>
      </c>
      <c r="Y451" s="141">
        <v>0.46500000000000002</v>
      </c>
      <c r="Z451" s="141">
        <v>0.47</v>
      </c>
      <c r="AA451" s="141">
        <v>0.435</v>
      </c>
      <c r="AB451" s="143">
        <f>_xlfn.STDEV.P(D451:AA451)</f>
        <v>1.8074642688953313E-2</v>
      </c>
      <c r="AC451" s="143"/>
    </row>
    <row r="452" spans="1:29">
      <c r="A452" s="260"/>
      <c r="C452" t="s">
        <v>220</v>
      </c>
      <c r="D452" s="141">
        <v>1.0049999999999999</v>
      </c>
      <c r="E452" s="141">
        <v>1</v>
      </c>
      <c r="F452" s="141">
        <v>0.98499999999999999</v>
      </c>
      <c r="G452" s="141">
        <v>1</v>
      </c>
      <c r="H452" s="141">
        <v>1.0549999999999999</v>
      </c>
      <c r="I452" s="141">
        <v>1.0549999999999999</v>
      </c>
      <c r="J452" s="142">
        <v>1.0349999999999999</v>
      </c>
      <c r="K452" s="141">
        <v>1.0249999999999999</v>
      </c>
      <c r="L452" s="141">
        <v>0.98</v>
      </c>
      <c r="M452" s="141">
        <v>1.01</v>
      </c>
      <c r="N452" s="141">
        <v>1.01</v>
      </c>
      <c r="O452" s="141">
        <v>1</v>
      </c>
      <c r="P452" s="142">
        <v>1.0149999999999999</v>
      </c>
      <c r="Q452" s="141">
        <v>1.01</v>
      </c>
      <c r="R452" s="141">
        <v>0.995</v>
      </c>
      <c r="S452" s="141">
        <v>1.01</v>
      </c>
      <c r="T452" s="141">
        <v>1.01</v>
      </c>
      <c r="U452" s="141">
        <v>1.0049999999999999</v>
      </c>
      <c r="V452" s="142">
        <v>1</v>
      </c>
      <c r="W452" s="141">
        <v>0.97</v>
      </c>
      <c r="X452" s="141">
        <v>1.0049999999999999</v>
      </c>
      <c r="Y452" s="141">
        <v>1.0049999999999999</v>
      </c>
      <c r="Z452" s="141">
        <v>0.99</v>
      </c>
      <c r="AA452" s="141">
        <v>1.01</v>
      </c>
      <c r="AB452" s="143">
        <f>_xlfn.STDEV.P(D452:AA452)</f>
        <v>1.9417516075841291E-2</v>
      </c>
      <c r="AC452" s="143"/>
    </row>
    <row r="453" spans="1:29">
      <c r="A453" s="260"/>
      <c r="C453" t="s">
        <v>221</v>
      </c>
      <c r="D453" s="144">
        <v>0.54500000000000004</v>
      </c>
      <c r="E453" s="144">
        <v>0.55000000000000004</v>
      </c>
      <c r="F453" s="144">
        <v>0.57499999999999996</v>
      </c>
      <c r="G453" s="144">
        <v>0.56000000000000005</v>
      </c>
      <c r="H453" s="144">
        <v>0.52500000000000002</v>
      </c>
      <c r="I453" s="141">
        <v>0.52500000000000002</v>
      </c>
      <c r="J453" s="145">
        <v>0.53</v>
      </c>
      <c r="K453" s="144">
        <v>0.54500000000000004</v>
      </c>
      <c r="L453" s="144">
        <v>0.55000000000000004</v>
      </c>
      <c r="M453" s="144">
        <v>0.53</v>
      </c>
      <c r="N453" s="144">
        <v>0.53</v>
      </c>
      <c r="O453" s="141">
        <v>0.56000000000000005</v>
      </c>
      <c r="P453" s="145">
        <v>0.55000000000000004</v>
      </c>
      <c r="Q453" s="144">
        <v>0.55000000000000004</v>
      </c>
      <c r="R453" s="144">
        <v>0.55500000000000005</v>
      </c>
      <c r="S453" s="144">
        <v>0.54500000000000004</v>
      </c>
      <c r="T453" s="144">
        <v>0.54500000000000004</v>
      </c>
      <c r="U453" s="141">
        <v>0.55000000000000004</v>
      </c>
      <c r="V453" s="145">
        <v>0.53500000000000003</v>
      </c>
      <c r="W453" s="144">
        <v>0.58499999999999996</v>
      </c>
      <c r="X453" s="144">
        <v>0.53500000000000003</v>
      </c>
      <c r="Y453" s="144">
        <v>0.53500000000000003</v>
      </c>
      <c r="Z453" s="144">
        <v>0.55000000000000004</v>
      </c>
      <c r="AA453" s="144">
        <v>0.56000000000000005</v>
      </c>
      <c r="AB453" s="143">
        <f>_xlfn.STDEV.P(D453:AA453)</f>
        <v>1.4624940645653528E-2</v>
      </c>
      <c r="AC453" s="146"/>
    </row>
    <row r="454" spans="1:29">
      <c r="A454" s="260"/>
      <c r="B454" s="147" t="s">
        <v>1816</v>
      </c>
      <c r="D454" s="148" t="s">
        <v>1794</v>
      </c>
      <c r="E454" s="148" t="s">
        <v>1796</v>
      </c>
      <c r="F454" s="148" t="s">
        <v>1796</v>
      </c>
      <c r="G454" s="148" t="s">
        <v>1796</v>
      </c>
      <c r="H454" s="148" t="s">
        <v>1795</v>
      </c>
      <c r="I454" s="149" t="s">
        <v>1794</v>
      </c>
      <c r="J454" s="150" t="s">
        <v>1794</v>
      </c>
      <c r="K454" s="148" t="s">
        <v>1794</v>
      </c>
      <c r="L454" s="148" t="s">
        <v>1796</v>
      </c>
      <c r="M454" s="148" t="s">
        <v>1803</v>
      </c>
      <c r="N454" s="148" t="s">
        <v>1794</v>
      </c>
      <c r="O454" s="149" t="s">
        <v>1794</v>
      </c>
      <c r="P454" s="150" t="s">
        <v>1795</v>
      </c>
      <c r="Q454" s="148" t="s">
        <v>1794</v>
      </c>
      <c r="R454" s="148" t="s">
        <v>1796</v>
      </c>
      <c r="S454" s="148" t="s">
        <v>1796</v>
      </c>
      <c r="T454" s="148" t="s">
        <v>1796</v>
      </c>
      <c r="U454" s="149" t="s">
        <v>1796</v>
      </c>
      <c r="V454" s="150" t="s">
        <v>1803</v>
      </c>
      <c r="W454" s="148" t="s">
        <v>1803</v>
      </c>
      <c r="X454" s="148" t="s">
        <v>1794</v>
      </c>
      <c r="Y454" s="148" t="s">
        <v>1794</v>
      </c>
      <c r="Z454" s="148" t="s">
        <v>1794</v>
      </c>
      <c r="AA454" s="148" t="s">
        <v>1794</v>
      </c>
      <c r="AB454" s="143"/>
      <c r="AC454" s="151" t="s">
        <v>1920</v>
      </c>
    </row>
    <row r="455" spans="1:29">
      <c r="A455" s="260"/>
      <c r="B455" t="s">
        <v>1902</v>
      </c>
      <c r="C455" t="s">
        <v>40</v>
      </c>
      <c r="D455" s="141">
        <v>0.47</v>
      </c>
      <c r="E455" s="141">
        <v>0.47</v>
      </c>
      <c r="F455" s="141">
        <v>0.47</v>
      </c>
      <c r="G455" s="141">
        <v>0.46</v>
      </c>
      <c r="H455" s="141">
        <v>0.46500000000000002</v>
      </c>
      <c r="I455" s="141">
        <v>0.46500000000000002</v>
      </c>
      <c r="J455" s="142">
        <v>0.46500000000000002</v>
      </c>
      <c r="K455" s="141">
        <v>0.44</v>
      </c>
      <c r="L455" s="141">
        <v>0.44</v>
      </c>
      <c r="M455" s="141">
        <v>0.44500000000000001</v>
      </c>
      <c r="N455" s="141">
        <v>0.45</v>
      </c>
      <c r="O455" s="141">
        <v>0.45500000000000002</v>
      </c>
      <c r="P455" s="142">
        <v>0.47</v>
      </c>
      <c r="Q455" s="141">
        <v>0.435</v>
      </c>
      <c r="R455" s="141">
        <v>0.46</v>
      </c>
      <c r="S455" s="141">
        <v>0.43</v>
      </c>
      <c r="T455" s="141">
        <v>0.45</v>
      </c>
      <c r="U455" s="141">
        <v>0.47</v>
      </c>
      <c r="V455" s="142">
        <v>0.47499999999999998</v>
      </c>
      <c r="W455" s="141">
        <v>0.46</v>
      </c>
      <c r="X455" s="141">
        <v>0.45500000000000002</v>
      </c>
      <c r="Y455" s="141">
        <v>0.46500000000000002</v>
      </c>
      <c r="Z455" s="141">
        <v>0.46500000000000002</v>
      </c>
      <c r="AA455" s="141">
        <v>0.495</v>
      </c>
      <c r="AB455" s="143">
        <f>_xlfn.STDEV.P(D455:AA455)</f>
        <v>1.4238482187368142E-2</v>
      </c>
      <c r="AC455" s="143"/>
    </row>
    <row r="456" spans="1:29">
      <c r="A456" s="260"/>
      <c r="C456" t="s">
        <v>220</v>
      </c>
      <c r="D456" s="141">
        <v>0.995</v>
      </c>
      <c r="E456" s="141">
        <v>1.0049999999999999</v>
      </c>
      <c r="F456" s="141">
        <v>1.01</v>
      </c>
      <c r="G456" s="141">
        <v>1</v>
      </c>
      <c r="H456" s="141">
        <v>1.0049999999999999</v>
      </c>
      <c r="I456" s="141">
        <v>1.0049999999999999</v>
      </c>
      <c r="J456" s="142">
        <v>1.0049999999999999</v>
      </c>
      <c r="K456" s="141">
        <v>1</v>
      </c>
      <c r="L456" s="141">
        <v>1</v>
      </c>
      <c r="M456" s="141">
        <v>1.03</v>
      </c>
      <c r="N456" s="141">
        <v>1.0049999999999999</v>
      </c>
      <c r="O456" s="141">
        <v>1.0049999999999999</v>
      </c>
      <c r="P456" s="142">
        <v>1</v>
      </c>
      <c r="Q456" s="141">
        <v>1.0049999999999999</v>
      </c>
      <c r="R456" s="141">
        <v>1</v>
      </c>
      <c r="S456" s="141">
        <v>1.01</v>
      </c>
      <c r="T456" s="141">
        <v>1</v>
      </c>
      <c r="U456" s="141">
        <v>1</v>
      </c>
      <c r="V456" s="142">
        <v>0.995</v>
      </c>
      <c r="W456" s="141">
        <v>1.01</v>
      </c>
      <c r="X456" s="141">
        <v>0.99</v>
      </c>
      <c r="Y456" s="141">
        <v>0.98</v>
      </c>
      <c r="Z456" s="141">
        <v>0.98</v>
      </c>
      <c r="AA456" s="141">
        <v>0.995</v>
      </c>
      <c r="AB456" s="143">
        <f>_xlfn.STDEV.P(D456:AA456)</f>
        <v>9.8160158244914499E-3</v>
      </c>
      <c r="AC456" s="143"/>
    </row>
    <row r="457" spans="1:29">
      <c r="A457" s="260"/>
      <c r="C457" t="s">
        <v>221</v>
      </c>
      <c r="D457" s="144">
        <v>0.55500000000000005</v>
      </c>
      <c r="E457" s="144">
        <v>0.55500000000000005</v>
      </c>
      <c r="F457" s="144">
        <v>0.55500000000000005</v>
      </c>
      <c r="G457" s="144">
        <v>0.54</v>
      </c>
      <c r="H457" s="144">
        <v>0.54500000000000004</v>
      </c>
      <c r="I457" s="141">
        <v>0.54500000000000004</v>
      </c>
      <c r="J457" s="145">
        <v>0.55000000000000004</v>
      </c>
      <c r="K457" s="144">
        <v>0.54500000000000004</v>
      </c>
      <c r="L457" s="144">
        <v>0.54500000000000004</v>
      </c>
      <c r="M457" s="144">
        <v>0.54</v>
      </c>
      <c r="N457" s="144">
        <v>0.57999999999999996</v>
      </c>
      <c r="O457" s="141">
        <v>0.56499999999999995</v>
      </c>
      <c r="P457" s="145">
        <v>0.56000000000000005</v>
      </c>
      <c r="Q457" s="144">
        <v>0.55000000000000004</v>
      </c>
      <c r="R457" s="144">
        <v>0.55000000000000004</v>
      </c>
      <c r="S457" s="144">
        <v>0.54500000000000004</v>
      </c>
      <c r="T457" s="144">
        <v>0.56999999999999995</v>
      </c>
      <c r="U457" s="141">
        <v>0.55500000000000005</v>
      </c>
      <c r="V457" s="145">
        <v>0.56000000000000005</v>
      </c>
      <c r="W457" s="144">
        <v>0.56499999999999995</v>
      </c>
      <c r="X457" s="144">
        <v>0.56499999999999995</v>
      </c>
      <c r="Y457" s="144">
        <v>0.56499999999999995</v>
      </c>
      <c r="Z457" s="144">
        <v>0.56499999999999995</v>
      </c>
      <c r="AA457" s="144">
        <v>0.54500000000000004</v>
      </c>
      <c r="AB457" s="143">
        <f>_xlfn.STDEV.P(D457:AA457)</f>
        <v>1.0254995395199109E-2</v>
      </c>
      <c r="AC457" s="146"/>
    </row>
    <row r="458" spans="1:29">
      <c r="A458" s="260"/>
      <c r="B458" s="147" t="s">
        <v>1903</v>
      </c>
      <c r="D458" s="148" t="s">
        <v>1794</v>
      </c>
      <c r="E458" s="148" t="s">
        <v>1794</v>
      </c>
      <c r="F458" s="148" t="s">
        <v>1794</v>
      </c>
      <c r="G458" s="148" t="s">
        <v>1794</v>
      </c>
      <c r="H458" s="148" t="s">
        <v>1794</v>
      </c>
      <c r="I458" s="149" t="s">
        <v>1794</v>
      </c>
      <c r="J458" s="150" t="s">
        <v>1794</v>
      </c>
      <c r="K458" s="148" t="s">
        <v>1794</v>
      </c>
      <c r="L458" s="148" t="s">
        <v>1794</v>
      </c>
      <c r="M458" s="148" t="s">
        <v>1794</v>
      </c>
      <c r="N458" s="148" t="s">
        <v>1794</v>
      </c>
      <c r="O458" s="149" t="s">
        <v>1794</v>
      </c>
      <c r="P458" s="150" t="s">
        <v>1794</v>
      </c>
      <c r="Q458" s="148" t="s">
        <v>1794</v>
      </c>
      <c r="R458" s="148" t="s">
        <v>1794</v>
      </c>
      <c r="S458" s="148" t="s">
        <v>1796</v>
      </c>
      <c r="T458" s="148" t="s">
        <v>1796</v>
      </c>
      <c r="U458" s="149" t="s">
        <v>1794</v>
      </c>
      <c r="V458" s="150" t="s">
        <v>1794</v>
      </c>
      <c r="W458" s="148" t="s">
        <v>1794</v>
      </c>
      <c r="X458" s="148" t="s">
        <v>1794</v>
      </c>
      <c r="Y458" s="148" t="s">
        <v>1794</v>
      </c>
      <c r="Z458" s="148" t="s">
        <v>1794</v>
      </c>
      <c r="AA458" s="148" t="s">
        <v>1794</v>
      </c>
      <c r="AB458" s="143"/>
      <c r="AC458" s="151" t="s">
        <v>1901</v>
      </c>
    </row>
    <row r="459" spans="1:29">
      <c r="A459" s="260"/>
      <c r="B459" t="s">
        <v>1837</v>
      </c>
      <c r="C459" t="s">
        <v>40</v>
      </c>
      <c r="D459" s="141">
        <v>0.45500000000000002</v>
      </c>
      <c r="E459" s="141">
        <v>0.43</v>
      </c>
      <c r="F459" s="141">
        <v>0.43</v>
      </c>
      <c r="G459" s="141">
        <v>0.44</v>
      </c>
      <c r="H459" s="141">
        <v>0.47499999999999998</v>
      </c>
      <c r="I459" s="141">
        <v>0.47499999999999998</v>
      </c>
      <c r="J459" s="142">
        <v>0.42499999999999999</v>
      </c>
      <c r="K459" s="141">
        <v>0.40500000000000003</v>
      </c>
      <c r="L459" s="141">
        <v>0.47</v>
      </c>
      <c r="M459" s="141">
        <v>0.45</v>
      </c>
      <c r="N459" s="141">
        <v>0.375</v>
      </c>
      <c r="O459" s="141">
        <v>0.42499999999999999</v>
      </c>
      <c r="P459" s="142">
        <v>0.47</v>
      </c>
      <c r="Q459" s="141">
        <v>0.44500000000000001</v>
      </c>
      <c r="R459" s="141">
        <v>0.45500000000000002</v>
      </c>
      <c r="S459" s="141">
        <v>0.44500000000000001</v>
      </c>
      <c r="T459" s="141">
        <v>0.45500000000000002</v>
      </c>
      <c r="U459" s="141">
        <v>0.45500000000000002</v>
      </c>
      <c r="V459" s="142">
        <v>0.45</v>
      </c>
      <c r="W459" s="141">
        <v>0.435</v>
      </c>
      <c r="X459" s="141">
        <v>0.435</v>
      </c>
      <c r="Y459" s="141">
        <v>0.435</v>
      </c>
      <c r="Z459" s="141">
        <v>0.49</v>
      </c>
      <c r="AA459" s="141">
        <v>0.435</v>
      </c>
      <c r="AB459" s="143">
        <f>_xlfn.STDEV.P(D459:AA459)</f>
        <v>2.3877581303157338E-2</v>
      </c>
      <c r="AC459" s="143"/>
    </row>
    <row r="460" spans="1:29">
      <c r="A460" s="260"/>
      <c r="C460" t="s">
        <v>220</v>
      </c>
      <c r="D460" s="141">
        <v>1.0049999999999999</v>
      </c>
      <c r="E460" s="141">
        <v>1</v>
      </c>
      <c r="F460" s="141">
        <v>1</v>
      </c>
      <c r="G460" s="141">
        <v>1</v>
      </c>
      <c r="H460" s="141">
        <v>1.0549999999999999</v>
      </c>
      <c r="I460" s="141">
        <v>1.0549999999999999</v>
      </c>
      <c r="J460" s="142">
        <v>1.0149999999999999</v>
      </c>
      <c r="K460" s="141">
        <v>0.98</v>
      </c>
      <c r="L460" s="141">
        <v>1.0149999999999999</v>
      </c>
      <c r="M460" s="141">
        <v>1.01</v>
      </c>
      <c r="N460" s="141">
        <v>1.0149999999999999</v>
      </c>
      <c r="O460" s="141">
        <v>0.99</v>
      </c>
      <c r="P460" s="142">
        <v>0.995</v>
      </c>
      <c r="Q460" s="141">
        <v>1</v>
      </c>
      <c r="R460" s="141">
        <v>1</v>
      </c>
      <c r="S460" s="141">
        <v>1.0049999999999999</v>
      </c>
      <c r="T460" s="141">
        <v>1.0049999999999999</v>
      </c>
      <c r="U460" s="141">
        <v>1.0049999999999999</v>
      </c>
      <c r="V460" s="142">
        <v>1</v>
      </c>
      <c r="W460" s="141">
        <v>1.03</v>
      </c>
      <c r="X460" s="141">
        <v>1.0149999999999999</v>
      </c>
      <c r="Y460" s="141">
        <v>1.0149999999999999</v>
      </c>
      <c r="Z460" s="141">
        <v>1.01</v>
      </c>
      <c r="AA460" s="141">
        <v>0.99</v>
      </c>
      <c r="AB460" s="143">
        <f>_xlfn.STDEV.P(D460:AA460)</f>
        <v>1.7275343701356551E-2</v>
      </c>
      <c r="AC460" s="143"/>
    </row>
    <row r="461" spans="1:29">
      <c r="A461" s="260"/>
      <c r="C461" t="s">
        <v>221</v>
      </c>
      <c r="D461" s="144">
        <v>0.55000000000000004</v>
      </c>
      <c r="E461" s="144">
        <v>0.56499999999999995</v>
      </c>
      <c r="F461" s="144">
        <v>0.54</v>
      </c>
      <c r="G461" s="144">
        <v>0.55500000000000005</v>
      </c>
      <c r="H461" s="144">
        <v>0.49</v>
      </c>
      <c r="I461" s="141">
        <v>0.49</v>
      </c>
      <c r="J461" s="145">
        <v>0.56499999999999995</v>
      </c>
      <c r="K461" s="144">
        <v>0.55500000000000005</v>
      </c>
      <c r="L461" s="144">
        <v>0.57999999999999996</v>
      </c>
      <c r="M461" s="144">
        <v>0.54</v>
      </c>
      <c r="N461" s="144">
        <v>0.55000000000000004</v>
      </c>
      <c r="O461" s="141">
        <v>0.55000000000000004</v>
      </c>
      <c r="P461" s="145">
        <v>0.55000000000000004</v>
      </c>
      <c r="Q461" s="144">
        <v>0.56499999999999995</v>
      </c>
      <c r="R461" s="144">
        <v>0.54500000000000004</v>
      </c>
      <c r="S461" s="144">
        <v>0.55500000000000005</v>
      </c>
      <c r="T461" s="144">
        <v>0.54500000000000004</v>
      </c>
      <c r="U461" s="141">
        <v>0.54500000000000004</v>
      </c>
      <c r="V461" s="145">
        <v>0.54500000000000004</v>
      </c>
      <c r="W461" s="144">
        <v>0.53500000000000003</v>
      </c>
      <c r="X461" s="144">
        <v>0.55000000000000004</v>
      </c>
      <c r="Y461" s="144">
        <v>0.55000000000000004</v>
      </c>
      <c r="Z461" s="144">
        <v>0.55500000000000005</v>
      </c>
      <c r="AA461" s="144">
        <v>0.53500000000000003</v>
      </c>
      <c r="AB461" s="143">
        <f>_xlfn.STDEV.P(D461:AA461)</f>
        <v>1.9630926210673017E-2</v>
      </c>
      <c r="AC461" s="146"/>
    </row>
    <row r="462" spans="1:29">
      <c r="A462" s="260"/>
      <c r="B462" s="147" t="s">
        <v>1838</v>
      </c>
      <c r="D462" s="148" t="s">
        <v>1794</v>
      </c>
      <c r="E462" s="148" t="s">
        <v>1794</v>
      </c>
      <c r="F462" s="148" t="s">
        <v>1796</v>
      </c>
      <c r="G462" s="148" t="s">
        <v>1803</v>
      </c>
      <c r="H462" s="148" t="s">
        <v>1803</v>
      </c>
      <c r="I462" s="149" t="s">
        <v>1794</v>
      </c>
      <c r="J462" s="150" t="s">
        <v>1794</v>
      </c>
      <c r="K462" s="148" t="s">
        <v>1796</v>
      </c>
      <c r="L462" s="148" t="s">
        <v>1794</v>
      </c>
      <c r="M462" s="148" t="s">
        <v>1796</v>
      </c>
      <c r="N462" s="148" t="s">
        <v>1796</v>
      </c>
      <c r="O462" s="149" t="s">
        <v>1794</v>
      </c>
      <c r="P462" s="150" t="s">
        <v>1794</v>
      </c>
      <c r="Q462" s="148" t="s">
        <v>1794</v>
      </c>
      <c r="R462" s="148" t="s">
        <v>1796</v>
      </c>
      <c r="S462" s="148" t="s">
        <v>1794</v>
      </c>
      <c r="T462" s="148" t="s">
        <v>1796</v>
      </c>
      <c r="U462" s="149" t="s">
        <v>1794</v>
      </c>
      <c r="V462" s="150" t="s">
        <v>1794</v>
      </c>
      <c r="W462" s="148" t="s">
        <v>1794</v>
      </c>
      <c r="X462" s="148" t="s">
        <v>1794</v>
      </c>
      <c r="Y462" s="148" t="s">
        <v>1794</v>
      </c>
      <c r="Z462" s="148" t="s">
        <v>1794</v>
      </c>
      <c r="AA462" s="148" t="s">
        <v>1794</v>
      </c>
      <c r="AB462" s="143"/>
      <c r="AC462" s="151" t="s">
        <v>1915</v>
      </c>
    </row>
    <row r="463" spans="1:29">
      <c r="A463" s="260"/>
      <c r="B463" t="s">
        <v>1839</v>
      </c>
      <c r="C463" t="s">
        <v>40</v>
      </c>
      <c r="D463" s="141">
        <v>0.44500000000000001</v>
      </c>
      <c r="E463" s="141">
        <v>0.45</v>
      </c>
      <c r="F463" s="141">
        <v>0.46</v>
      </c>
      <c r="G463" s="141">
        <v>0.48499999999999999</v>
      </c>
      <c r="H463" s="141">
        <v>0.48499999999999999</v>
      </c>
      <c r="I463" s="141">
        <v>0.45500000000000002</v>
      </c>
      <c r="J463" s="142">
        <v>0.43</v>
      </c>
      <c r="K463" s="141">
        <v>0.47</v>
      </c>
      <c r="L463" s="141">
        <v>0.46500000000000002</v>
      </c>
      <c r="M463" s="141">
        <v>0.42499999999999999</v>
      </c>
      <c r="N463" s="141">
        <v>0.435</v>
      </c>
      <c r="O463" s="141">
        <v>0.45</v>
      </c>
      <c r="P463" s="142">
        <v>0.47499999999999998</v>
      </c>
      <c r="Q463" s="141">
        <v>0.45500000000000002</v>
      </c>
      <c r="R463" s="141">
        <v>0.48499999999999999</v>
      </c>
      <c r="S463" s="141">
        <v>0.44500000000000001</v>
      </c>
      <c r="T463" s="141">
        <v>0.44500000000000001</v>
      </c>
      <c r="U463" s="141">
        <v>0.47499999999999998</v>
      </c>
      <c r="V463" s="142">
        <v>0.435</v>
      </c>
      <c r="W463" s="141">
        <v>0.47</v>
      </c>
      <c r="X463" s="141">
        <v>0.44500000000000001</v>
      </c>
      <c r="Y463" s="141">
        <v>0.48</v>
      </c>
      <c r="Z463" s="141">
        <v>0.42</v>
      </c>
      <c r="AA463" s="141">
        <v>0.39500000000000002</v>
      </c>
      <c r="AB463" s="143">
        <f>_xlfn.STDEV.P(D463:AA463)</f>
        <v>2.2577028640240106E-2</v>
      </c>
      <c r="AC463" s="143"/>
    </row>
    <row r="464" spans="1:29">
      <c r="A464" s="260"/>
      <c r="C464" t="s">
        <v>220</v>
      </c>
      <c r="D464" s="141">
        <v>1.0049999999999999</v>
      </c>
      <c r="E464" s="141">
        <v>1.0049999999999999</v>
      </c>
      <c r="F464" s="141">
        <v>0.995</v>
      </c>
      <c r="G464" s="141">
        <v>1.02</v>
      </c>
      <c r="H464" s="141">
        <v>1.02</v>
      </c>
      <c r="I464" s="141">
        <v>0.97</v>
      </c>
      <c r="J464" s="142">
        <v>0.995</v>
      </c>
      <c r="K464" s="141">
        <v>1.04</v>
      </c>
      <c r="L464" s="141">
        <v>1.0249999999999999</v>
      </c>
      <c r="M464" s="141">
        <v>1</v>
      </c>
      <c r="N464" s="141">
        <v>1.0049999999999999</v>
      </c>
      <c r="O464" s="141">
        <v>0.995</v>
      </c>
      <c r="P464" s="142">
        <v>0.99</v>
      </c>
      <c r="Q464" s="141">
        <v>1.0049999999999999</v>
      </c>
      <c r="R464" s="141">
        <v>0.98</v>
      </c>
      <c r="S464" s="141">
        <v>1.02</v>
      </c>
      <c r="T464" s="141">
        <v>1.02</v>
      </c>
      <c r="U464" s="141">
        <v>1</v>
      </c>
      <c r="V464" s="142">
        <v>1</v>
      </c>
      <c r="W464" s="141">
        <v>1</v>
      </c>
      <c r="X464" s="141">
        <v>1.03</v>
      </c>
      <c r="Y464" s="141">
        <v>0.99</v>
      </c>
      <c r="Z464" s="141">
        <v>1.0049999999999999</v>
      </c>
      <c r="AA464" s="141">
        <v>1.0049999999999999</v>
      </c>
      <c r="AB464" s="143">
        <f>_xlfn.STDEV.P(D464:AA464)</f>
        <v>1.5612494995996004E-2</v>
      </c>
      <c r="AC464" s="143"/>
    </row>
    <row r="465" spans="1:29">
      <c r="A465" s="260"/>
      <c r="C465" t="s">
        <v>221</v>
      </c>
      <c r="D465" s="144">
        <v>0.55500000000000005</v>
      </c>
      <c r="E465" s="144">
        <v>0.55000000000000004</v>
      </c>
      <c r="F465" s="144">
        <v>0.55500000000000005</v>
      </c>
      <c r="G465" s="144">
        <v>0.58499999999999996</v>
      </c>
      <c r="H465" s="144">
        <v>0.58499999999999996</v>
      </c>
      <c r="I465" s="141">
        <v>0.57999999999999996</v>
      </c>
      <c r="J465" s="145">
        <v>0.56499999999999995</v>
      </c>
      <c r="K465" s="144">
        <v>0.56999999999999995</v>
      </c>
      <c r="L465" s="144">
        <v>0.56499999999999995</v>
      </c>
      <c r="M465" s="144">
        <v>0.55000000000000004</v>
      </c>
      <c r="N465" s="144">
        <v>0.54</v>
      </c>
      <c r="O465" s="141">
        <v>0.52500000000000002</v>
      </c>
      <c r="P465" s="145">
        <v>0.56000000000000005</v>
      </c>
      <c r="Q465" s="144">
        <v>0.54500000000000004</v>
      </c>
      <c r="R465" s="144">
        <v>0.52500000000000002</v>
      </c>
      <c r="S465" s="144">
        <v>0.59499999999999997</v>
      </c>
      <c r="T465" s="144">
        <v>0.59499999999999997</v>
      </c>
      <c r="U465" s="141">
        <v>0.53500000000000003</v>
      </c>
      <c r="V465" s="145">
        <v>0.55000000000000004</v>
      </c>
      <c r="W465" s="144">
        <v>0.57499999999999996</v>
      </c>
      <c r="X465" s="144">
        <v>0.54</v>
      </c>
      <c r="Y465" s="144">
        <v>0.55000000000000004</v>
      </c>
      <c r="Z465" s="144">
        <v>0.53</v>
      </c>
      <c r="AA465" s="144">
        <v>0.55500000000000005</v>
      </c>
      <c r="AB465" s="143">
        <f>_xlfn.STDEV.P(D465:AA465)</f>
        <v>2.0207259421636876E-2</v>
      </c>
      <c r="AC465" s="146"/>
    </row>
    <row r="466" spans="1:29">
      <c r="A466" s="260"/>
      <c r="B466" s="147" t="s">
        <v>1840</v>
      </c>
      <c r="D466" s="148" t="s">
        <v>1794</v>
      </c>
      <c r="E466" s="148" t="s">
        <v>1794</v>
      </c>
      <c r="F466" s="148" t="s">
        <v>1796</v>
      </c>
      <c r="G466" s="148" t="s">
        <v>1795</v>
      </c>
      <c r="H466" s="148" t="s">
        <v>1794</v>
      </c>
      <c r="I466" s="149" t="s">
        <v>1794</v>
      </c>
      <c r="J466" s="150" t="s">
        <v>1794</v>
      </c>
      <c r="K466" s="148" t="s">
        <v>1796</v>
      </c>
      <c r="L466" s="148" t="s">
        <v>1796</v>
      </c>
      <c r="M466" s="148" t="s">
        <v>1795</v>
      </c>
      <c r="N466" s="148" t="s">
        <v>1796</v>
      </c>
      <c r="O466" s="149" t="s">
        <v>1794</v>
      </c>
      <c r="P466" s="150" t="s">
        <v>1794</v>
      </c>
      <c r="Q466" s="148" t="s">
        <v>1794</v>
      </c>
      <c r="R466" s="148" t="s">
        <v>1794</v>
      </c>
      <c r="S466" s="148" t="s">
        <v>1794</v>
      </c>
      <c r="T466" s="148" t="s">
        <v>1794</v>
      </c>
      <c r="U466" s="149" t="s">
        <v>1794</v>
      </c>
      <c r="V466" s="150" t="s">
        <v>1794</v>
      </c>
      <c r="W466" s="148" t="s">
        <v>1794</v>
      </c>
      <c r="X466" s="148" t="s">
        <v>1794</v>
      </c>
      <c r="Y466" s="148" t="s">
        <v>1794</v>
      </c>
      <c r="Z466" s="148" t="s">
        <v>1794</v>
      </c>
      <c r="AA466" s="148" t="s">
        <v>1794</v>
      </c>
      <c r="AB466" s="143"/>
      <c r="AC466" s="151" t="s">
        <v>1878</v>
      </c>
    </row>
    <row r="467" spans="1:29">
      <c r="A467" s="260"/>
      <c r="B467" t="s">
        <v>1842</v>
      </c>
      <c r="C467" t="s">
        <v>40</v>
      </c>
      <c r="D467" s="141">
        <v>0.45</v>
      </c>
      <c r="E467" s="141">
        <v>0.46500000000000002</v>
      </c>
      <c r="F467" s="141">
        <v>0.45</v>
      </c>
      <c r="G467" s="141">
        <v>0.45500000000000002</v>
      </c>
      <c r="H467" s="141">
        <v>0.44500000000000001</v>
      </c>
      <c r="I467" s="141">
        <v>0.41</v>
      </c>
      <c r="J467" s="142">
        <v>0.42499999999999999</v>
      </c>
      <c r="K467" s="141">
        <v>0.45500000000000002</v>
      </c>
      <c r="L467" s="141">
        <v>0.48</v>
      </c>
      <c r="M467" s="141">
        <v>0.43</v>
      </c>
      <c r="N467" s="141">
        <v>0.435</v>
      </c>
      <c r="O467" s="141">
        <v>0.435</v>
      </c>
      <c r="P467" s="142">
        <v>0.44</v>
      </c>
      <c r="Q467" s="141">
        <v>0.44</v>
      </c>
      <c r="R467" s="141">
        <v>0.435</v>
      </c>
      <c r="S467" s="141">
        <v>0.47499999999999998</v>
      </c>
      <c r="T467" s="141">
        <v>0.46</v>
      </c>
      <c r="U467" s="141">
        <v>0.44500000000000001</v>
      </c>
      <c r="V467" s="142">
        <v>0.45</v>
      </c>
      <c r="W467" s="141">
        <v>0.49</v>
      </c>
      <c r="X467" s="141">
        <v>0.47</v>
      </c>
      <c r="Y467" s="141">
        <v>0.42</v>
      </c>
      <c r="Z467" s="141">
        <v>0.46</v>
      </c>
      <c r="AA467" s="141">
        <v>0.46</v>
      </c>
      <c r="AB467" s="143">
        <f>_xlfn.STDEV.P(D467:AA467)</f>
        <v>1.8856180831641266E-2</v>
      </c>
      <c r="AC467" s="143"/>
    </row>
    <row r="468" spans="1:29">
      <c r="A468" s="260"/>
      <c r="C468" t="s">
        <v>220</v>
      </c>
      <c r="D468" s="141">
        <v>1.0049999999999999</v>
      </c>
      <c r="E468" s="141">
        <v>1.0049999999999999</v>
      </c>
      <c r="F468" s="141">
        <v>1.0049999999999999</v>
      </c>
      <c r="G468" s="141">
        <v>1</v>
      </c>
      <c r="H468" s="141">
        <v>1.06</v>
      </c>
      <c r="I468" s="141">
        <v>0.98499999999999999</v>
      </c>
      <c r="J468" s="142">
        <v>0.97</v>
      </c>
      <c r="K468" s="141">
        <v>0.97499999999999998</v>
      </c>
      <c r="L468" s="141">
        <v>1.0149999999999999</v>
      </c>
      <c r="M468" s="141">
        <v>0.99</v>
      </c>
      <c r="N468" s="141">
        <v>1.0149999999999999</v>
      </c>
      <c r="O468" s="141">
        <v>1.0149999999999999</v>
      </c>
      <c r="P468" s="142">
        <v>1.01</v>
      </c>
      <c r="Q468" s="141">
        <v>1</v>
      </c>
      <c r="R468" s="141">
        <v>1.01</v>
      </c>
      <c r="S468" s="141">
        <v>1.0249999999999999</v>
      </c>
      <c r="T468" s="141">
        <v>1.01</v>
      </c>
      <c r="U468" s="141">
        <v>1.0049999999999999</v>
      </c>
      <c r="V468" s="142">
        <v>1</v>
      </c>
      <c r="W468" s="141">
        <v>0.96499999999999997</v>
      </c>
      <c r="X468" s="141">
        <v>0.96499999999999997</v>
      </c>
      <c r="Y468" s="141">
        <v>1</v>
      </c>
      <c r="Z468" s="141">
        <v>0.995</v>
      </c>
      <c r="AA468" s="141">
        <v>0.995</v>
      </c>
      <c r="AB468" s="143">
        <f>_xlfn.STDEV.P(D468:AA468)</f>
        <v>2.0034692133618848E-2</v>
      </c>
      <c r="AC468" s="143"/>
    </row>
    <row r="469" spans="1:29">
      <c r="A469" s="260"/>
      <c r="C469" t="s">
        <v>221</v>
      </c>
      <c r="D469" s="144">
        <v>0.56499999999999995</v>
      </c>
      <c r="E469" s="144">
        <v>0.55500000000000005</v>
      </c>
      <c r="F469" s="144">
        <v>0.56499999999999995</v>
      </c>
      <c r="G469" s="144">
        <v>0.56000000000000005</v>
      </c>
      <c r="H469" s="144">
        <v>0.55000000000000004</v>
      </c>
      <c r="I469" s="141">
        <v>0.56999999999999995</v>
      </c>
      <c r="J469" s="145">
        <v>0.59499999999999997</v>
      </c>
      <c r="K469" s="144">
        <v>0.57999999999999996</v>
      </c>
      <c r="L469" s="144">
        <v>0.53500000000000003</v>
      </c>
      <c r="M469" s="144">
        <v>0.55500000000000005</v>
      </c>
      <c r="N469" s="144">
        <v>0.55500000000000005</v>
      </c>
      <c r="O469" s="141">
        <v>0.55500000000000005</v>
      </c>
      <c r="P469" s="145">
        <v>0.55500000000000005</v>
      </c>
      <c r="Q469" s="144">
        <v>0.54500000000000004</v>
      </c>
      <c r="R469" s="144">
        <v>0.55000000000000004</v>
      </c>
      <c r="S469" s="144">
        <v>0.58499999999999996</v>
      </c>
      <c r="T469" s="144">
        <v>0.53500000000000003</v>
      </c>
      <c r="U469" s="141">
        <v>0.53</v>
      </c>
      <c r="V469" s="145">
        <v>0.56999999999999995</v>
      </c>
      <c r="W469" s="144">
        <v>0.57999999999999996</v>
      </c>
      <c r="X469" s="144">
        <v>0.58499999999999996</v>
      </c>
      <c r="Y469" s="144">
        <v>0.56000000000000005</v>
      </c>
      <c r="Z469" s="144">
        <v>0.59</v>
      </c>
      <c r="AA469" s="144">
        <v>0.59</v>
      </c>
      <c r="AB469" s="143">
        <f>_xlfn.STDEV.P(D469:AA469)</f>
        <v>1.8016919131749437E-2</v>
      </c>
      <c r="AC469" s="146"/>
    </row>
    <row r="470" spans="1:29">
      <c r="A470" s="260"/>
      <c r="B470" s="147" t="s">
        <v>1843</v>
      </c>
      <c r="D470" s="148" t="s">
        <v>1794</v>
      </c>
      <c r="E470" s="148" t="s">
        <v>1796</v>
      </c>
      <c r="F470" s="148" t="s">
        <v>1796</v>
      </c>
      <c r="G470" s="148" t="s">
        <v>1794</v>
      </c>
      <c r="H470" s="148" t="s">
        <v>1794</v>
      </c>
      <c r="I470" s="149" t="s">
        <v>1794</v>
      </c>
      <c r="J470" s="150" t="s">
        <v>1794</v>
      </c>
      <c r="K470" s="148" t="s">
        <v>1796</v>
      </c>
      <c r="L470" s="148" t="s">
        <v>1796</v>
      </c>
      <c r="M470" s="148" t="s">
        <v>1794</v>
      </c>
      <c r="N470" s="148" t="s">
        <v>1795</v>
      </c>
      <c r="O470" s="149" t="s">
        <v>1794</v>
      </c>
      <c r="P470" s="150" t="s">
        <v>1794</v>
      </c>
      <c r="Q470" s="148" t="s">
        <v>1794</v>
      </c>
      <c r="R470" s="148" t="s">
        <v>1796</v>
      </c>
      <c r="S470" s="148" t="s">
        <v>1794</v>
      </c>
      <c r="T470" s="148" t="s">
        <v>1796</v>
      </c>
      <c r="U470" s="149" t="s">
        <v>1794</v>
      </c>
      <c r="V470" s="150" t="s">
        <v>1794</v>
      </c>
      <c r="W470" s="148" t="s">
        <v>1794</v>
      </c>
      <c r="X470" s="148" t="s">
        <v>1794</v>
      </c>
      <c r="Y470" s="148" t="s">
        <v>1794</v>
      </c>
      <c r="Z470" s="148" t="s">
        <v>1794</v>
      </c>
      <c r="AA470" s="148" t="s">
        <v>1794</v>
      </c>
      <c r="AB470" s="143"/>
      <c r="AC470" s="151" t="s">
        <v>1921</v>
      </c>
    </row>
    <row r="471" spans="1:29">
      <c r="A471" s="260"/>
      <c r="B471" t="s">
        <v>1845</v>
      </c>
      <c r="C471" t="s">
        <v>40</v>
      </c>
      <c r="D471" s="141">
        <v>0.44</v>
      </c>
      <c r="E471" s="141">
        <v>0.435</v>
      </c>
      <c r="F471" s="141">
        <v>0.45500000000000002</v>
      </c>
      <c r="G471" s="141">
        <v>0.44500000000000001</v>
      </c>
      <c r="H471" s="141">
        <v>0.46500000000000002</v>
      </c>
      <c r="I471" s="141">
        <v>0.45500000000000002</v>
      </c>
      <c r="J471" s="142">
        <v>0.47</v>
      </c>
      <c r="K471" s="141">
        <v>0.45500000000000002</v>
      </c>
      <c r="L471" s="141">
        <v>0.46500000000000002</v>
      </c>
      <c r="M471" s="141">
        <v>0.46</v>
      </c>
      <c r="N471" s="141">
        <v>0.39</v>
      </c>
      <c r="O471" s="141">
        <v>0.39</v>
      </c>
      <c r="P471" s="142">
        <v>0.44500000000000001</v>
      </c>
      <c r="Q471" s="141">
        <v>0.49</v>
      </c>
      <c r="R471" s="141">
        <v>0.45</v>
      </c>
      <c r="S471" s="141">
        <v>0.45</v>
      </c>
      <c r="T471" s="141">
        <v>0.45500000000000002</v>
      </c>
      <c r="U471" s="141">
        <v>0.42</v>
      </c>
      <c r="V471" s="142">
        <v>0.46</v>
      </c>
      <c r="W471" s="141">
        <v>0.42</v>
      </c>
      <c r="X471" s="141">
        <v>0.47499999999999998</v>
      </c>
      <c r="Y471" s="141">
        <v>0.43</v>
      </c>
      <c r="Z471" s="141">
        <v>0.47499999999999998</v>
      </c>
      <c r="AA471" s="141">
        <v>0.47499999999999998</v>
      </c>
      <c r="AB471" s="143">
        <f>_xlfn.STDEV.P(D471:AA471)</f>
        <v>2.446298223847616E-2</v>
      </c>
      <c r="AC471" s="143"/>
    </row>
    <row r="472" spans="1:29">
      <c r="A472" s="260"/>
      <c r="C472" t="s">
        <v>220</v>
      </c>
      <c r="D472" s="141">
        <v>1.0049999999999999</v>
      </c>
      <c r="E472" s="141">
        <v>0.995</v>
      </c>
      <c r="F472" s="141">
        <v>1</v>
      </c>
      <c r="G472" s="141">
        <v>1.0049999999999999</v>
      </c>
      <c r="H472" s="141">
        <v>1.06</v>
      </c>
      <c r="I472" s="141">
        <v>0.98499999999999999</v>
      </c>
      <c r="J472" s="142">
        <v>0.99</v>
      </c>
      <c r="K472" s="141">
        <v>1</v>
      </c>
      <c r="L472" s="141">
        <v>0.995</v>
      </c>
      <c r="M472" s="141">
        <v>1.0049999999999999</v>
      </c>
      <c r="N472" s="141">
        <v>1.01</v>
      </c>
      <c r="O472" s="141">
        <v>1.01</v>
      </c>
      <c r="P472" s="142">
        <v>1.01</v>
      </c>
      <c r="Q472" s="141">
        <v>0.99</v>
      </c>
      <c r="R472" s="141">
        <v>0.99</v>
      </c>
      <c r="S472" s="141">
        <v>0.99</v>
      </c>
      <c r="T472" s="141">
        <v>1</v>
      </c>
      <c r="U472" s="141">
        <v>0.97499999999999998</v>
      </c>
      <c r="V472" s="142">
        <v>1.0049999999999999</v>
      </c>
      <c r="W472" s="141">
        <v>0.995</v>
      </c>
      <c r="X472" s="141">
        <v>1.0249999999999999</v>
      </c>
      <c r="Y472" s="141">
        <v>1.0149999999999999</v>
      </c>
      <c r="Z472" s="141">
        <v>1</v>
      </c>
      <c r="AA472" s="141">
        <v>1</v>
      </c>
      <c r="AB472" s="143">
        <f>_xlfn.STDEV.P(D472:AA472)</f>
        <v>1.587576551085193E-2</v>
      </c>
      <c r="AC472" s="143"/>
    </row>
    <row r="473" spans="1:29">
      <c r="A473" s="260"/>
      <c r="C473" t="s">
        <v>221</v>
      </c>
      <c r="D473" s="144">
        <v>0.56499999999999995</v>
      </c>
      <c r="E473" s="144">
        <v>0.56999999999999995</v>
      </c>
      <c r="F473" s="144">
        <v>0.54</v>
      </c>
      <c r="G473" s="144">
        <v>0.55500000000000005</v>
      </c>
      <c r="H473" s="144">
        <v>0.54500000000000004</v>
      </c>
      <c r="I473" s="141">
        <v>0.57499999999999996</v>
      </c>
      <c r="J473" s="145">
        <v>0.59499999999999997</v>
      </c>
      <c r="K473" s="144">
        <v>0.55000000000000004</v>
      </c>
      <c r="L473" s="144">
        <v>0.55500000000000005</v>
      </c>
      <c r="M473" s="144">
        <v>0.56000000000000005</v>
      </c>
      <c r="N473" s="144">
        <v>0.55000000000000004</v>
      </c>
      <c r="O473" s="141">
        <v>0.55000000000000004</v>
      </c>
      <c r="P473" s="145">
        <v>0.56999999999999995</v>
      </c>
      <c r="Q473" s="144">
        <v>0.56999999999999995</v>
      </c>
      <c r="R473" s="144">
        <v>0.56499999999999995</v>
      </c>
      <c r="S473" s="144">
        <v>0.56499999999999995</v>
      </c>
      <c r="T473" s="144">
        <v>0.55500000000000005</v>
      </c>
      <c r="U473" s="141">
        <v>0.54500000000000004</v>
      </c>
      <c r="V473" s="145">
        <v>0.56499999999999995</v>
      </c>
      <c r="W473" s="144">
        <v>0.56000000000000005</v>
      </c>
      <c r="X473" s="144">
        <v>0.56499999999999995</v>
      </c>
      <c r="Y473" s="144">
        <v>0.56999999999999995</v>
      </c>
      <c r="Z473" s="144">
        <v>0.59</v>
      </c>
      <c r="AA473" s="144">
        <v>0.59</v>
      </c>
      <c r="AB473" s="143">
        <f>_xlfn.STDEV.P(D473:AA473)</f>
        <v>1.40435829552939E-2</v>
      </c>
      <c r="AC473" s="146"/>
    </row>
    <row r="474" spans="1:29">
      <c r="A474" s="260"/>
      <c r="B474" s="147" t="s">
        <v>1846</v>
      </c>
      <c r="D474" s="148" t="s">
        <v>1794</v>
      </c>
      <c r="E474" s="148" t="s">
        <v>1803</v>
      </c>
      <c r="F474" s="148" t="s">
        <v>1796</v>
      </c>
      <c r="G474" s="148" t="s">
        <v>1795</v>
      </c>
      <c r="H474" s="148" t="s">
        <v>1795</v>
      </c>
      <c r="I474" s="149" t="s">
        <v>1794</v>
      </c>
      <c r="J474" s="150" t="s">
        <v>1794</v>
      </c>
      <c r="K474" s="148" t="s">
        <v>1794</v>
      </c>
      <c r="L474" s="148" t="s">
        <v>1794</v>
      </c>
      <c r="M474" s="148" t="s">
        <v>1796</v>
      </c>
      <c r="N474" s="148" t="s">
        <v>1794</v>
      </c>
      <c r="O474" s="149" t="s">
        <v>1794</v>
      </c>
      <c r="P474" s="150" t="s">
        <v>1795</v>
      </c>
      <c r="Q474" s="148" t="s">
        <v>1794</v>
      </c>
      <c r="R474" s="148" t="s">
        <v>1794</v>
      </c>
      <c r="S474" s="148" t="s">
        <v>1794</v>
      </c>
      <c r="T474" s="148" t="s">
        <v>1794</v>
      </c>
      <c r="U474" s="149" t="s">
        <v>1794</v>
      </c>
      <c r="V474" s="150" t="s">
        <v>1794</v>
      </c>
      <c r="W474" s="148" t="s">
        <v>1794</v>
      </c>
      <c r="X474" s="148" t="s">
        <v>1794</v>
      </c>
      <c r="Y474" s="148" t="s">
        <v>1794</v>
      </c>
      <c r="Z474" s="148" t="s">
        <v>1794</v>
      </c>
      <c r="AA474" s="148" t="s">
        <v>1794</v>
      </c>
      <c r="AB474" s="143"/>
      <c r="AC474" s="151" t="s">
        <v>1922</v>
      </c>
    </row>
    <row r="475" spans="1:29">
      <c r="A475" s="260"/>
      <c r="B475" t="s">
        <v>1848</v>
      </c>
      <c r="C475" t="s">
        <v>40</v>
      </c>
      <c r="D475" s="141">
        <v>0.47499999999999998</v>
      </c>
      <c r="E475" s="141">
        <v>0.47499999999999998</v>
      </c>
      <c r="F475" s="141">
        <v>0.48499999999999999</v>
      </c>
      <c r="G475" s="141">
        <v>0.46500000000000002</v>
      </c>
      <c r="H475" s="141">
        <v>0.40500000000000003</v>
      </c>
      <c r="I475" s="141">
        <v>0.5</v>
      </c>
      <c r="J475" s="142">
        <v>0.44</v>
      </c>
      <c r="K475" s="141">
        <v>0.48</v>
      </c>
      <c r="L475" s="141">
        <v>0.42</v>
      </c>
      <c r="M475" s="141">
        <v>0.44</v>
      </c>
      <c r="N475" s="141">
        <v>0.32</v>
      </c>
      <c r="O475" s="141">
        <v>0.47</v>
      </c>
      <c r="P475" s="142">
        <v>0.42499999999999999</v>
      </c>
      <c r="Q475" s="141">
        <v>0.45500000000000002</v>
      </c>
      <c r="R475" s="141">
        <v>0.47499999999999998</v>
      </c>
      <c r="S475" s="141">
        <v>0.44</v>
      </c>
      <c r="T475" s="141">
        <v>0.44</v>
      </c>
      <c r="U475" s="141">
        <v>0.46500000000000002</v>
      </c>
      <c r="V475" s="142">
        <v>0.45500000000000002</v>
      </c>
      <c r="W475" s="141">
        <v>0.44500000000000001</v>
      </c>
      <c r="X475" s="141">
        <v>0.43</v>
      </c>
      <c r="Y475" s="141">
        <v>0.46500000000000002</v>
      </c>
      <c r="Z475" s="141">
        <v>0.43</v>
      </c>
      <c r="AA475" s="141">
        <v>0.49</v>
      </c>
      <c r="AB475" s="143">
        <f>_xlfn.STDEV.P(D475:AA475)</f>
        <v>3.5879330942603829E-2</v>
      </c>
      <c r="AC475" s="143"/>
    </row>
    <row r="476" spans="1:29">
      <c r="A476" s="260"/>
      <c r="C476" t="s">
        <v>220</v>
      </c>
      <c r="D476" s="141">
        <v>1.0049999999999999</v>
      </c>
      <c r="E476" s="141">
        <v>1.0049999999999999</v>
      </c>
      <c r="F476" s="141">
        <v>1.0049999999999999</v>
      </c>
      <c r="G476" s="141">
        <v>1.0049999999999999</v>
      </c>
      <c r="H476" s="141">
        <v>1.0149999999999999</v>
      </c>
      <c r="I476" s="141">
        <v>1.02</v>
      </c>
      <c r="J476" s="142">
        <v>0.995</v>
      </c>
      <c r="K476" s="141">
        <v>0.96</v>
      </c>
      <c r="L476" s="141">
        <v>1</v>
      </c>
      <c r="M476" s="141">
        <v>1</v>
      </c>
      <c r="N476" s="141">
        <v>1.0049999999999999</v>
      </c>
      <c r="O476" s="141">
        <v>0.99</v>
      </c>
      <c r="P476" s="142">
        <v>1.01</v>
      </c>
      <c r="Q476" s="141">
        <v>1.0149999999999999</v>
      </c>
      <c r="R476" s="141">
        <v>0.99</v>
      </c>
      <c r="S476" s="141">
        <v>1.0049999999999999</v>
      </c>
      <c r="T476" s="141">
        <v>1.0049999999999999</v>
      </c>
      <c r="U476" s="141">
        <v>1</v>
      </c>
      <c r="V476" s="142">
        <v>1</v>
      </c>
      <c r="W476" s="141">
        <v>1.01</v>
      </c>
      <c r="X476" s="141">
        <v>0.995</v>
      </c>
      <c r="Y476" s="141">
        <v>0.995</v>
      </c>
      <c r="Z476" s="141">
        <v>1.0149999999999999</v>
      </c>
      <c r="AA476" s="141">
        <v>1.0149999999999999</v>
      </c>
      <c r="AB476" s="143">
        <f>_xlfn.STDEV.P(D476:AA476)</f>
        <v>1.1902380714238067E-2</v>
      </c>
      <c r="AC476" s="143"/>
    </row>
    <row r="477" spans="1:29">
      <c r="A477" s="260"/>
      <c r="C477" t="s">
        <v>221</v>
      </c>
      <c r="D477" s="144">
        <v>0.55500000000000005</v>
      </c>
      <c r="E477" s="144">
        <v>0.55500000000000005</v>
      </c>
      <c r="F477" s="144">
        <v>0.55000000000000004</v>
      </c>
      <c r="G477" s="144">
        <v>0.54</v>
      </c>
      <c r="H477" s="144">
        <v>0.56999999999999995</v>
      </c>
      <c r="I477" s="141">
        <v>0.56499999999999995</v>
      </c>
      <c r="J477" s="145">
        <v>0.56000000000000005</v>
      </c>
      <c r="K477" s="144">
        <v>0.55000000000000004</v>
      </c>
      <c r="L477" s="144">
        <v>0.55000000000000004</v>
      </c>
      <c r="M477" s="144">
        <v>0.56999999999999995</v>
      </c>
      <c r="N477" s="144">
        <v>0.59499999999999997</v>
      </c>
      <c r="O477" s="141">
        <v>0.54500000000000004</v>
      </c>
      <c r="P477" s="145">
        <v>0.56999999999999995</v>
      </c>
      <c r="Q477" s="144">
        <v>0.57999999999999996</v>
      </c>
      <c r="R477" s="144">
        <v>0.56499999999999995</v>
      </c>
      <c r="S477" s="144">
        <v>0.57499999999999996</v>
      </c>
      <c r="T477" s="144">
        <v>0.57499999999999996</v>
      </c>
      <c r="U477" s="141">
        <v>0.57999999999999996</v>
      </c>
      <c r="V477" s="145">
        <v>0.56000000000000005</v>
      </c>
      <c r="W477" s="144">
        <v>0.56000000000000005</v>
      </c>
      <c r="X477" s="144">
        <v>0.56999999999999995</v>
      </c>
      <c r="Y477" s="144">
        <v>0.56000000000000005</v>
      </c>
      <c r="Z477" s="144">
        <v>0.56499999999999995</v>
      </c>
      <c r="AA477" s="144">
        <v>0.54500000000000004</v>
      </c>
      <c r="AB477" s="143">
        <f>_xlfn.STDEV.P(D477:AA477)</f>
        <v>1.2822235461190898E-2</v>
      </c>
      <c r="AC477" s="146"/>
    </row>
    <row r="478" spans="1:29">
      <c r="A478" s="260"/>
      <c r="B478" s="147" t="s">
        <v>1849</v>
      </c>
      <c r="D478" s="148" t="s">
        <v>1794</v>
      </c>
      <c r="E478" s="148" t="s">
        <v>1794</v>
      </c>
      <c r="F478" s="148" t="s">
        <v>1796</v>
      </c>
      <c r="G478" s="148" t="s">
        <v>1796</v>
      </c>
      <c r="H478" s="148" t="s">
        <v>1796</v>
      </c>
      <c r="I478" s="149" t="s">
        <v>1794</v>
      </c>
      <c r="J478" s="150" t="s">
        <v>1794</v>
      </c>
      <c r="K478" s="148" t="s">
        <v>1796</v>
      </c>
      <c r="L478" s="148" t="s">
        <v>1796</v>
      </c>
      <c r="M478" s="148" t="s">
        <v>1796</v>
      </c>
      <c r="N478" s="148" t="s">
        <v>1794</v>
      </c>
      <c r="O478" s="149" t="s">
        <v>1794</v>
      </c>
      <c r="P478" s="150" t="s">
        <v>1794</v>
      </c>
      <c r="Q478" s="148" t="s">
        <v>1794</v>
      </c>
      <c r="R478" s="148" t="s">
        <v>1794</v>
      </c>
      <c r="S478" s="148" t="s">
        <v>1796</v>
      </c>
      <c r="T478" s="148" t="s">
        <v>1796</v>
      </c>
      <c r="U478" s="149" t="s">
        <v>1794</v>
      </c>
      <c r="V478" s="150" t="s">
        <v>1794</v>
      </c>
      <c r="W478" s="148" t="s">
        <v>1794</v>
      </c>
      <c r="X478" s="148" t="s">
        <v>1794</v>
      </c>
      <c r="Y478" s="148" t="s">
        <v>1794</v>
      </c>
      <c r="Z478" s="148" t="s">
        <v>1794</v>
      </c>
      <c r="AA478" s="148" t="s">
        <v>1794</v>
      </c>
      <c r="AB478" s="143"/>
      <c r="AC478" s="151" t="s">
        <v>1923</v>
      </c>
    </row>
    <row r="479" spans="1:29">
      <c r="A479" s="260"/>
      <c r="B479" t="s">
        <v>1850</v>
      </c>
      <c r="C479" t="s">
        <v>40</v>
      </c>
      <c r="D479" s="141">
        <v>0.45500000000000002</v>
      </c>
      <c r="E479" s="141">
        <v>0.46500000000000002</v>
      </c>
      <c r="F479" s="141">
        <v>0.45500000000000002</v>
      </c>
      <c r="G479" s="141">
        <v>0.46</v>
      </c>
      <c r="H479" s="141">
        <v>0.47</v>
      </c>
      <c r="I479" s="141">
        <v>0.44</v>
      </c>
      <c r="J479" s="142">
        <v>0.435</v>
      </c>
      <c r="K479" s="141">
        <v>0.46500000000000002</v>
      </c>
      <c r="L479" s="141">
        <v>0.47</v>
      </c>
      <c r="M479" s="141">
        <v>0.44</v>
      </c>
      <c r="N479" s="141">
        <v>0.44</v>
      </c>
      <c r="O479" s="141">
        <v>0.44</v>
      </c>
      <c r="P479" s="142">
        <v>0.43</v>
      </c>
      <c r="Q479" s="141">
        <v>0.435</v>
      </c>
      <c r="R479" s="141">
        <v>0.49</v>
      </c>
      <c r="S479" s="141">
        <v>0.47</v>
      </c>
      <c r="T479" s="141">
        <v>0.45500000000000002</v>
      </c>
      <c r="U479" s="141">
        <v>0.46500000000000002</v>
      </c>
      <c r="V479" s="142">
        <v>0.45500000000000002</v>
      </c>
      <c r="W479" s="141">
        <v>0.43</v>
      </c>
      <c r="X479" s="141">
        <v>0.45500000000000002</v>
      </c>
      <c r="Y479" s="141">
        <v>0.47499999999999998</v>
      </c>
      <c r="Z479" s="141">
        <v>0.48</v>
      </c>
      <c r="AA479" s="141">
        <v>0.48</v>
      </c>
      <c r="AB479" s="143">
        <f>_xlfn.STDEV.P(D479:AA479)</f>
        <v>1.6800245947273772E-2</v>
      </c>
      <c r="AC479" s="143"/>
    </row>
    <row r="480" spans="1:29">
      <c r="A480" s="260"/>
      <c r="C480" t="s">
        <v>220</v>
      </c>
      <c r="D480" s="141">
        <v>1</v>
      </c>
      <c r="E480" s="141">
        <v>1</v>
      </c>
      <c r="F480" s="141">
        <v>0.995</v>
      </c>
      <c r="G480" s="141">
        <v>0.995</v>
      </c>
      <c r="H480" s="141">
        <v>1</v>
      </c>
      <c r="I480" s="141">
        <v>0.94499999999999995</v>
      </c>
      <c r="J480" s="142">
        <v>0.96</v>
      </c>
      <c r="K480" s="141">
        <v>1.0049999999999999</v>
      </c>
      <c r="L480" s="141">
        <v>1.0049999999999999</v>
      </c>
      <c r="M480" s="141">
        <v>0.99</v>
      </c>
      <c r="N480" s="141">
        <v>0.99</v>
      </c>
      <c r="O480" s="141">
        <v>1.0249999999999999</v>
      </c>
      <c r="P480" s="142">
        <v>1.0149999999999999</v>
      </c>
      <c r="Q480" s="141">
        <v>1</v>
      </c>
      <c r="R480" s="141">
        <v>0.99</v>
      </c>
      <c r="S480" s="141">
        <v>0.99</v>
      </c>
      <c r="T480" s="141">
        <v>0.995</v>
      </c>
      <c r="U480" s="141">
        <v>1.0049999999999999</v>
      </c>
      <c r="V480" s="142">
        <v>0.995</v>
      </c>
      <c r="W480" s="141">
        <v>0.995</v>
      </c>
      <c r="X480" s="141">
        <v>1.05</v>
      </c>
      <c r="Y480" s="141">
        <v>0.99</v>
      </c>
      <c r="Z480" s="141">
        <v>1.0049999999999999</v>
      </c>
      <c r="AA480" s="141">
        <v>1.0049999999999999</v>
      </c>
      <c r="AB480" s="143">
        <f>_xlfn.STDEV.P(D480:AA480)</f>
        <v>1.8928548030833096E-2</v>
      </c>
      <c r="AC480" s="143"/>
    </row>
    <row r="481" spans="1:29">
      <c r="A481" s="260"/>
      <c r="C481" t="s">
        <v>221</v>
      </c>
      <c r="D481" s="144">
        <v>0.55000000000000004</v>
      </c>
      <c r="E481" s="144">
        <v>0.55000000000000004</v>
      </c>
      <c r="F481" s="144">
        <v>0.56499999999999995</v>
      </c>
      <c r="G481" s="144">
        <v>0.57499999999999996</v>
      </c>
      <c r="H481" s="144">
        <v>0.57499999999999996</v>
      </c>
      <c r="I481" s="141">
        <v>0.58499999999999996</v>
      </c>
      <c r="J481" s="145">
        <v>0.61</v>
      </c>
      <c r="K481" s="144">
        <v>0.56999999999999995</v>
      </c>
      <c r="L481" s="144">
        <v>0.55500000000000005</v>
      </c>
      <c r="M481" s="144">
        <v>0.57999999999999996</v>
      </c>
      <c r="N481" s="144">
        <v>0.57999999999999996</v>
      </c>
      <c r="O481" s="141">
        <v>0.59</v>
      </c>
      <c r="P481" s="145">
        <v>0.56000000000000005</v>
      </c>
      <c r="Q481" s="144">
        <v>0.54</v>
      </c>
      <c r="R481" s="144">
        <v>0.57499999999999996</v>
      </c>
      <c r="S481" s="144">
        <v>0.59</v>
      </c>
      <c r="T481" s="144">
        <v>0.56499999999999995</v>
      </c>
      <c r="U481" s="141">
        <v>0.59</v>
      </c>
      <c r="V481" s="145">
        <v>0.56499999999999995</v>
      </c>
      <c r="W481" s="144">
        <v>0.56499999999999995</v>
      </c>
      <c r="X481" s="144">
        <v>0.55000000000000004</v>
      </c>
      <c r="Y481" s="144">
        <v>0.56000000000000005</v>
      </c>
      <c r="Z481" s="144">
        <v>0.55000000000000004</v>
      </c>
      <c r="AA481" s="144">
        <v>0.55000000000000004</v>
      </c>
      <c r="AB481" s="143">
        <f>_xlfn.STDEV.P(D481:AA481)</f>
        <v>1.667577875909312E-2</v>
      </c>
      <c r="AC481" s="146"/>
    </row>
    <row r="482" spans="1:29">
      <c r="A482" s="260"/>
      <c r="B482" s="147" t="s">
        <v>1851</v>
      </c>
      <c r="D482" s="148" t="s">
        <v>1794</v>
      </c>
      <c r="E482" s="148" t="s">
        <v>1796</v>
      </c>
      <c r="F482" s="148" t="s">
        <v>1796</v>
      </c>
      <c r="G482" s="148" t="s">
        <v>1795</v>
      </c>
      <c r="H482" s="148" t="s">
        <v>1795</v>
      </c>
      <c r="I482" s="149" t="s">
        <v>1794</v>
      </c>
      <c r="J482" s="150" t="s">
        <v>1794</v>
      </c>
      <c r="K482" s="148" t="s">
        <v>1796</v>
      </c>
      <c r="L482" s="148" t="s">
        <v>1796</v>
      </c>
      <c r="M482" s="148" t="s">
        <v>1803</v>
      </c>
      <c r="N482" s="148" t="s">
        <v>1794</v>
      </c>
      <c r="O482" s="149" t="s">
        <v>1794</v>
      </c>
      <c r="P482" s="150" t="s">
        <v>1794</v>
      </c>
      <c r="Q482" s="148" t="s">
        <v>1794</v>
      </c>
      <c r="R482" s="148" t="s">
        <v>1794</v>
      </c>
      <c r="S482" s="148" t="s">
        <v>1796</v>
      </c>
      <c r="T482" s="148" t="s">
        <v>1796</v>
      </c>
      <c r="U482" s="149" t="s">
        <v>1794</v>
      </c>
      <c r="V482" s="150" t="s">
        <v>1794</v>
      </c>
      <c r="W482" s="148" t="s">
        <v>1794</v>
      </c>
      <c r="X482" s="148" t="s">
        <v>1794</v>
      </c>
      <c r="Y482" s="148" t="s">
        <v>1796</v>
      </c>
      <c r="Z482" s="148" t="s">
        <v>1796</v>
      </c>
      <c r="AA482" s="148" t="s">
        <v>1794</v>
      </c>
      <c r="AB482" s="143"/>
      <c r="AC482" s="151" t="s">
        <v>1828</v>
      </c>
    </row>
    <row r="483" spans="1:29">
      <c r="A483" s="260"/>
      <c r="B483" t="s">
        <v>1853</v>
      </c>
      <c r="C483" t="s">
        <v>40</v>
      </c>
      <c r="D483" s="141">
        <v>0.44500000000000001</v>
      </c>
      <c r="E483" s="141">
        <v>0.46</v>
      </c>
      <c r="F483" s="141">
        <v>0.47</v>
      </c>
      <c r="G483" s="141">
        <v>0.47</v>
      </c>
      <c r="H483" s="141">
        <v>0.47</v>
      </c>
      <c r="I483" s="141">
        <v>0.46500000000000002</v>
      </c>
      <c r="J483" s="142">
        <v>0.48</v>
      </c>
      <c r="K483" s="141">
        <v>0.48</v>
      </c>
      <c r="L483" s="141">
        <v>0.47499999999999998</v>
      </c>
      <c r="M483" s="141">
        <v>0.45</v>
      </c>
      <c r="N483" s="141">
        <v>0.54500000000000004</v>
      </c>
      <c r="O483" s="141">
        <v>0.47499999999999998</v>
      </c>
      <c r="P483" s="142">
        <v>0.44</v>
      </c>
      <c r="Q483" s="141">
        <v>0.45500000000000002</v>
      </c>
      <c r="R483" s="141">
        <v>0.41</v>
      </c>
      <c r="S483" s="141">
        <v>0.43</v>
      </c>
      <c r="T483" s="141">
        <v>0.43</v>
      </c>
      <c r="U483" s="141">
        <v>0.46</v>
      </c>
      <c r="V483" s="142">
        <v>0.44</v>
      </c>
      <c r="W483" s="141">
        <v>0.44500000000000001</v>
      </c>
      <c r="X483" s="141">
        <v>0.45</v>
      </c>
      <c r="Y483" s="141">
        <v>0.48499999999999999</v>
      </c>
      <c r="Z483" s="141">
        <v>0.48</v>
      </c>
      <c r="AA483" s="141">
        <v>0.49</v>
      </c>
      <c r="AB483" s="143">
        <f>_xlfn.STDEV.P(D483:AA483)</f>
        <v>2.6100766272276376E-2</v>
      </c>
      <c r="AC483" s="143"/>
    </row>
    <row r="484" spans="1:29">
      <c r="A484" s="260"/>
      <c r="C484" t="s">
        <v>220</v>
      </c>
      <c r="D484" s="141">
        <v>1.0049999999999999</v>
      </c>
      <c r="E484" s="141">
        <v>1</v>
      </c>
      <c r="F484" s="141">
        <v>1</v>
      </c>
      <c r="G484" s="141">
        <v>0.99</v>
      </c>
      <c r="H484" s="141">
        <v>0.99</v>
      </c>
      <c r="I484" s="141">
        <v>1.0549999999999999</v>
      </c>
      <c r="J484" s="142">
        <v>1.0549999999999999</v>
      </c>
      <c r="K484" s="141">
        <v>1</v>
      </c>
      <c r="L484" s="141">
        <v>1.0049999999999999</v>
      </c>
      <c r="M484" s="141">
        <v>1</v>
      </c>
      <c r="N484" s="141">
        <v>1.0049999999999999</v>
      </c>
      <c r="O484" s="141">
        <v>1</v>
      </c>
      <c r="P484" s="142">
        <v>1.02</v>
      </c>
      <c r="Q484" s="141">
        <v>1.01</v>
      </c>
      <c r="R484" s="141">
        <v>0.98499999999999999</v>
      </c>
      <c r="S484" s="141">
        <v>1.01</v>
      </c>
      <c r="T484" s="141">
        <v>1.01</v>
      </c>
      <c r="U484" s="141">
        <v>0.99</v>
      </c>
      <c r="V484" s="142">
        <v>1.01</v>
      </c>
      <c r="W484" s="141">
        <v>1</v>
      </c>
      <c r="X484" s="141">
        <v>1.01</v>
      </c>
      <c r="Y484" s="141">
        <v>0.99</v>
      </c>
      <c r="Z484" s="141">
        <v>0.97499999999999998</v>
      </c>
      <c r="AA484" s="141">
        <v>1</v>
      </c>
      <c r="AB484" s="143">
        <f>_xlfn.STDEV.P(D484:AA484)</f>
        <v>1.7939665471301908E-2</v>
      </c>
      <c r="AC484" s="143"/>
    </row>
    <row r="485" spans="1:29">
      <c r="A485" s="260"/>
      <c r="C485" t="s">
        <v>221</v>
      </c>
      <c r="D485" s="144">
        <v>0.57999999999999996</v>
      </c>
      <c r="E485" s="144">
        <v>0.57999999999999996</v>
      </c>
      <c r="F485" s="144">
        <v>0.61499999999999999</v>
      </c>
      <c r="G485" s="144">
        <v>0.55500000000000005</v>
      </c>
      <c r="H485" s="144">
        <v>0.55500000000000005</v>
      </c>
      <c r="I485" s="141">
        <v>0.56000000000000005</v>
      </c>
      <c r="J485" s="145">
        <v>0.55500000000000005</v>
      </c>
      <c r="K485" s="144">
        <v>0.55500000000000005</v>
      </c>
      <c r="L485" s="144">
        <v>0.56499999999999995</v>
      </c>
      <c r="M485" s="144">
        <v>0.56999999999999995</v>
      </c>
      <c r="N485" s="144">
        <v>0.59</v>
      </c>
      <c r="O485" s="141">
        <v>0.54500000000000004</v>
      </c>
      <c r="P485" s="145">
        <v>0.55500000000000005</v>
      </c>
      <c r="Q485" s="144">
        <v>0.6</v>
      </c>
      <c r="R485" s="144">
        <v>0.54</v>
      </c>
      <c r="S485" s="144">
        <v>0.54</v>
      </c>
      <c r="T485" s="144">
        <v>0.54</v>
      </c>
      <c r="U485" s="141">
        <v>0.57499999999999996</v>
      </c>
      <c r="V485" s="145">
        <v>0.56000000000000005</v>
      </c>
      <c r="W485" s="144">
        <v>0.54500000000000004</v>
      </c>
      <c r="X485" s="144">
        <v>0.56499999999999995</v>
      </c>
      <c r="Y485" s="144">
        <v>0.55500000000000005</v>
      </c>
      <c r="Z485" s="144">
        <v>0.56000000000000005</v>
      </c>
      <c r="AA485" s="144">
        <v>0.56000000000000005</v>
      </c>
      <c r="AB485" s="143">
        <f>_xlfn.STDEV.P(D485:AA485)</f>
        <v>1.852175897574403E-2</v>
      </c>
      <c r="AC485" s="146"/>
    </row>
    <row r="486" spans="1:29">
      <c r="A486" s="260"/>
      <c r="B486" s="147" t="s">
        <v>1854</v>
      </c>
      <c r="D486" s="148" t="s">
        <v>1794</v>
      </c>
      <c r="E486" s="148" t="s">
        <v>1796</v>
      </c>
      <c r="F486" s="148" t="s">
        <v>1796</v>
      </c>
      <c r="G486" s="148" t="s">
        <v>1795</v>
      </c>
      <c r="H486" s="148" t="s">
        <v>1803</v>
      </c>
      <c r="I486" s="149" t="s">
        <v>1794</v>
      </c>
      <c r="J486" s="150" t="s">
        <v>1794</v>
      </c>
      <c r="K486" s="148" t="s">
        <v>1803</v>
      </c>
      <c r="L486" s="148" t="s">
        <v>1794</v>
      </c>
      <c r="M486" s="148" t="s">
        <v>1796</v>
      </c>
      <c r="N486" s="148" t="s">
        <v>1796</v>
      </c>
      <c r="O486" s="149" t="s">
        <v>1794</v>
      </c>
      <c r="P486" s="150" t="s">
        <v>1794</v>
      </c>
      <c r="Q486" s="148" t="s">
        <v>1794</v>
      </c>
      <c r="R486" s="148" t="s">
        <v>1796</v>
      </c>
      <c r="S486" s="148" t="s">
        <v>1796</v>
      </c>
      <c r="T486" s="148" t="s">
        <v>1794</v>
      </c>
      <c r="U486" s="149" t="s">
        <v>1794</v>
      </c>
      <c r="V486" s="150" t="s">
        <v>1794</v>
      </c>
      <c r="W486" s="148" t="s">
        <v>1794</v>
      </c>
      <c r="X486" s="148" t="s">
        <v>1794</v>
      </c>
      <c r="Y486" s="148" t="s">
        <v>1803</v>
      </c>
      <c r="Z486" s="148" t="s">
        <v>1794</v>
      </c>
      <c r="AA486" s="148" t="s">
        <v>1794</v>
      </c>
      <c r="AB486" s="143"/>
      <c r="AC486" s="151" t="s">
        <v>1924</v>
      </c>
    </row>
    <row r="487" spans="1:29">
      <c r="A487" s="260"/>
      <c r="B487" t="s">
        <v>1856</v>
      </c>
      <c r="C487" t="s">
        <v>40</v>
      </c>
      <c r="D487" s="141">
        <v>0.46500000000000002</v>
      </c>
      <c r="E487" s="141">
        <v>0.46</v>
      </c>
      <c r="F487" s="141">
        <v>0.45500000000000002</v>
      </c>
      <c r="G487" s="141">
        <v>0.45500000000000002</v>
      </c>
      <c r="H487" s="141">
        <v>0.41499999999999998</v>
      </c>
      <c r="I487" s="141">
        <v>0.435</v>
      </c>
      <c r="J487" s="142">
        <v>0.44500000000000001</v>
      </c>
      <c r="K487" s="141">
        <v>0.46500000000000002</v>
      </c>
      <c r="L487" s="141">
        <v>0.48</v>
      </c>
      <c r="M487" s="141">
        <v>0.44500000000000001</v>
      </c>
      <c r="N487" s="141">
        <v>0.36499999999999999</v>
      </c>
      <c r="O487" s="141">
        <v>0.49</v>
      </c>
      <c r="P487" s="142">
        <v>0.435</v>
      </c>
      <c r="Q487" s="141">
        <v>0.40500000000000003</v>
      </c>
      <c r="R487" s="141">
        <v>0.48499999999999999</v>
      </c>
      <c r="S487" s="141">
        <v>0.44</v>
      </c>
      <c r="T487" s="141">
        <v>0.44</v>
      </c>
      <c r="U487" s="141">
        <v>0.43</v>
      </c>
      <c r="V487" s="142">
        <v>0.45</v>
      </c>
      <c r="W487" s="141">
        <v>0.47</v>
      </c>
      <c r="X487" s="141">
        <v>0.44500000000000001</v>
      </c>
      <c r="Y487" s="141">
        <v>0.45</v>
      </c>
      <c r="Z487" s="141">
        <v>0.43</v>
      </c>
      <c r="AA487" s="141">
        <v>0.52500000000000002</v>
      </c>
      <c r="AB487" s="143">
        <f>_xlfn.STDEV.P(D487:AA487)</f>
        <v>3.0505008696205212E-2</v>
      </c>
      <c r="AC487" s="143"/>
    </row>
    <row r="488" spans="1:29">
      <c r="A488" s="260"/>
      <c r="C488" t="s">
        <v>220</v>
      </c>
      <c r="D488" s="141">
        <v>1.0049999999999999</v>
      </c>
      <c r="E488" s="141">
        <v>1</v>
      </c>
      <c r="F488" s="141">
        <v>0.98499999999999999</v>
      </c>
      <c r="G488" s="141">
        <v>0.98499999999999999</v>
      </c>
      <c r="H488" s="141">
        <v>0.98</v>
      </c>
      <c r="I488" s="141">
        <v>1.01</v>
      </c>
      <c r="J488" s="142">
        <v>0.98</v>
      </c>
      <c r="K488" s="141">
        <v>1.01</v>
      </c>
      <c r="L488" s="141">
        <v>0.9</v>
      </c>
      <c r="M488" s="141">
        <v>1</v>
      </c>
      <c r="N488" s="141">
        <v>1.01</v>
      </c>
      <c r="O488" s="141">
        <v>0.99</v>
      </c>
      <c r="P488" s="142">
        <v>1</v>
      </c>
      <c r="Q488" s="141">
        <v>1</v>
      </c>
      <c r="R488" s="141">
        <v>0.99</v>
      </c>
      <c r="S488" s="141">
        <v>1.02</v>
      </c>
      <c r="T488" s="141">
        <v>1.02</v>
      </c>
      <c r="U488" s="141">
        <v>1</v>
      </c>
      <c r="V488" s="142">
        <v>0.99</v>
      </c>
      <c r="W488" s="141">
        <v>1.0149999999999999</v>
      </c>
      <c r="X488" s="141">
        <v>0.94</v>
      </c>
      <c r="Y488" s="141">
        <v>1.02</v>
      </c>
      <c r="Z488" s="141">
        <v>1.02</v>
      </c>
      <c r="AA488" s="141">
        <v>0.995</v>
      </c>
      <c r="AB488" s="143">
        <f>_xlfn.STDEV.P(D488:AA488)</f>
        <v>2.6272311946229629E-2</v>
      </c>
      <c r="AC488" s="143"/>
    </row>
    <row r="489" spans="1:29">
      <c r="A489" s="260"/>
      <c r="C489" t="s">
        <v>221</v>
      </c>
      <c r="D489" s="144">
        <v>0.56000000000000005</v>
      </c>
      <c r="E489" s="144">
        <v>0.55500000000000005</v>
      </c>
      <c r="F489" s="144">
        <v>0.54</v>
      </c>
      <c r="G489" s="144">
        <v>0.54</v>
      </c>
      <c r="H489" s="144">
        <v>0.59</v>
      </c>
      <c r="I489" s="141">
        <v>0.56000000000000005</v>
      </c>
      <c r="J489" s="145">
        <v>0.59</v>
      </c>
      <c r="K489" s="144">
        <v>0.54500000000000004</v>
      </c>
      <c r="L489" s="144">
        <v>0.65</v>
      </c>
      <c r="M489" s="144">
        <v>0.57999999999999996</v>
      </c>
      <c r="N489" s="144">
        <v>0.56000000000000005</v>
      </c>
      <c r="O489" s="141">
        <v>0.56999999999999995</v>
      </c>
      <c r="P489" s="145">
        <v>0.55000000000000004</v>
      </c>
      <c r="Q489" s="144">
        <v>0.57499999999999996</v>
      </c>
      <c r="R489" s="144">
        <v>0.55000000000000004</v>
      </c>
      <c r="S489" s="144">
        <v>0.55500000000000005</v>
      </c>
      <c r="T489" s="144">
        <v>0.55500000000000005</v>
      </c>
      <c r="U489" s="141">
        <v>0.56499999999999995</v>
      </c>
      <c r="V489" s="145">
        <v>0.56999999999999995</v>
      </c>
      <c r="W489" s="144">
        <v>0.55000000000000004</v>
      </c>
      <c r="X489" s="144">
        <v>0.59</v>
      </c>
      <c r="Y489" s="144">
        <v>0.56499999999999995</v>
      </c>
      <c r="Z489" s="144">
        <v>0.56000000000000005</v>
      </c>
      <c r="AA489" s="144">
        <v>0.56499999999999995</v>
      </c>
      <c r="AB489" s="143">
        <f>_xlfn.STDEV.P(D489:AA489)</f>
        <v>2.2511571098733481E-2</v>
      </c>
      <c r="AC489" s="146"/>
    </row>
    <row r="490" spans="1:29">
      <c r="A490" s="260"/>
      <c r="B490" s="147" t="s">
        <v>1857</v>
      </c>
      <c r="D490" s="148" t="s">
        <v>1794</v>
      </c>
      <c r="E490" s="148" t="s">
        <v>1796</v>
      </c>
      <c r="F490" s="148" t="s">
        <v>1796</v>
      </c>
      <c r="G490" s="148" t="s">
        <v>1803</v>
      </c>
      <c r="H490" s="148" t="s">
        <v>1795</v>
      </c>
      <c r="I490" s="149" t="s">
        <v>1794</v>
      </c>
      <c r="J490" s="150" t="s">
        <v>1794</v>
      </c>
      <c r="K490" s="148" t="s">
        <v>1796</v>
      </c>
      <c r="L490" s="148" t="s">
        <v>1795</v>
      </c>
      <c r="M490" s="148" t="s">
        <v>1796</v>
      </c>
      <c r="N490" s="148" t="s">
        <v>1794</v>
      </c>
      <c r="O490" s="149" t="s">
        <v>1794</v>
      </c>
      <c r="P490" s="150" t="s">
        <v>1796</v>
      </c>
      <c r="Q490" s="148" t="s">
        <v>1794</v>
      </c>
      <c r="R490" s="148" t="s">
        <v>1796</v>
      </c>
      <c r="S490" s="148" t="s">
        <v>1796</v>
      </c>
      <c r="T490" s="148" t="s">
        <v>1796</v>
      </c>
      <c r="U490" s="149" t="s">
        <v>1794</v>
      </c>
      <c r="V490" s="150" t="s">
        <v>1794</v>
      </c>
      <c r="W490" s="148" t="s">
        <v>1794</v>
      </c>
      <c r="X490" s="148" t="s">
        <v>1794</v>
      </c>
      <c r="Y490" s="148" t="s">
        <v>1794</v>
      </c>
      <c r="Z490" s="148" t="s">
        <v>1794</v>
      </c>
      <c r="AA490" s="148" t="s">
        <v>1794</v>
      </c>
      <c r="AB490" s="143"/>
      <c r="AC490" s="151" t="s">
        <v>1828</v>
      </c>
    </row>
    <row r="491" spans="1:29">
      <c r="A491" s="260"/>
      <c r="B491" t="s">
        <v>1858</v>
      </c>
      <c r="C491" t="s">
        <v>40</v>
      </c>
      <c r="D491" s="141">
        <v>0.46</v>
      </c>
      <c r="E491" s="141">
        <v>0.45</v>
      </c>
      <c r="F491" s="141">
        <v>0.42499999999999999</v>
      </c>
      <c r="G491" s="141">
        <v>0.47499999999999998</v>
      </c>
      <c r="H491" s="141">
        <v>0.47499999999999998</v>
      </c>
      <c r="I491" s="141">
        <v>0.44</v>
      </c>
      <c r="J491" s="142">
        <v>0.45</v>
      </c>
      <c r="K491" s="141">
        <v>0.435</v>
      </c>
      <c r="L491" s="141">
        <v>0.45</v>
      </c>
      <c r="M491" s="141">
        <v>0.44</v>
      </c>
      <c r="N491" s="141">
        <v>0.56499999999999995</v>
      </c>
      <c r="O491" s="141">
        <v>0.42499999999999999</v>
      </c>
      <c r="P491" s="142">
        <v>0.48</v>
      </c>
      <c r="Q491" s="141">
        <v>0.43</v>
      </c>
      <c r="R491" s="141">
        <v>0.44</v>
      </c>
      <c r="S491" s="141">
        <v>0.435</v>
      </c>
      <c r="T491" s="141">
        <v>0.435</v>
      </c>
      <c r="U491" s="141">
        <v>0.45500000000000002</v>
      </c>
      <c r="V491" s="142">
        <v>0.45</v>
      </c>
      <c r="W491" s="141">
        <v>0.45500000000000002</v>
      </c>
      <c r="X491" s="141">
        <v>0.435</v>
      </c>
      <c r="Y491" s="141">
        <v>0.46</v>
      </c>
      <c r="Z491" s="141">
        <v>0.42499999999999999</v>
      </c>
      <c r="AA491" s="141">
        <v>0.495</v>
      </c>
      <c r="AB491" s="143">
        <f>_xlfn.STDEV.P(D491:AA491)</f>
        <v>2.9456152677421316E-2</v>
      </c>
      <c r="AC491" s="143"/>
    </row>
    <row r="492" spans="1:29">
      <c r="A492" s="260"/>
      <c r="C492" t="s">
        <v>220</v>
      </c>
      <c r="D492" s="141">
        <v>1.0049999999999999</v>
      </c>
      <c r="E492" s="141">
        <v>1.01</v>
      </c>
      <c r="F492" s="141">
        <v>1.0449999999999999</v>
      </c>
      <c r="G492" s="141">
        <v>1.0049999999999999</v>
      </c>
      <c r="H492" s="141">
        <v>1.0049999999999999</v>
      </c>
      <c r="I492" s="141">
        <v>0.93500000000000005</v>
      </c>
      <c r="J492" s="142">
        <v>0.96499999999999997</v>
      </c>
      <c r="K492" s="141">
        <v>0.94</v>
      </c>
      <c r="L492" s="141">
        <v>0.98</v>
      </c>
      <c r="M492" s="141">
        <v>1</v>
      </c>
      <c r="N492" s="141">
        <v>0.995</v>
      </c>
      <c r="O492" s="141">
        <v>1</v>
      </c>
      <c r="P492" s="142">
        <v>1</v>
      </c>
      <c r="Q492" s="141">
        <v>0.99</v>
      </c>
      <c r="R492" s="141">
        <v>1.0049999999999999</v>
      </c>
      <c r="S492" s="141">
        <v>1.0049999999999999</v>
      </c>
      <c r="T492" s="141">
        <v>1.0049999999999999</v>
      </c>
      <c r="U492" s="141">
        <v>1.0049999999999999</v>
      </c>
      <c r="V492" s="142">
        <v>1</v>
      </c>
      <c r="W492" s="141">
        <v>1.0049999999999999</v>
      </c>
      <c r="X492" s="141">
        <v>0.95499999999999996</v>
      </c>
      <c r="Y492" s="141">
        <v>0.99</v>
      </c>
      <c r="Z492" s="141">
        <v>1.0349999999999999</v>
      </c>
      <c r="AA492" s="141">
        <v>0.98499999999999999</v>
      </c>
      <c r="AB492" s="143">
        <f>_xlfn.STDEV.P(D492:AA492)</f>
        <v>2.4761886876138207E-2</v>
      </c>
      <c r="AC492" s="143"/>
    </row>
    <row r="493" spans="1:29">
      <c r="A493" s="260"/>
      <c r="C493" t="s">
        <v>221</v>
      </c>
      <c r="D493" s="144">
        <v>0.56000000000000005</v>
      </c>
      <c r="E493" s="144">
        <v>0.57999999999999996</v>
      </c>
      <c r="F493" s="144">
        <v>0.55000000000000004</v>
      </c>
      <c r="G493" s="144">
        <v>0.6</v>
      </c>
      <c r="H493" s="144">
        <v>0.6</v>
      </c>
      <c r="I493" s="141">
        <v>0.58499999999999996</v>
      </c>
      <c r="J493" s="145">
        <v>0.57499999999999996</v>
      </c>
      <c r="K493" s="144">
        <v>0.59</v>
      </c>
      <c r="L493" s="144">
        <v>0.57999999999999996</v>
      </c>
      <c r="M493" s="144">
        <v>0.56000000000000005</v>
      </c>
      <c r="N493" s="144">
        <v>0.55500000000000005</v>
      </c>
      <c r="O493" s="141">
        <v>0.53</v>
      </c>
      <c r="P493" s="145">
        <v>0.56499999999999995</v>
      </c>
      <c r="Q493" s="144">
        <v>0.55500000000000005</v>
      </c>
      <c r="R493" s="144">
        <v>0.56499999999999995</v>
      </c>
      <c r="S493" s="144">
        <v>0.55500000000000005</v>
      </c>
      <c r="T493" s="144">
        <v>0.55500000000000005</v>
      </c>
      <c r="U493" s="141">
        <v>0.56499999999999995</v>
      </c>
      <c r="V493" s="145">
        <v>0.56499999999999995</v>
      </c>
      <c r="W493" s="144">
        <v>0.56499999999999995</v>
      </c>
      <c r="X493" s="144">
        <v>0.58499999999999996</v>
      </c>
      <c r="Y493" s="144">
        <v>0.56499999999999995</v>
      </c>
      <c r="Z493" s="144">
        <v>0.55500000000000005</v>
      </c>
      <c r="AA493" s="144">
        <v>0.56499999999999995</v>
      </c>
      <c r="AB493" s="143">
        <f>_xlfn.STDEV.P(D493:AA493)</f>
        <v>1.6136085767276032E-2</v>
      </c>
      <c r="AC493" s="146"/>
    </row>
    <row r="494" spans="1:29">
      <c r="A494" s="260"/>
      <c r="B494" s="147" t="s">
        <v>1859</v>
      </c>
      <c r="D494" s="148" t="s">
        <v>1794</v>
      </c>
      <c r="E494" s="148" t="s">
        <v>1796</v>
      </c>
      <c r="F494" s="148" t="s">
        <v>1796</v>
      </c>
      <c r="G494" s="148" t="s">
        <v>1803</v>
      </c>
      <c r="H494" s="148" t="s">
        <v>1796</v>
      </c>
      <c r="I494" s="149" t="s">
        <v>1795</v>
      </c>
      <c r="J494" s="150" t="s">
        <v>1794</v>
      </c>
      <c r="K494" s="148" t="s">
        <v>1796</v>
      </c>
      <c r="L494" s="148" t="s">
        <v>1794</v>
      </c>
      <c r="M494" s="148" t="s">
        <v>1794</v>
      </c>
      <c r="N494" s="148" t="s">
        <v>1794</v>
      </c>
      <c r="O494" s="149" t="s">
        <v>1794</v>
      </c>
      <c r="P494" s="150" t="s">
        <v>1795</v>
      </c>
      <c r="Q494" s="148" t="s">
        <v>1794</v>
      </c>
      <c r="R494" s="148" t="s">
        <v>1796</v>
      </c>
      <c r="S494" s="148" t="s">
        <v>1796</v>
      </c>
      <c r="T494" s="148" t="s">
        <v>1796</v>
      </c>
      <c r="U494" s="149" t="s">
        <v>1794</v>
      </c>
      <c r="V494" s="150" t="s">
        <v>1794</v>
      </c>
      <c r="W494" s="148" t="s">
        <v>1794</v>
      </c>
      <c r="X494" s="148" t="s">
        <v>1794</v>
      </c>
      <c r="Y494" s="148" t="s">
        <v>1796</v>
      </c>
      <c r="Z494" s="148" t="s">
        <v>1796</v>
      </c>
      <c r="AA494" s="148" t="s">
        <v>1794</v>
      </c>
      <c r="AB494" s="143"/>
      <c r="AC494" s="151" t="s">
        <v>1894</v>
      </c>
    </row>
    <row r="495" spans="1:29">
      <c r="A495" s="260"/>
      <c r="B495" t="s">
        <v>1861</v>
      </c>
      <c r="C495" t="s">
        <v>40</v>
      </c>
      <c r="D495" s="141">
        <v>0.44500000000000001</v>
      </c>
      <c r="E495" s="141">
        <v>0.45500000000000002</v>
      </c>
      <c r="F495" s="141">
        <v>0.44500000000000001</v>
      </c>
      <c r="G495" s="141">
        <v>0.44</v>
      </c>
      <c r="H495" s="141">
        <v>0.46</v>
      </c>
      <c r="I495" s="141">
        <v>0.46</v>
      </c>
      <c r="J495" s="142">
        <v>0.44</v>
      </c>
      <c r="K495" s="141">
        <v>0.47</v>
      </c>
      <c r="L495" s="141">
        <v>0.46500000000000002</v>
      </c>
      <c r="M495" s="141">
        <v>0.45500000000000002</v>
      </c>
      <c r="N495" s="141">
        <v>0.35</v>
      </c>
      <c r="O495" s="141">
        <v>0.48</v>
      </c>
      <c r="P495" s="142">
        <v>0.44500000000000001</v>
      </c>
      <c r="Q495" s="141">
        <v>0.44500000000000001</v>
      </c>
      <c r="R495" s="141">
        <v>0.4</v>
      </c>
      <c r="S495" s="141">
        <v>0.48</v>
      </c>
      <c r="T495" s="141">
        <v>0.45500000000000002</v>
      </c>
      <c r="U495" s="141">
        <v>0.45500000000000002</v>
      </c>
      <c r="V495" s="142">
        <v>0.44500000000000001</v>
      </c>
      <c r="W495" s="141">
        <v>0.46</v>
      </c>
      <c r="X495" s="141">
        <v>0.46500000000000002</v>
      </c>
      <c r="Y495" s="141">
        <v>0.46500000000000002</v>
      </c>
      <c r="Z495" s="141">
        <v>0.47499999999999998</v>
      </c>
      <c r="AA495" s="141">
        <v>0.44500000000000001</v>
      </c>
      <c r="AB495" s="143">
        <f>_xlfn.STDEV.P(D495:AA495)</f>
        <v>2.641811247357893E-2</v>
      </c>
      <c r="AC495" s="143"/>
    </row>
    <row r="496" spans="1:29">
      <c r="A496" s="260"/>
      <c r="C496" t="s">
        <v>220</v>
      </c>
      <c r="D496" s="141">
        <v>1.0049999999999999</v>
      </c>
      <c r="E496" s="141">
        <v>1</v>
      </c>
      <c r="F496" s="141">
        <v>0.95499999999999996</v>
      </c>
      <c r="G496" s="141">
        <v>1</v>
      </c>
      <c r="H496" s="141">
        <v>0.90500000000000003</v>
      </c>
      <c r="I496" s="141">
        <v>0.90500000000000003</v>
      </c>
      <c r="J496" s="142">
        <v>1.0049999999999999</v>
      </c>
      <c r="K496" s="141">
        <v>1.05</v>
      </c>
      <c r="L496" s="141">
        <v>1.01</v>
      </c>
      <c r="M496" s="141">
        <v>1.0049999999999999</v>
      </c>
      <c r="N496" s="141">
        <v>1.0049999999999999</v>
      </c>
      <c r="O496" s="141">
        <v>1.0049999999999999</v>
      </c>
      <c r="P496" s="142">
        <v>1.0149999999999999</v>
      </c>
      <c r="Q496" s="141">
        <v>1.01</v>
      </c>
      <c r="R496" s="141">
        <v>1.02</v>
      </c>
      <c r="S496" s="141">
        <v>1</v>
      </c>
      <c r="T496" s="141">
        <v>0.99</v>
      </c>
      <c r="U496" s="141">
        <v>0.99</v>
      </c>
      <c r="V496" s="142">
        <v>1</v>
      </c>
      <c r="W496" s="141">
        <v>0.995</v>
      </c>
      <c r="X496" s="141">
        <v>0.99</v>
      </c>
      <c r="Y496" s="141">
        <v>0.99</v>
      </c>
      <c r="Z496" s="141">
        <v>0.98499999999999999</v>
      </c>
      <c r="AA496" s="141">
        <v>1.0049999999999999</v>
      </c>
      <c r="AB496" s="143">
        <f>_xlfn.STDEV.P(D496:AA496)</f>
        <v>3.1046560016995257E-2</v>
      </c>
      <c r="AC496" s="143"/>
    </row>
    <row r="497" spans="1:29">
      <c r="A497" s="260"/>
      <c r="C497" t="s">
        <v>221</v>
      </c>
      <c r="D497" s="144">
        <v>0.56000000000000005</v>
      </c>
      <c r="E497" s="144">
        <v>0.57499999999999996</v>
      </c>
      <c r="F497" s="144">
        <v>0.59499999999999997</v>
      </c>
      <c r="G497" s="144">
        <v>0.59</v>
      </c>
      <c r="H497" s="144">
        <v>0.61</v>
      </c>
      <c r="I497" s="141">
        <v>0.61</v>
      </c>
      <c r="J497" s="145">
        <v>0.57999999999999996</v>
      </c>
      <c r="K497" s="144">
        <v>0.56999999999999995</v>
      </c>
      <c r="L497" s="144">
        <v>0.57999999999999996</v>
      </c>
      <c r="M497" s="144">
        <v>0.56999999999999995</v>
      </c>
      <c r="N497" s="144">
        <v>0.56000000000000005</v>
      </c>
      <c r="O497" s="141">
        <v>0.55500000000000005</v>
      </c>
      <c r="P497" s="145">
        <v>0.55000000000000004</v>
      </c>
      <c r="Q497" s="144">
        <v>0.56499999999999995</v>
      </c>
      <c r="R497" s="144">
        <v>0.55000000000000004</v>
      </c>
      <c r="S497" s="144">
        <v>0.59499999999999997</v>
      </c>
      <c r="T497" s="144">
        <v>0.55500000000000005</v>
      </c>
      <c r="U497" s="141">
        <v>0.55500000000000005</v>
      </c>
      <c r="V497" s="145">
        <v>0.56499999999999995</v>
      </c>
      <c r="W497" s="144">
        <v>0.55500000000000005</v>
      </c>
      <c r="X497" s="144">
        <v>0.56499999999999995</v>
      </c>
      <c r="Y497" s="144">
        <v>0.56499999999999995</v>
      </c>
      <c r="Z497" s="144">
        <v>0.55500000000000005</v>
      </c>
      <c r="AA497" s="144">
        <v>0.53</v>
      </c>
      <c r="AB497" s="143">
        <f>_xlfn.STDEV.P(D497:AA497)</f>
        <v>1.9238993967691968E-2</v>
      </c>
      <c r="AC497" s="146"/>
    </row>
    <row r="498" spans="1:29">
      <c r="A498" s="260"/>
      <c r="B498" s="147" t="s">
        <v>1862</v>
      </c>
      <c r="D498" s="148" t="s">
        <v>1794</v>
      </c>
      <c r="E498" s="148" t="s">
        <v>1794</v>
      </c>
      <c r="F498" s="148" t="s">
        <v>1796</v>
      </c>
      <c r="G498" s="148" t="s">
        <v>1803</v>
      </c>
      <c r="H498" s="148" t="s">
        <v>1803</v>
      </c>
      <c r="I498" s="149" t="s">
        <v>1794</v>
      </c>
      <c r="J498" s="150" t="s">
        <v>1794</v>
      </c>
      <c r="K498" s="148" t="s">
        <v>1796</v>
      </c>
      <c r="L498" s="148" t="s">
        <v>1794</v>
      </c>
      <c r="M498" s="148" t="s">
        <v>1795</v>
      </c>
      <c r="N498" s="148" t="s">
        <v>1794</v>
      </c>
      <c r="O498" s="149" t="s">
        <v>1794</v>
      </c>
      <c r="P498" s="150" t="s">
        <v>1794</v>
      </c>
      <c r="Q498" s="148" t="s">
        <v>1794</v>
      </c>
      <c r="R498" s="148" t="s">
        <v>1794</v>
      </c>
      <c r="S498" s="148" t="s">
        <v>1796</v>
      </c>
      <c r="T498" s="148" t="s">
        <v>1794</v>
      </c>
      <c r="U498" s="149" t="s">
        <v>1794</v>
      </c>
      <c r="V498" s="150" t="s">
        <v>1794</v>
      </c>
      <c r="W498" s="148" t="s">
        <v>1794</v>
      </c>
      <c r="X498" s="148" t="s">
        <v>1794</v>
      </c>
      <c r="Y498" s="148" t="s">
        <v>1794</v>
      </c>
      <c r="Z498" s="148" t="s">
        <v>1794</v>
      </c>
      <c r="AA498" s="148" t="s">
        <v>1794</v>
      </c>
      <c r="AB498" s="143"/>
      <c r="AC498" s="151" t="s">
        <v>1925</v>
      </c>
    </row>
    <row r="499" spans="1:29">
      <c r="A499" s="260"/>
      <c r="B499" t="s">
        <v>1864</v>
      </c>
      <c r="C499" t="s">
        <v>40</v>
      </c>
      <c r="D499" s="141">
        <v>0.42499999999999999</v>
      </c>
      <c r="E499" s="141">
        <v>0.49</v>
      </c>
      <c r="F499" s="141">
        <v>0.435</v>
      </c>
      <c r="G499" s="141">
        <v>0.55000000000000004</v>
      </c>
      <c r="H499" s="141">
        <v>0.55000000000000004</v>
      </c>
      <c r="I499" s="141">
        <v>0.47499999999999998</v>
      </c>
      <c r="J499" s="142">
        <v>0.45</v>
      </c>
      <c r="K499" s="141">
        <v>0.46</v>
      </c>
      <c r="L499" s="141">
        <v>0.47</v>
      </c>
      <c r="M499" s="141">
        <v>0.39</v>
      </c>
      <c r="N499" s="141">
        <v>0.43</v>
      </c>
      <c r="O499" s="141">
        <v>0.4</v>
      </c>
      <c r="P499" s="142">
        <v>0.435</v>
      </c>
      <c r="Q499" s="141">
        <v>0.51</v>
      </c>
      <c r="R499" s="141">
        <v>0.44500000000000001</v>
      </c>
      <c r="S499" s="141">
        <v>0.44500000000000001</v>
      </c>
      <c r="T499" s="141">
        <v>0.44</v>
      </c>
      <c r="U499" s="141">
        <v>0.44</v>
      </c>
      <c r="V499" s="142">
        <v>0.435</v>
      </c>
      <c r="W499" s="141">
        <v>0.42499999999999999</v>
      </c>
      <c r="X499" s="141">
        <v>0.435</v>
      </c>
      <c r="Y499" s="141">
        <v>0.44</v>
      </c>
      <c r="Z499" s="141">
        <v>0.43</v>
      </c>
      <c r="AA499" s="141">
        <v>0.43</v>
      </c>
      <c r="AB499" s="143">
        <f>_xlfn.STDEV.P(D499:AA499)</f>
        <v>3.8769596299448657E-2</v>
      </c>
      <c r="AC499" s="143"/>
    </row>
    <row r="500" spans="1:29">
      <c r="A500" s="260"/>
      <c r="C500" t="s">
        <v>220</v>
      </c>
      <c r="D500" s="141">
        <v>0.99</v>
      </c>
      <c r="E500" s="141">
        <v>1.03</v>
      </c>
      <c r="F500" s="141">
        <v>1.0049999999999999</v>
      </c>
      <c r="G500" s="141">
        <v>1.06</v>
      </c>
      <c r="H500" s="141">
        <v>1.06</v>
      </c>
      <c r="I500" s="141">
        <v>1.0049999999999999</v>
      </c>
      <c r="J500" s="142">
        <v>1</v>
      </c>
      <c r="K500" s="141">
        <v>1.01</v>
      </c>
      <c r="L500" s="141">
        <v>1</v>
      </c>
      <c r="M500" s="141">
        <v>0.94499999999999995</v>
      </c>
      <c r="N500" s="141">
        <v>0.995</v>
      </c>
      <c r="O500" s="141">
        <v>0.99</v>
      </c>
      <c r="P500" s="142">
        <v>1.0049999999999999</v>
      </c>
      <c r="Q500" s="141">
        <v>1.01</v>
      </c>
      <c r="R500" s="141">
        <v>1</v>
      </c>
      <c r="S500" s="141">
        <v>1</v>
      </c>
      <c r="T500" s="141">
        <v>1</v>
      </c>
      <c r="U500" s="141">
        <v>1</v>
      </c>
      <c r="V500" s="142">
        <v>1</v>
      </c>
      <c r="W500" s="141">
        <v>1</v>
      </c>
      <c r="X500" s="141">
        <v>1.0049999999999999</v>
      </c>
      <c r="Y500" s="141">
        <v>1</v>
      </c>
      <c r="Z500" s="141">
        <v>1.02</v>
      </c>
      <c r="AA500" s="141">
        <v>1</v>
      </c>
      <c r="AB500" s="143">
        <f>_xlfn.STDEV.P(D500:AA500)</f>
        <v>2.1742655209416272E-2</v>
      </c>
      <c r="AC500" s="143"/>
    </row>
    <row r="501" spans="1:29">
      <c r="A501" s="260"/>
      <c r="C501" t="s">
        <v>221</v>
      </c>
      <c r="D501" s="144">
        <v>0.51500000000000001</v>
      </c>
      <c r="E501" s="144">
        <v>0.56000000000000005</v>
      </c>
      <c r="F501" s="144">
        <v>0.54500000000000004</v>
      </c>
      <c r="G501" s="144">
        <v>0.53500000000000003</v>
      </c>
      <c r="H501" s="144">
        <v>0.53500000000000003</v>
      </c>
      <c r="I501" s="141">
        <v>0.54500000000000004</v>
      </c>
      <c r="J501" s="145">
        <v>0.54500000000000004</v>
      </c>
      <c r="K501" s="144">
        <v>0.54</v>
      </c>
      <c r="L501" s="144">
        <v>0.54</v>
      </c>
      <c r="M501" s="144">
        <v>0.57499999999999996</v>
      </c>
      <c r="N501" s="144">
        <v>0.54500000000000004</v>
      </c>
      <c r="O501" s="141">
        <v>0.55500000000000005</v>
      </c>
      <c r="P501" s="145">
        <v>0.56000000000000005</v>
      </c>
      <c r="Q501" s="144">
        <v>0.61</v>
      </c>
      <c r="R501" s="144">
        <v>0.55500000000000005</v>
      </c>
      <c r="S501" s="144">
        <v>0.56499999999999995</v>
      </c>
      <c r="T501" s="144">
        <v>0.57499999999999996</v>
      </c>
      <c r="U501" s="141">
        <v>0.57499999999999996</v>
      </c>
      <c r="V501" s="145">
        <v>0.56499999999999995</v>
      </c>
      <c r="W501" s="144">
        <v>0.56000000000000005</v>
      </c>
      <c r="X501" s="144">
        <v>0.57499999999999996</v>
      </c>
      <c r="Y501" s="144">
        <v>0.55500000000000005</v>
      </c>
      <c r="Z501" s="144">
        <v>0.55000000000000004</v>
      </c>
      <c r="AA501" s="144">
        <v>0.52500000000000002</v>
      </c>
      <c r="AB501" s="143">
        <f>_xlfn.STDEV.P(D501:AA501)</f>
        <v>1.9435389756832743E-2</v>
      </c>
      <c r="AC501" s="146"/>
    </row>
    <row r="502" spans="1:29">
      <c r="A502" s="260"/>
      <c r="B502" s="147" t="s">
        <v>1865</v>
      </c>
      <c r="D502" s="148" t="s">
        <v>1794</v>
      </c>
      <c r="E502" s="148" t="s">
        <v>1794</v>
      </c>
      <c r="F502" s="148" t="s">
        <v>1794</v>
      </c>
      <c r="G502" s="148" t="s">
        <v>1794</v>
      </c>
      <c r="H502" s="148" t="s">
        <v>1794</v>
      </c>
      <c r="I502" s="149" t="s">
        <v>1796</v>
      </c>
      <c r="J502" s="150" t="s">
        <v>1794</v>
      </c>
      <c r="K502" s="148" t="s">
        <v>1796</v>
      </c>
      <c r="L502" s="148" t="s">
        <v>1794</v>
      </c>
      <c r="M502" s="148" t="s">
        <v>1794</v>
      </c>
      <c r="N502" s="148" t="s">
        <v>1794</v>
      </c>
      <c r="O502" s="149" t="s">
        <v>1794</v>
      </c>
      <c r="P502" s="150" t="s">
        <v>1794</v>
      </c>
      <c r="Q502" s="148" t="s">
        <v>1794</v>
      </c>
      <c r="R502" s="148" t="s">
        <v>1794</v>
      </c>
      <c r="S502" s="148" t="s">
        <v>1794</v>
      </c>
      <c r="T502" s="148" t="s">
        <v>1794</v>
      </c>
      <c r="U502" s="149" t="s">
        <v>1794</v>
      </c>
      <c r="V502" s="150" t="s">
        <v>1794</v>
      </c>
      <c r="W502" s="148" t="s">
        <v>1794</v>
      </c>
      <c r="X502" s="148" t="s">
        <v>1794</v>
      </c>
      <c r="Y502" s="148" t="s">
        <v>1794</v>
      </c>
      <c r="Z502" s="148" t="s">
        <v>1794</v>
      </c>
      <c r="AA502" s="148" t="s">
        <v>1794</v>
      </c>
      <c r="AB502" s="143"/>
      <c r="AC502" s="151" t="s">
        <v>1901</v>
      </c>
    </row>
    <row r="503" spans="1:29">
      <c r="A503" s="260"/>
      <c r="B503" t="s">
        <v>1867</v>
      </c>
      <c r="C503" t="s">
        <v>40</v>
      </c>
      <c r="D503" s="141">
        <v>0.45500000000000002</v>
      </c>
      <c r="E503" s="141">
        <v>0.45500000000000002</v>
      </c>
      <c r="F503" s="141">
        <v>0.46500000000000002</v>
      </c>
      <c r="G503" s="141">
        <v>0.45500000000000002</v>
      </c>
      <c r="H503" s="141">
        <v>0.45500000000000002</v>
      </c>
      <c r="I503" s="141">
        <v>0.44</v>
      </c>
      <c r="J503" s="142">
        <v>0.47</v>
      </c>
      <c r="K503" s="141">
        <v>0.47</v>
      </c>
      <c r="L503" s="141">
        <v>0.42499999999999999</v>
      </c>
      <c r="M503" s="141">
        <v>0.46500000000000002</v>
      </c>
      <c r="N503" s="141">
        <v>0.56999999999999995</v>
      </c>
      <c r="O503" s="141">
        <v>0.47</v>
      </c>
      <c r="P503" s="142">
        <v>0.46</v>
      </c>
      <c r="Q503" s="141">
        <v>0.45</v>
      </c>
      <c r="R503" s="141">
        <v>0.48</v>
      </c>
      <c r="S503" s="141">
        <v>0.44</v>
      </c>
      <c r="T503" s="141">
        <v>0.44</v>
      </c>
      <c r="U503" s="141">
        <v>0.45500000000000002</v>
      </c>
      <c r="V503" s="142">
        <v>0.46</v>
      </c>
      <c r="W503" s="141">
        <v>0.46</v>
      </c>
      <c r="X503" s="141">
        <v>0.47499999999999998</v>
      </c>
      <c r="Y503" s="141">
        <v>0.435</v>
      </c>
      <c r="Z503" s="141">
        <v>0.495</v>
      </c>
      <c r="AA503" s="141">
        <v>0.36499999999999999</v>
      </c>
      <c r="AB503" s="143">
        <f>_xlfn.STDEV.P(D503:AA503)</f>
        <v>3.3268165463898561E-2</v>
      </c>
      <c r="AC503" s="143"/>
    </row>
    <row r="504" spans="1:29">
      <c r="A504" s="260"/>
      <c r="C504" t="s">
        <v>220</v>
      </c>
      <c r="D504" s="141">
        <v>1.0049999999999999</v>
      </c>
      <c r="E504" s="141">
        <v>1.0049999999999999</v>
      </c>
      <c r="F504" s="141">
        <v>1.01</v>
      </c>
      <c r="G504" s="141">
        <v>1.05</v>
      </c>
      <c r="H504" s="141">
        <v>1.05</v>
      </c>
      <c r="I504" s="141">
        <v>0.88</v>
      </c>
      <c r="J504" s="142">
        <v>1.0149999999999999</v>
      </c>
      <c r="K504" s="141">
        <v>0.96499999999999997</v>
      </c>
      <c r="L504" s="141">
        <v>0.96</v>
      </c>
      <c r="M504" s="141">
        <v>1.01</v>
      </c>
      <c r="N504" s="141">
        <v>0.995</v>
      </c>
      <c r="O504" s="141">
        <v>0.995</v>
      </c>
      <c r="P504" s="142">
        <v>1.0049999999999999</v>
      </c>
      <c r="Q504" s="141">
        <v>1</v>
      </c>
      <c r="R504" s="141">
        <v>0.99</v>
      </c>
      <c r="S504" s="141">
        <v>1</v>
      </c>
      <c r="T504" s="141">
        <v>1</v>
      </c>
      <c r="U504" s="141">
        <v>1.01</v>
      </c>
      <c r="V504" s="142">
        <v>1.0049999999999999</v>
      </c>
      <c r="W504" s="141">
        <v>0.995</v>
      </c>
      <c r="X504" s="141">
        <v>1.0649999999999999</v>
      </c>
      <c r="Y504" s="141">
        <v>1.0149999999999999</v>
      </c>
      <c r="Z504" s="141">
        <v>0.98499999999999999</v>
      </c>
      <c r="AA504" s="141">
        <v>1.01</v>
      </c>
      <c r="AB504" s="143">
        <f>_xlfn.STDEV.P(D504:AA504)</f>
        <v>3.4024092770989334E-2</v>
      </c>
      <c r="AC504" s="143"/>
    </row>
    <row r="505" spans="1:29">
      <c r="A505" s="260"/>
      <c r="C505" t="s">
        <v>221</v>
      </c>
      <c r="D505" s="144">
        <v>0.54</v>
      </c>
      <c r="E505" s="144">
        <v>0.54</v>
      </c>
      <c r="F505" s="144">
        <v>0.54</v>
      </c>
      <c r="G505" s="144">
        <v>0.505</v>
      </c>
      <c r="H505" s="144">
        <v>0.505</v>
      </c>
      <c r="I505" s="141">
        <v>0.59</v>
      </c>
      <c r="J505" s="145">
        <v>0.54</v>
      </c>
      <c r="K505" s="144">
        <v>0.57499999999999996</v>
      </c>
      <c r="L505" s="144">
        <v>0.58499999999999996</v>
      </c>
      <c r="M505" s="144">
        <v>0.54500000000000004</v>
      </c>
      <c r="N505" s="144">
        <v>0.52500000000000002</v>
      </c>
      <c r="O505" s="141">
        <v>0.54500000000000004</v>
      </c>
      <c r="P505" s="145">
        <v>0.55500000000000005</v>
      </c>
      <c r="Q505" s="144">
        <v>0.54500000000000004</v>
      </c>
      <c r="R505" s="144">
        <v>0.54</v>
      </c>
      <c r="S505" s="144">
        <v>0.54500000000000004</v>
      </c>
      <c r="T505" s="144">
        <v>0.54500000000000004</v>
      </c>
      <c r="U505" s="141">
        <v>0.51500000000000001</v>
      </c>
      <c r="V505" s="145">
        <v>0.54500000000000004</v>
      </c>
      <c r="W505" s="144">
        <v>0.55000000000000004</v>
      </c>
      <c r="X505" s="144">
        <v>0.54500000000000004</v>
      </c>
      <c r="Y505" s="144">
        <v>0.53500000000000003</v>
      </c>
      <c r="Z505" s="144">
        <v>0.56000000000000005</v>
      </c>
      <c r="AA505" s="144">
        <v>0.52</v>
      </c>
      <c r="AB505" s="143">
        <f>_xlfn.STDEV.P(D505:AA505)</f>
        <v>2.055543825041603E-2</v>
      </c>
      <c r="AC505" s="146"/>
    </row>
    <row r="506" spans="1:29">
      <c r="A506" s="260"/>
      <c r="B506" s="147" t="s">
        <v>1868</v>
      </c>
      <c r="D506" s="148" t="s">
        <v>1794</v>
      </c>
      <c r="E506" s="148" t="s">
        <v>1794</v>
      </c>
      <c r="F506" s="148" t="s">
        <v>1796</v>
      </c>
      <c r="G506" s="148" t="s">
        <v>1796</v>
      </c>
      <c r="H506" s="148" t="s">
        <v>1796</v>
      </c>
      <c r="I506" s="149" t="s">
        <v>1794</v>
      </c>
      <c r="J506" s="150" t="s">
        <v>1794</v>
      </c>
      <c r="K506" s="148" t="s">
        <v>1794</v>
      </c>
      <c r="L506" s="148" t="s">
        <v>1796</v>
      </c>
      <c r="M506" s="148" t="s">
        <v>1796</v>
      </c>
      <c r="N506" s="148" t="s">
        <v>1794</v>
      </c>
      <c r="O506" s="149" t="s">
        <v>1794</v>
      </c>
      <c r="P506" s="150" t="s">
        <v>1796</v>
      </c>
      <c r="Q506" s="148" t="s">
        <v>1794</v>
      </c>
      <c r="R506" s="148" t="s">
        <v>1796</v>
      </c>
      <c r="S506" s="148" t="s">
        <v>1796</v>
      </c>
      <c r="T506" s="148" t="s">
        <v>1796</v>
      </c>
      <c r="U506" s="149" t="s">
        <v>1794</v>
      </c>
      <c r="V506" s="150" t="s">
        <v>1794</v>
      </c>
      <c r="W506" s="148" t="s">
        <v>1796</v>
      </c>
      <c r="X506" s="148" t="s">
        <v>1796</v>
      </c>
      <c r="Y506" s="148" t="s">
        <v>1796</v>
      </c>
      <c r="Z506" s="148" t="s">
        <v>1794</v>
      </c>
      <c r="AA506" s="148" t="s">
        <v>1794</v>
      </c>
      <c r="AB506" s="143"/>
      <c r="AC506" s="151" t="s">
        <v>1855</v>
      </c>
    </row>
    <row r="507" spans="1:29">
      <c r="A507" s="260"/>
      <c r="B507" t="s">
        <v>1869</v>
      </c>
      <c r="C507" t="s">
        <v>40</v>
      </c>
      <c r="D507" s="141">
        <v>0.45500000000000002</v>
      </c>
      <c r="E507" s="141">
        <v>0.45500000000000002</v>
      </c>
      <c r="F507" s="141">
        <v>0.44500000000000001</v>
      </c>
      <c r="G507" s="141">
        <v>0.44</v>
      </c>
      <c r="H507" s="141">
        <v>0.46500000000000002</v>
      </c>
      <c r="I507" s="141">
        <v>0.44500000000000001</v>
      </c>
      <c r="J507" s="142">
        <v>0.47499999999999998</v>
      </c>
      <c r="K507" s="141">
        <v>0.47499999999999998</v>
      </c>
      <c r="L507" s="141">
        <v>0.44</v>
      </c>
      <c r="M507" s="141">
        <v>0.46500000000000002</v>
      </c>
      <c r="N507" s="141">
        <v>0.56000000000000005</v>
      </c>
      <c r="O507" s="141">
        <v>0.56000000000000005</v>
      </c>
      <c r="P507" s="142">
        <v>0.45500000000000002</v>
      </c>
      <c r="Q507" s="141">
        <v>0.45</v>
      </c>
      <c r="R507" s="141">
        <v>0.46500000000000002</v>
      </c>
      <c r="S507" s="141">
        <v>0.44</v>
      </c>
      <c r="T507" s="141">
        <v>0.44</v>
      </c>
      <c r="U507" s="141">
        <v>0.45</v>
      </c>
      <c r="V507" s="142">
        <v>0.45500000000000002</v>
      </c>
      <c r="W507" s="141">
        <v>0.46</v>
      </c>
      <c r="X507" s="141">
        <v>0.43</v>
      </c>
      <c r="Y507" s="141">
        <v>0.47</v>
      </c>
      <c r="Z507" s="141">
        <v>0.47499999999999998</v>
      </c>
      <c r="AA507" s="141">
        <v>0.35499999999999998</v>
      </c>
      <c r="AB507" s="143">
        <f>_xlfn.STDEV.P(D507:AA507)</f>
        <v>3.8251157389896935E-2</v>
      </c>
      <c r="AC507" s="143"/>
    </row>
    <row r="508" spans="1:29">
      <c r="A508" s="260"/>
      <c r="C508" t="s">
        <v>220</v>
      </c>
      <c r="D508" s="141">
        <v>1.0049999999999999</v>
      </c>
      <c r="E508" s="141">
        <v>1</v>
      </c>
      <c r="F508" s="141">
        <v>1.01</v>
      </c>
      <c r="G508" s="141">
        <v>1.03</v>
      </c>
      <c r="H508" s="141">
        <v>1</v>
      </c>
      <c r="I508" s="141">
        <v>0.95</v>
      </c>
      <c r="J508" s="142">
        <v>1.0049999999999999</v>
      </c>
      <c r="K508" s="141">
        <v>1.07</v>
      </c>
      <c r="L508" s="141">
        <v>0.94499999999999995</v>
      </c>
      <c r="M508" s="141">
        <v>1.0149999999999999</v>
      </c>
      <c r="N508" s="141">
        <v>1</v>
      </c>
      <c r="O508" s="141">
        <v>1</v>
      </c>
      <c r="P508" s="142">
        <v>1.0249999999999999</v>
      </c>
      <c r="Q508" s="141">
        <v>0.995</v>
      </c>
      <c r="R508" s="141">
        <v>0.97499999999999998</v>
      </c>
      <c r="S508" s="141">
        <v>0.98499999999999999</v>
      </c>
      <c r="T508" s="141">
        <v>0.98499999999999999</v>
      </c>
      <c r="U508" s="141">
        <v>1.01</v>
      </c>
      <c r="V508" s="142">
        <v>1.0049999999999999</v>
      </c>
      <c r="W508" s="141">
        <v>1</v>
      </c>
      <c r="X508" s="141">
        <v>1.0549999999999999</v>
      </c>
      <c r="Y508" s="141">
        <v>0.995</v>
      </c>
      <c r="Z508" s="141">
        <v>0.98499999999999999</v>
      </c>
      <c r="AA508" s="141">
        <v>1.0049999999999999</v>
      </c>
      <c r="AB508" s="143">
        <f>_xlfn.STDEV.P(D508:AA508)</f>
        <v>2.6414826434325779E-2</v>
      </c>
      <c r="AC508" s="143"/>
    </row>
    <row r="509" spans="1:29">
      <c r="A509" s="260"/>
      <c r="C509" t="s">
        <v>221</v>
      </c>
      <c r="D509" s="144">
        <v>0.53500000000000003</v>
      </c>
      <c r="E509" s="144">
        <v>0.55000000000000004</v>
      </c>
      <c r="F509" s="144">
        <v>0.53500000000000003</v>
      </c>
      <c r="G509" s="144">
        <v>0.53</v>
      </c>
      <c r="H509" s="144">
        <v>0.54500000000000004</v>
      </c>
      <c r="I509" s="141">
        <v>0.58499999999999996</v>
      </c>
      <c r="J509" s="145">
        <v>0.53500000000000003</v>
      </c>
      <c r="K509" s="144">
        <v>0.52500000000000002</v>
      </c>
      <c r="L509" s="144">
        <v>0.56999999999999995</v>
      </c>
      <c r="M509" s="144">
        <v>0.53</v>
      </c>
      <c r="N509" s="144">
        <v>0.55000000000000004</v>
      </c>
      <c r="O509" s="141">
        <v>0.55000000000000004</v>
      </c>
      <c r="P509" s="145">
        <v>0.53500000000000003</v>
      </c>
      <c r="Q509" s="144">
        <v>0.56499999999999995</v>
      </c>
      <c r="R509" s="144">
        <v>0.56000000000000005</v>
      </c>
      <c r="S509" s="144">
        <v>0.51500000000000001</v>
      </c>
      <c r="T509" s="144">
        <v>0.51500000000000001</v>
      </c>
      <c r="U509" s="141">
        <v>0.56000000000000005</v>
      </c>
      <c r="V509" s="145">
        <v>0.55000000000000004</v>
      </c>
      <c r="W509" s="144">
        <v>0.54</v>
      </c>
      <c r="X509" s="144">
        <v>0.51</v>
      </c>
      <c r="Y509" s="144">
        <v>0.53500000000000003</v>
      </c>
      <c r="Z509" s="144">
        <v>0.55000000000000004</v>
      </c>
      <c r="AA509" s="144">
        <v>0.53</v>
      </c>
      <c r="AB509" s="143">
        <f>_xlfn.STDEV.P(D509:AA509)</f>
        <v>1.7784151418233772E-2</v>
      </c>
      <c r="AC509" s="146"/>
    </row>
    <row r="510" spans="1:29">
      <c r="A510" s="260"/>
      <c r="B510" s="147" t="s">
        <v>1870</v>
      </c>
      <c r="D510" s="148" t="s">
        <v>1796</v>
      </c>
      <c r="E510" s="148" t="s">
        <v>1796</v>
      </c>
      <c r="F510" s="148" t="s">
        <v>1796</v>
      </c>
      <c r="G510" s="148" t="s">
        <v>1796</v>
      </c>
      <c r="H510" s="148" t="s">
        <v>1795</v>
      </c>
      <c r="I510" s="149" t="s">
        <v>1794</v>
      </c>
      <c r="J510" s="150" t="s">
        <v>1795</v>
      </c>
      <c r="K510" s="148" t="s">
        <v>1796</v>
      </c>
      <c r="L510" s="148" t="s">
        <v>1796</v>
      </c>
      <c r="M510" s="148" t="s">
        <v>1795</v>
      </c>
      <c r="N510" s="148" t="s">
        <v>1794</v>
      </c>
      <c r="O510" s="149" t="s">
        <v>1794</v>
      </c>
      <c r="P510" s="150" t="s">
        <v>1795</v>
      </c>
      <c r="Q510" s="148" t="s">
        <v>1796</v>
      </c>
      <c r="R510" s="148" t="s">
        <v>1796</v>
      </c>
      <c r="S510" s="148" t="s">
        <v>1796</v>
      </c>
      <c r="T510" s="148" t="s">
        <v>1803</v>
      </c>
      <c r="U510" s="149" t="s">
        <v>1796</v>
      </c>
      <c r="V510" s="150" t="s">
        <v>1796</v>
      </c>
      <c r="W510" s="148" t="s">
        <v>1794</v>
      </c>
      <c r="X510" s="148" t="s">
        <v>1796</v>
      </c>
      <c r="Y510" s="148" t="s">
        <v>1796</v>
      </c>
      <c r="Z510" s="148" t="s">
        <v>1794</v>
      </c>
      <c r="AA510" s="148" t="s">
        <v>1794</v>
      </c>
      <c r="AB510" s="143"/>
      <c r="AC510" s="151" t="s">
        <v>1881</v>
      </c>
    </row>
    <row r="511" spans="1:29">
      <c r="A511" s="260"/>
      <c r="B511" t="s">
        <v>1887</v>
      </c>
      <c r="C511" t="s">
        <v>40</v>
      </c>
      <c r="D511" s="141">
        <v>0.45500000000000002</v>
      </c>
      <c r="E511" s="141">
        <v>0.45500000000000002</v>
      </c>
      <c r="F511" s="141">
        <v>0.45</v>
      </c>
      <c r="G511" s="141">
        <v>0.44</v>
      </c>
      <c r="H511" s="141">
        <v>0.43</v>
      </c>
      <c r="I511" s="141">
        <v>0.47</v>
      </c>
      <c r="J511" s="142">
        <v>0.435</v>
      </c>
      <c r="K511" s="141">
        <v>0.40500000000000003</v>
      </c>
      <c r="L511" s="141">
        <v>0.42499999999999999</v>
      </c>
      <c r="M511" s="141">
        <v>0.44500000000000001</v>
      </c>
      <c r="N511" s="141">
        <v>0.32500000000000001</v>
      </c>
      <c r="O511" s="141">
        <v>0.32500000000000001</v>
      </c>
      <c r="P511" s="142">
        <v>0.45</v>
      </c>
      <c r="Q511" s="141">
        <v>0.47</v>
      </c>
      <c r="R511" s="141">
        <v>0.45500000000000002</v>
      </c>
      <c r="S511" s="141">
        <v>0.44</v>
      </c>
      <c r="T511" s="141">
        <v>0.41499999999999998</v>
      </c>
      <c r="U511" s="141">
        <v>0.45500000000000002</v>
      </c>
      <c r="V511" s="142">
        <v>0.45</v>
      </c>
      <c r="W511" s="141">
        <v>0.44</v>
      </c>
      <c r="X511" s="141">
        <v>0.42</v>
      </c>
      <c r="Y511" s="141">
        <v>0.435</v>
      </c>
      <c r="Z511" s="141">
        <v>0.46</v>
      </c>
      <c r="AA511" s="141">
        <v>0.46</v>
      </c>
      <c r="AB511" s="143">
        <f>_xlfn.STDEV.P(D511:AA511)</f>
        <v>3.6493435482745841E-2</v>
      </c>
      <c r="AC511" s="143"/>
    </row>
    <row r="512" spans="1:29">
      <c r="A512" s="260"/>
      <c r="C512" t="s">
        <v>220</v>
      </c>
      <c r="D512" s="141">
        <v>1.0049999999999999</v>
      </c>
      <c r="E512" s="141">
        <v>1.0049999999999999</v>
      </c>
      <c r="F512" s="141">
        <v>1</v>
      </c>
      <c r="G512" s="141">
        <v>1.01</v>
      </c>
      <c r="H512" s="141">
        <v>1.0049999999999999</v>
      </c>
      <c r="I512" s="141">
        <v>1.07</v>
      </c>
      <c r="J512" s="142">
        <v>1.01</v>
      </c>
      <c r="K512" s="141">
        <v>1.0149999999999999</v>
      </c>
      <c r="L512" s="141">
        <v>0.98499999999999999</v>
      </c>
      <c r="M512" s="141">
        <v>1.0049999999999999</v>
      </c>
      <c r="N512" s="141">
        <v>1.0049999999999999</v>
      </c>
      <c r="O512" s="141">
        <v>1.0049999999999999</v>
      </c>
      <c r="P512" s="142">
        <v>1.0049999999999999</v>
      </c>
      <c r="Q512" s="141">
        <v>1.0049999999999999</v>
      </c>
      <c r="R512" s="141">
        <v>0.995</v>
      </c>
      <c r="S512" s="141">
        <v>1</v>
      </c>
      <c r="T512" s="141">
        <v>1.0149999999999999</v>
      </c>
      <c r="U512" s="141">
        <v>1.01</v>
      </c>
      <c r="V512" s="142">
        <v>1</v>
      </c>
      <c r="W512" s="141">
        <v>1</v>
      </c>
      <c r="X512" s="141">
        <v>1.04</v>
      </c>
      <c r="Y512" s="141">
        <v>1</v>
      </c>
      <c r="Z512" s="141">
        <v>0.99</v>
      </c>
      <c r="AA512" s="141">
        <v>0.99</v>
      </c>
      <c r="AB512" s="143">
        <f>_xlfn.STDEV.P(D512:AA512)</f>
        <v>1.6703085210689556E-2</v>
      </c>
      <c r="AC512" s="143"/>
    </row>
    <row r="513" spans="1:29">
      <c r="A513" s="260"/>
      <c r="C513" t="s">
        <v>221</v>
      </c>
      <c r="D513" s="144">
        <v>0.53500000000000003</v>
      </c>
      <c r="E513" s="144">
        <v>0.54</v>
      </c>
      <c r="F513" s="144">
        <v>0.54500000000000004</v>
      </c>
      <c r="G513" s="144">
        <v>0.53500000000000003</v>
      </c>
      <c r="H513" s="144">
        <v>0.56499999999999995</v>
      </c>
      <c r="I513" s="141">
        <v>0.51500000000000001</v>
      </c>
      <c r="J513" s="145">
        <v>0.54500000000000004</v>
      </c>
      <c r="K513" s="144">
        <v>0.53</v>
      </c>
      <c r="L513" s="144">
        <v>0.56000000000000005</v>
      </c>
      <c r="M513" s="144">
        <v>0.54500000000000004</v>
      </c>
      <c r="N513" s="144">
        <v>0.55000000000000004</v>
      </c>
      <c r="O513" s="141">
        <v>0.55000000000000004</v>
      </c>
      <c r="P513" s="145">
        <v>0.54500000000000004</v>
      </c>
      <c r="Q513" s="144">
        <v>0.55000000000000004</v>
      </c>
      <c r="R513" s="144">
        <v>0.56499999999999995</v>
      </c>
      <c r="S513" s="144">
        <v>0.54500000000000004</v>
      </c>
      <c r="T513" s="144">
        <v>0.56000000000000005</v>
      </c>
      <c r="U513" s="141">
        <v>0.55000000000000004</v>
      </c>
      <c r="V513" s="145">
        <v>0.55000000000000004</v>
      </c>
      <c r="W513" s="144">
        <v>0.55000000000000004</v>
      </c>
      <c r="X513" s="144">
        <v>0.52</v>
      </c>
      <c r="Y513" s="144">
        <v>0.54</v>
      </c>
      <c r="Z513" s="144">
        <v>0.53500000000000003</v>
      </c>
      <c r="AA513" s="144">
        <v>0.53500000000000003</v>
      </c>
      <c r="AB513" s="143">
        <f>_xlfn.STDEV.P(D513:AA513)</f>
        <v>1.221906524884598E-2</v>
      </c>
      <c r="AC513" s="146"/>
    </row>
    <row r="514" spans="1:29">
      <c r="A514" s="260"/>
      <c r="B514" s="147" t="s">
        <v>1888</v>
      </c>
      <c r="D514" s="148" t="s">
        <v>1794</v>
      </c>
      <c r="E514" s="148" t="s">
        <v>1796</v>
      </c>
      <c r="F514" s="148" t="s">
        <v>1796</v>
      </c>
      <c r="G514" s="148" t="s">
        <v>1796</v>
      </c>
      <c r="H514" s="148" t="s">
        <v>1796</v>
      </c>
      <c r="I514" s="149" t="s">
        <v>1794</v>
      </c>
      <c r="J514" s="150" t="s">
        <v>1795</v>
      </c>
      <c r="K514" s="148" t="s">
        <v>1796</v>
      </c>
      <c r="L514" s="148" t="s">
        <v>1796</v>
      </c>
      <c r="M514" s="148" t="s">
        <v>1796</v>
      </c>
      <c r="N514" s="148" t="s">
        <v>1794</v>
      </c>
      <c r="O514" s="149" t="s">
        <v>1794</v>
      </c>
      <c r="P514" s="150" t="s">
        <v>1794</v>
      </c>
      <c r="Q514" s="148" t="s">
        <v>1796</v>
      </c>
      <c r="R514" s="148" t="s">
        <v>1794</v>
      </c>
      <c r="S514" s="148" t="s">
        <v>1796</v>
      </c>
      <c r="T514" s="148" t="s">
        <v>1796</v>
      </c>
      <c r="U514" s="149" t="s">
        <v>1796</v>
      </c>
      <c r="V514" s="150" t="s">
        <v>1794</v>
      </c>
      <c r="W514" s="148" t="s">
        <v>1796</v>
      </c>
      <c r="X514" s="148" t="s">
        <v>1796</v>
      </c>
      <c r="Y514" s="148" t="s">
        <v>1796</v>
      </c>
      <c r="Z514" s="148" t="s">
        <v>1794</v>
      </c>
      <c r="AA514" s="148" t="s">
        <v>1794</v>
      </c>
      <c r="AB514" s="143"/>
      <c r="AC514" s="151" t="s">
        <v>1926</v>
      </c>
    </row>
    <row r="515" spans="1:29">
      <c r="A515" s="260"/>
      <c r="B515" t="s">
        <v>1890</v>
      </c>
      <c r="C515" t="s">
        <v>40</v>
      </c>
      <c r="D515" s="141">
        <v>0.45</v>
      </c>
      <c r="E515" s="141">
        <v>0.46</v>
      </c>
      <c r="F515" s="141">
        <v>0.44500000000000001</v>
      </c>
      <c r="G515" s="141">
        <v>0.435</v>
      </c>
      <c r="H515" s="141">
        <v>0.47499999999999998</v>
      </c>
      <c r="I515" s="141">
        <v>0.46500000000000002</v>
      </c>
      <c r="J515" s="142">
        <v>0.47</v>
      </c>
      <c r="K515" s="141">
        <v>0.45500000000000002</v>
      </c>
      <c r="L515" s="141">
        <v>0.47</v>
      </c>
      <c r="M515" s="141">
        <v>0.47</v>
      </c>
      <c r="N515" s="141">
        <v>0.46</v>
      </c>
      <c r="O515" s="141">
        <v>0.46</v>
      </c>
      <c r="P515" s="142">
        <v>0.45500000000000002</v>
      </c>
      <c r="Q515" s="141">
        <v>0.46</v>
      </c>
      <c r="R515" s="141">
        <v>0.46</v>
      </c>
      <c r="S515" s="141">
        <v>0.46</v>
      </c>
      <c r="T515" s="141">
        <v>0.46</v>
      </c>
      <c r="U515" s="141">
        <v>0.44</v>
      </c>
      <c r="V515" s="142">
        <v>0.46500000000000002</v>
      </c>
      <c r="W515" s="141">
        <v>0.46500000000000002</v>
      </c>
      <c r="X515" s="141">
        <v>0.45</v>
      </c>
      <c r="Y515" s="141">
        <v>0.45500000000000002</v>
      </c>
      <c r="Z515" s="141">
        <v>0.44</v>
      </c>
      <c r="AA515" s="141">
        <v>0.46</v>
      </c>
      <c r="AB515" s="143">
        <f>_xlfn.STDEV.P(D515:AA515)</f>
        <v>9.9978296255848528E-3</v>
      </c>
      <c r="AC515" s="143"/>
    </row>
    <row r="516" spans="1:29">
      <c r="A516" s="260"/>
      <c r="C516" t="s">
        <v>220</v>
      </c>
      <c r="D516" s="141">
        <v>1.0049999999999999</v>
      </c>
      <c r="E516" s="141">
        <v>1.0049999999999999</v>
      </c>
      <c r="F516" s="141">
        <v>1.0049999999999999</v>
      </c>
      <c r="G516" s="141">
        <v>1.0249999999999999</v>
      </c>
      <c r="H516" s="141">
        <v>0.92</v>
      </c>
      <c r="I516" s="141">
        <v>1.01</v>
      </c>
      <c r="J516" s="142">
        <v>1.0049999999999999</v>
      </c>
      <c r="K516" s="141">
        <v>1</v>
      </c>
      <c r="L516" s="141">
        <v>1.0049999999999999</v>
      </c>
      <c r="M516" s="141">
        <v>1.0049999999999999</v>
      </c>
      <c r="N516" s="141">
        <v>1</v>
      </c>
      <c r="O516" s="141">
        <v>1</v>
      </c>
      <c r="P516" s="142">
        <v>1.01</v>
      </c>
      <c r="Q516" s="141">
        <v>1.0049999999999999</v>
      </c>
      <c r="R516" s="141">
        <v>1.01</v>
      </c>
      <c r="S516" s="141">
        <v>1.01</v>
      </c>
      <c r="T516" s="141">
        <v>1.0049999999999999</v>
      </c>
      <c r="U516" s="141">
        <v>1.0049999999999999</v>
      </c>
      <c r="V516" s="142">
        <v>1.0049999999999999</v>
      </c>
      <c r="W516" s="141">
        <v>1.0049999999999999</v>
      </c>
      <c r="X516" s="141">
        <v>1.0049999999999999</v>
      </c>
      <c r="Y516" s="141">
        <v>1</v>
      </c>
      <c r="Z516" s="141">
        <v>1.0049999999999999</v>
      </c>
      <c r="AA516" s="141">
        <v>1.0049999999999999</v>
      </c>
      <c r="AB516" s="143">
        <f>_xlfn.STDEV.P(D516:AA516)</f>
        <v>1.7852355509069988E-2</v>
      </c>
      <c r="AC516" s="143"/>
    </row>
    <row r="517" spans="1:29">
      <c r="A517" s="260"/>
      <c r="C517" t="s">
        <v>221</v>
      </c>
      <c r="D517" s="144">
        <v>0.55000000000000004</v>
      </c>
      <c r="E517" s="144">
        <v>0.54500000000000004</v>
      </c>
      <c r="F517" s="144">
        <v>0.54500000000000004</v>
      </c>
      <c r="G517" s="144">
        <v>0.45500000000000002</v>
      </c>
      <c r="H517" s="144">
        <v>0.505</v>
      </c>
      <c r="I517" s="141">
        <v>0.56000000000000005</v>
      </c>
      <c r="J517" s="145">
        <v>0.53500000000000003</v>
      </c>
      <c r="K517" s="144">
        <v>0.54</v>
      </c>
      <c r="L517" s="144">
        <v>0.53500000000000003</v>
      </c>
      <c r="M517" s="144">
        <v>0.54</v>
      </c>
      <c r="N517" s="144">
        <v>0.54</v>
      </c>
      <c r="O517" s="141">
        <v>0.54</v>
      </c>
      <c r="P517" s="145">
        <v>0.55000000000000004</v>
      </c>
      <c r="Q517" s="144">
        <v>0.54500000000000004</v>
      </c>
      <c r="R517" s="144">
        <v>0.54</v>
      </c>
      <c r="S517" s="144">
        <v>0.54</v>
      </c>
      <c r="T517" s="144">
        <v>0.54</v>
      </c>
      <c r="U517" s="141">
        <v>0.53500000000000003</v>
      </c>
      <c r="V517" s="145">
        <v>0.52500000000000002</v>
      </c>
      <c r="W517" s="144">
        <v>0.53500000000000003</v>
      </c>
      <c r="X517" s="144">
        <v>0.54500000000000004</v>
      </c>
      <c r="Y517" s="144">
        <v>0.53500000000000003</v>
      </c>
      <c r="Z517" s="144">
        <v>0.53500000000000003</v>
      </c>
      <c r="AA517" s="144">
        <v>0.53500000000000003</v>
      </c>
      <c r="AB517" s="143">
        <f>_xlfn.STDEV.P(D517:AA517)</f>
        <v>1.9414162928702905E-2</v>
      </c>
      <c r="AC517" s="146"/>
    </row>
    <row r="518" spans="1:29">
      <c r="A518" s="260"/>
      <c r="B518" s="147" t="s">
        <v>1891</v>
      </c>
      <c r="D518" s="148" t="s">
        <v>1794</v>
      </c>
      <c r="E518" s="148" t="s">
        <v>1796</v>
      </c>
      <c r="F518" s="148" t="s">
        <v>1796</v>
      </c>
      <c r="G518" s="148" t="s">
        <v>1794</v>
      </c>
      <c r="H518" s="148" t="s">
        <v>1794</v>
      </c>
      <c r="I518" s="149" t="s">
        <v>1796</v>
      </c>
      <c r="J518" s="150" t="s">
        <v>1794</v>
      </c>
      <c r="K518" s="148" t="s">
        <v>1794</v>
      </c>
      <c r="L518" s="148" t="s">
        <v>1796</v>
      </c>
      <c r="M518" s="148" t="s">
        <v>1794</v>
      </c>
      <c r="N518" s="148" t="s">
        <v>1794</v>
      </c>
      <c r="O518" s="149" t="s">
        <v>1794</v>
      </c>
      <c r="P518" s="150" t="s">
        <v>1794</v>
      </c>
      <c r="Q518" s="148" t="s">
        <v>1794</v>
      </c>
      <c r="R518" s="148" t="s">
        <v>1794</v>
      </c>
      <c r="S518" s="148" t="s">
        <v>1794</v>
      </c>
      <c r="T518" s="148" t="s">
        <v>1794</v>
      </c>
      <c r="U518" s="149" t="s">
        <v>1794</v>
      </c>
      <c r="V518" s="150" t="s">
        <v>1794</v>
      </c>
      <c r="W518" s="148" t="s">
        <v>1794</v>
      </c>
      <c r="X518" s="148" t="s">
        <v>1794</v>
      </c>
      <c r="Y518" s="148" t="s">
        <v>1794</v>
      </c>
      <c r="Z518" s="148" t="s">
        <v>1794</v>
      </c>
      <c r="AA518" s="148" t="s">
        <v>1794</v>
      </c>
      <c r="AB518" s="143"/>
      <c r="AC518" s="151" t="s">
        <v>1906</v>
      </c>
    </row>
    <row r="519" spans="1:29">
      <c r="A519" s="260"/>
      <c r="B519" t="s">
        <v>1927</v>
      </c>
      <c r="C519" t="s">
        <v>40</v>
      </c>
      <c r="D519" s="141">
        <v>0.5</v>
      </c>
      <c r="E519" s="141">
        <v>0.46500000000000002</v>
      </c>
      <c r="F519" s="141">
        <v>0.38</v>
      </c>
      <c r="G519" s="141">
        <v>0.45500000000000002</v>
      </c>
      <c r="H519" s="141">
        <v>0.45500000000000002</v>
      </c>
      <c r="I519" s="141">
        <v>0.48</v>
      </c>
      <c r="J519" s="142">
        <v>0.44500000000000001</v>
      </c>
      <c r="K519" s="141">
        <v>0.57999999999999996</v>
      </c>
      <c r="L519" s="141">
        <v>0.435</v>
      </c>
      <c r="M519" s="141">
        <v>0.46500000000000002</v>
      </c>
      <c r="N519" s="141">
        <v>0.38</v>
      </c>
      <c r="O519" s="141">
        <v>0.48499999999999999</v>
      </c>
      <c r="P519" s="142">
        <v>0.45500000000000002</v>
      </c>
      <c r="Q519" s="141">
        <v>0.40500000000000003</v>
      </c>
      <c r="R519" s="141">
        <v>0.49</v>
      </c>
      <c r="S519" s="141">
        <v>0.4</v>
      </c>
      <c r="T519" s="141">
        <v>0.4</v>
      </c>
      <c r="U519" s="141">
        <v>0.52</v>
      </c>
      <c r="V519" s="142">
        <v>0.45500000000000002</v>
      </c>
      <c r="W519" s="141">
        <v>0.53</v>
      </c>
      <c r="X519" s="141">
        <v>0.46</v>
      </c>
      <c r="Y519" s="141">
        <v>0.56499999999999995</v>
      </c>
      <c r="Z519" s="141">
        <v>0.505</v>
      </c>
      <c r="AA519" s="141">
        <v>0.4</v>
      </c>
      <c r="AB519" s="143">
        <f>_xlfn.STDEV.P(D519:AA519)</f>
        <v>5.2795136034380824E-2</v>
      </c>
      <c r="AC519" s="143"/>
    </row>
    <row r="520" spans="1:29">
      <c r="A520" s="260"/>
      <c r="C520" t="s">
        <v>220</v>
      </c>
      <c r="D520" s="141">
        <v>1</v>
      </c>
      <c r="E520" s="141">
        <v>1.0049999999999999</v>
      </c>
      <c r="F520" s="141">
        <v>1.0900000000000001</v>
      </c>
      <c r="G520" s="141">
        <v>1.01</v>
      </c>
      <c r="H520" s="141">
        <v>1.01</v>
      </c>
      <c r="I520" s="141">
        <v>1.0049999999999999</v>
      </c>
      <c r="J520" s="142">
        <v>1.0149999999999999</v>
      </c>
      <c r="K520" s="141">
        <v>0.96499999999999997</v>
      </c>
      <c r="L520" s="141">
        <v>1</v>
      </c>
      <c r="M520" s="141">
        <v>1.0049999999999999</v>
      </c>
      <c r="N520" s="141">
        <v>0.995</v>
      </c>
      <c r="O520" s="141">
        <v>1.085</v>
      </c>
      <c r="P520" s="142">
        <v>1.0049999999999999</v>
      </c>
      <c r="Q520" s="141">
        <v>1.0049999999999999</v>
      </c>
      <c r="R520" s="141">
        <v>1.01</v>
      </c>
      <c r="S520" s="141">
        <v>0.93</v>
      </c>
      <c r="T520" s="141">
        <v>0.93</v>
      </c>
      <c r="U520" s="141">
        <v>1.0149999999999999</v>
      </c>
      <c r="V520" s="142">
        <v>1.07</v>
      </c>
      <c r="W520" s="141">
        <v>1.08</v>
      </c>
      <c r="X520" s="141">
        <v>1.02</v>
      </c>
      <c r="Y520" s="141">
        <v>1.06</v>
      </c>
      <c r="Z520" s="141">
        <v>1.0149999999999999</v>
      </c>
      <c r="AA520" s="141">
        <v>1.03</v>
      </c>
      <c r="AB520" s="143">
        <f>_xlfn.STDEV.P(D520:AA520)</f>
        <v>4.0012476352868864E-2</v>
      </c>
      <c r="AC520" s="143"/>
    </row>
    <row r="521" spans="1:29">
      <c r="A521" s="260"/>
      <c r="C521" t="s">
        <v>221</v>
      </c>
      <c r="D521" s="144">
        <v>0.55500000000000005</v>
      </c>
      <c r="E521" s="144">
        <v>0.55000000000000004</v>
      </c>
      <c r="F521" s="144">
        <v>0.52500000000000002</v>
      </c>
      <c r="G521" s="144">
        <v>0.53</v>
      </c>
      <c r="H521" s="144">
        <v>0.53</v>
      </c>
      <c r="I521" s="141">
        <v>0.54500000000000004</v>
      </c>
      <c r="J521" s="145">
        <v>0.53500000000000003</v>
      </c>
      <c r="K521" s="144">
        <v>0.64500000000000002</v>
      </c>
      <c r="L521" s="144">
        <v>0.53500000000000003</v>
      </c>
      <c r="M521" s="144">
        <v>0.54</v>
      </c>
      <c r="N521" s="144">
        <v>0.5</v>
      </c>
      <c r="O521" s="141">
        <v>0.435</v>
      </c>
      <c r="P521" s="145">
        <v>0.52500000000000002</v>
      </c>
      <c r="Q521" s="144">
        <v>0.54</v>
      </c>
      <c r="R521" s="144">
        <v>0.54500000000000004</v>
      </c>
      <c r="S521" s="144">
        <v>0.51500000000000001</v>
      </c>
      <c r="T521" s="144">
        <v>0.51500000000000001</v>
      </c>
      <c r="U521" s="141">
        <v>0.56000000000000005</v>
      </c>
      <c r="V521" s="145">
        <v>0.46</v>
      </c>
      <c r="W521" s="144">
        <v>0.54500000000000004</v>
      </c>
      <c r="X521" s="144">
        <v>0.51500000000000001</v>
      </c>
      <c r="Y521" s="144">
        <v>0.53500000000000003</v>
      </c>
      <c r="Z521" s="144">
        <v>0.57999999999999996</v>
      </c>
      <c r="AA521" s="144">
        <v>0.495</v>
      </c>
      <c r="AB521" s="143">
        <f>_xlfn.STDEV.P(D521:AA521)</f>
        <v>3.8364457473320575E-2</v>
      </c>
      <c r="AC521" s="146"/>
    </row>
    <row r="522" spans="1:29">
      <c r="A522" s="260"/>
      <c r="B522" s="147" t="s">
        <v>1928</v>
      </c>
      <c r="D522" s="148" t="s">
        <v>1794</v>
      </c>
      <c r="E522" s="148" t="s">
        <v>1796</v>
      </c>
      <c r="F522" s="148" t="s">
        <v>1796</v>
      </c>
      <c r="G522" s="148" t="s">
        <v>1796</v>
      </c>
      <c r="H522" s="148" t="s">
        <v>1794</v>
      </c>
      <c r="I522" s="149" t="s">
        <v>1794</v>
      </c>
      <c r="J522" s="150" t="s">
        <v>1794</v>
      </c>
      <c r="K522" s="148" t="s">
        <v>1796</v>
      </c>
      <c r="L522" s="148" t="s">
        <v>1796</v>
      </c>
      <c r="M522" s="148" t="s">
        <v>1796</v>
      </c>
      <c r="N522" s="148" t="s">
        <v>1794</v>
      </c>
      <c r="O522" s="149" t="s">
        <v>1794</v>
      </c>
      <c r="P522" s="150" t="s">
        <v>1796</v>
      </c>
      <c r="Q522" s="148" t="s">
        <v>1794</v>
      </c>
      <c r="R522" s="148" t="s">
        <v>1794</v>
      </c>
      <c r="S522" s="148" t="s">
        <v>1796</v>
      </c>
      <c r="T522" s="148" t="s">
        <v>1796</v>
      </c>
      <c r="U522" s="149" t="s">
        <v>1796</v>
      </c>
      <c r="V522" s="150" t="s">
        <v>1796</v>
      </c>
      <c r="W522" s="148" t="s">
        <v>1796</v>
      </c>
      <c r="X522" s="148" t="s">
        <v>1794</v>
      </c>
      <c r="Y522" s="148" t="s">
        <v>1796</v>
      </c>
      <c r="Z522" s="148" t="s">
        <v>1794</v>
      </c>
      <c r="AA522" s="148" t="s">
        <v>1796</v>
      </c>
      <c r="AB522" s="143"/>
      <c r="AC522" s="151" t="s">
        <v>1829</v>
      </c>
    </row>
    <row r="523" spans="1:29">
      <c r="A523" s="260"/>
      <c r="B523" t="s">
        <v>1929</v>
      </c>
      <c r="C523" t="s">
        <v>40</v>
      </c>
      <c r="D523" s="141">
        <v>0.41499999999999998</v>
      </c>
      <c r="E523" s="141">
        <v>0.46500000000000002</v>
      </c>
      <c r="F523" s="141">
        <v>0.47</v>
      </c>
      <c r="G523" s="141">
        <v>0.45</v>
      </c>
      <c r="H523" s="141">
        <v>0.46500000000000002</v>
      </c>
      <c r="I523" s="141">
        <v>0.46500000000000002</v>
      </c>
      <c r="J523" s="142">
        <v>0.45500000000000002</v>
      </c>
      <c r="K523" s="141">
        <v>0.45500000000000002</v>
      </c>
      <c r="L523" s="141">
        <v>0.47499999999999998</v>
      </c>
      <c r="M523" s="141">
        <v>0.45</v>
      </c>
      <c r="N523" s="141">
        <v>0.48</v>
      </c>
      <c r="O523" s="141">
        <v>0.46</v>
      </c>
      <c r="P523" s="142">
        <v>0.46500000000000002</v>
      </c>
      <c r="Q523" s="141">
        <v>0.44500000000000001</v>
      </c>
      <c r="R523" s="141">
        <v>0.44500000000000001</v>
      </c>
      <c r="S523" s="141">
        <v>0.51</v>
      </c>
      <c r="T523" s="141">
        <v>0.47</v>
      </c>
      <c r="U523" s="141">
        <v>0.47</v>
      </c>
      <c r="V523" s="142">
        <v>0.435</v>
      </c>
      <c r="W523" s="141">
        <v>0.4</v>
      </c>
      <c r="X523" s="141">
        <v>0.4</v>
      </c>
      <c r="Y523" s="141">
        <v>0.47499999999999998</v>
      </c>
      <c r="Z523" s="141">
        <v>0.4</v>
      </c>
      <c r="AA523" s="141">
        <v>0.46</v>
      </c>
      <c r="AB523" s="143">
        <f>_xlfn.STDEV.P(D523:AA523)</f>
        <v>2.6483747636784499E-2</v>
      </c>
      <c r="AC523" s="143"/>
    </row>
    <row r="524" spans="1:29">
      <c r="A524" s="260"/>
      <c r="C524" t="s">
        <v>220</v>
      </c>
      <c r="D524" s="141">
        <v>0.99</v>
      </c>
      <c r="E524" s="141">
        <v>1.0049999999999999</v>
      </c>
      <c r="F524" s="141">
        <v>0.93500000000000005</v>
      </c>
      <c r="G524" s="141">
        <v>1.0049999999999999</v>
      </c>
      <c r="H524" s="141">
        <v>0.94499999999999995</v>
      </c>
      <c r="I524" s="141">
        <v>0.94499999999999995</v>
      </c>
      <c r="J524" s="142">
        <v>1.0249999999999999</v>
      </c>
      <c r="K524" s="141">
        <v>1.07</v>
      </c>
      <c r="L524" s="141">
        <v>1.06</v>
      </c>
      <c r="M524" s="141">
        <v>1.0249999999999999</v>
      </c>
      <c r="N524" s="141">
        <v>1.02</v>
      </c>
      <c r="O524" s="141">
        <v>1</v>
      </c>
      <c r="P524" s="142">
        <v>1.03</v>
      </c>
      <c r="Q524" s="141">
        <v>0.99</v>
      </c>
      <c r="R524" s="141">
        <v>1.01</v>
      </c>
      <c r="S524" s="141">
        <v>1</v>
      </c>
      <c r="T524" s="141">
        <v>1</v>
      </c>
      <c r="U524" s="141">
        <v>1</v>
      </c>
      <c r="V524" s="142">
        <v>1.01</v>
      </c>
      <c r="W524" s="141">
        <v>1.0349999999999999</v>
      </c>
      <c r="X524" s="141">
        <v>1.0349999999999999</v>
      </c>
      <c r="Y524" s="141">
        <v>0.99</v>
      </c>
      <c r="Z524" s="141">
        <v>1.0049999999999999</v>
      </c>
      <c r="AA524" s="141">
        <v>1</v>
      </c>
      <c r="AB524" s="143">
        <f>_xlfn.STDEV.P(D524:AA524)</f>
        <v>3.1388581611082003E-2</v>
      </c>
      <c r="AC524" s="143"/>
    </row>
    <row r="525" spans="1:29">
      <c r="A525" s="260"/>
      <c r="C525" t="s">
        <v>221</v>
      </c>
      <c r="D525" s="144">
        <v>0.51</v>
      </c>
      <c r="E525" s="144">
        <v>0.51500000000000001</v>
      </c>
      <c r="F525" s="144">
        <v>0.56000000000000005</v>
      </c>
      <c r="G525" s="144">
        <v>0.53500000000000003</v>
      </c>
      <c r="H525" s="144">
        <v>0.6</v>
      </c>
      <c r="I525" s="141">
        <v>0.6</v>
      </c>
      <c r="J525" s="145">
        <v>0.53</v>
      </c>
      <c r="K525" s="144">
        <v>0.52500000000000002</v>
      </c>
      <c r="L525" s="144">
        <v>0.51500000000000001</v>
      </c>
      <c r="M525" s="144">
        <v>0.53500000000000003</v>
      </c>
      <c r="N525" s="144">
        <v>0.53500000000000003</v>
      </c>
      <c r="O525" s="141">
        <v>0.54</v>
      </c>
      <c r="P525" s="145">
        <v>0.53</v>
      </c>
      <c r="Q525" s="144">
        <v>0.56499999999999995</v>
      </c>
      <c r="R525" s="144">
        <v>0.55000000000000004</v>
      </c>
      <c r="S525" s="144">
        <v>0.56999999999999995</v>
      </c>
      <c r="T525" s="144">
        <v>0.55000000000000004</v>
      </c>
      <c r="U525" s="141">
        <v>0.55000000000000004</v>
      </c>
      <c r="V525" s="145">
        <v>0.54500000000000004</v>
      </c>
      <c r="W525" s="144">
        <v>0.52</v>
      </c>
      <c r="X525" s="144">
        <v>0.52</v>
      </c>
      <c r="Y525" s="144">
        <v>0.54</v>
      </c>
      <c r="Z525" s="144">
        <v>0.56499999999999995</v>
      </c>
      <c r="AA525" s="144">
        <v>0.54</v>
      </c>
      <c r="AB525" s="143">
        <f>_xlfn.STDEV.P(D525:AA525)</f>
        <v>2.3473352208171892E-2</v>
      </c>
      <c r="AC525" s="146"/>
    </row>
    <row r="526" spans="1:29">
      <c r="A526" s="260"/>
      <c r="B526" s="147" t="s">
        <v>1930</v>
      </c>
      <c r="D526" s="148" t="s">
        <v>1794</v>
      </c>
      <c r="E526" s="148" t="s">
        <v>1796</v>
      </c>
      <c r="F526" s="148" t="s">
        <v>1796</v>
      </c>
      <c r="G526" s="148" t="s">
        <v>1796</v>
      </c>
      <c r="H526" s="148" t="s">
        <v>1795</v>
      </c>
      <c r="I526" s="149" t="s">
        <v>1803</v>
      </c>
      <c r="J526" s="150" t="s">
        <v>1803</v>
      </c>
      <c r="K526" s="148" t="s">
        <v>1803</v>
      </c>
      <c r="L526" s="148" t="s">
        <v>1796</v>
      </c>
      <c r="M526" s="148" t="s">
        <v>1796</v>
      </c>
      <c r="N526" s="148" t="s">
        <v>1794</v>
      </c>
      <c r="O526" s="149" t="s">
        <v>1796</v>
      </c>
      <c r="P526" s="150" t="s">
        <v>1796</v>
      </c>
      <c r="Q526" s="148" t="s">
        <v>1794</v>
      </c>
      <c r="R526" s="148" t="s">
        <v>1796</v>
      </c>
      <c r="S526" s="148" t="s">
        <v>1796</v>
      </c>
      <c r="T526" s="148" t="s">
        <v>1794</v>
      </c>
      <c r="U526" s="149" t="s">
        <v>1794</v>
      </c>
      <c r="V526" s="150" t="s">
        <v>1796</v>
      </c>
      <c r="W526" s="148" t="s">
        <v>1796</v>
      </c>
      <c r="X526" s="148" t="s">
        <v>1796</v>
      </c>
      <c r="Y526" s="148" t="s">
        <v>1803</v>
      </c>
      <c r="Z526" s="148" t="s">
        <v>1794</v>
      </c>
      <c r="AA526" s="148" t="s">
        <v>1794</v>
      </c>
      <c r="AB526" s="143"/>
      <c r="AC526" s="151" t="s">
        <v>1931</v>
      </c>
    </row>
    <row r="527" spans="1:29">
      <c r="A527" s="260"/>
      <c r="B527" t="s">
        <v>1932</v>
      </c>
      <c r="C527" t="s">
        <v>40</v>
      </c>
      <c r="D527" s="141">
        <v>0.45</v>
      </c>
      <c r="E527" s="141">
        <v>0.44500000000000001</v>
      </c>
      <c r="F527" s="141">
        <v>0.47499999999999998</v>
      </c>
      <c r="G527" s="141">
        <v>0.45</v>
      </c>
      <c r="H527" s="141">
        <v>0.48499999999999999</v>
      </c>
      <c r="I527" s="141">
        <v>0.48499999999999999</v>
      </c>
      <c r="J527" s="142">
        <v>0.46</v>
      </c>
      <c r="K527" s="141">
        <v>0.42</v>
      </c>
      <c r="L527" s="141">
        <v>0.42</v>
      </c>
      <c r="M527" s="141">
        <v>0.46</v>
      </c>
      <c r="N527" s="141">
        <v>0.40500000000000003</v>
      </c>
      <c r="O527" s="141">
        <v>0.42499999999999999</v>
      </c>
      <c r="P527" s="142">
        <v>0.47499999999999998</v>
      </c>
      <c r="Q527" s="141">
        <v>0.41</v>
      </c>
      <c r="R527" s="141">
        <v>0.48</v>
      </c>
      <c r="S527" s="141">
        <v>0.46</v>
      </c>
      <c r="T527" s="141">
        <v>0.45</v>
      </c>
      <c r="U527" s="141">
        <v>0.44500000000000001</v>
      </c>
      <c r="V527" s="142">
        <v>0.44500000000000001</v>
      </c>
      <c r="W527" s="141">
        <v>0.46</v>
      </c>
      <c r="X527" s="141">
        <v>0.44</v>
      </c>
      <c r="Y527" s="141">
        <v>0.33</v>
      </c>
      <c r="Z527" s="141">
        <v>0.33</v>
      </c>
      <c r="AA527" s="141">
        <v>0.47499999999999998</v>
      </c>
      <c r="AB527" s="143">
        <f>_xlfn.STDEV.P(D527:AA527)</f>
        <v>4.0121343724035731E-2</v>
      </c>
      <c r="AC527" s="143"/>
    </row>
    <row r="528" spans="1:29">
      <c r="A528" s="260"/>
      <c r="C528" t="s">
        <v>220</v>
      </c>
      <c r="D528" s="141">
        <v>1.0049999999999999</v>
      </c>
      <c r="E528" s="141">
        <v>1</v>
      </c>
      <c r="F528" s="141">
        <v>1.0649999999999999</v>
      </c>
      <c r="G528" s="141">
        <v>1.0049999999999999</v>
      </c>
      <c r="H528" s="141">
        <v>1</v>
      </c>
      <c r="I528" s="141">
        <v>1</v>
      </c>
      <c r="J528" s="142">
        <v>0.98</v>
      </c>
      <c r="K528" s="141">
        <v>1.06</v>
      </c>
      <c r="L528" s="141">
        <v>1.06</v>
      </c>
      <c r="M528" s="141">
        <v>1.0049999999999999</v>
      </c>
      <c r="N528" s="141">
        <v>1.0049999999999999</v>
      </c>
      <c r="O528" s="141">
        <v>1.01</v>
      </c>
      <c r="P528" s="142">
        <v>1</v>
      </c>
      <c r="Q528" s="141">
        <v>1.0249999999999999</v>
      </c>
      <c r="R528" s="141">
        <v>1.0049999999999999</v>
      </c>
      <c r="S528" s="141">
        <v>1.0149999999999999</v>
      </c>
      <c r="T528" s="141">
        <v>1</v>
      </c>
      <c r="U528" s="141">
        <v>1.0049999999999999</v>
      </c>
      <c r="V528" s="142">
        <v>1.0149999999999999</v>
      </c>
      <c r="W528" s="141">
        <v>0.98499999999999999</v>
      </c>
      <c r="X528" s="141">
        <v>1.0049999999999999</v>
      </c>
      <c r="Y528" s="141">
        <v>1.0049999999999999</v>
      </c>
      <c r="Z528" s="141">
        <v>1.0049999999999999</v>
      </c>
      <c r="AA528" s="141">
        <v>0.995</v>
      </c>
      <c r="AB528" s="143">
        <f>_xlfn.STDEV.P(D528:AA528)</f>
        <v>2.1179417091443609E-2</v>
      </c>
      <c r="AC528" s="143"/>
    </row>
    <row r="529" spans="1:29">
      <c r="A529" s="260"/>
      <c r="C529" t="s">
        <v>221</v>
      </c>
      <c r="D529" s="144">
        <v>0.56000000000000005</v>
      </c>
      <c r="E529" s="144">
        <v>0.53</v>
      </c>
      <c r="F529" s="144">
        <v>0.5</v>
      </c>
      <c r="G529" s="144">
        <v>0.53</v>
      </c>
      <c r="H529" s="144">
        <v>0.55000000000000004</v>
      </c>
      <c r="I529" s="141">
        <v>0.55000000000000004</v>
      </c>
      <c r="J529" s="145">
        <v>0.59</v>
      </c>
      <c r="K529" s="144">
        <v>0.54500000000000004</v>
      </c>
      <c r="L529" s="144">
        <v>0.54500000000000004</v>
      </c>
      <c r="M529" s="144">
        <v>0.54</v>
      </c>
      <c r="N529" s="144">
        <v>0.55500000000000005</v>
      </c>
      <c r="O529" s="141">
        <v>0.53</v>
      </c>
      <c r="P529" s="145">
        <v>0.56000000000000005</v>
      </c>
      <c r="Q529" s="144">
        <v>0.54</v>
      </c>
      <c r="R529" s="144">
        <v>0.55000000000000004</v>
      </c>
      <c r="S529" s="144">
        <v>0.52500000000000002</v>
      </c>
      <c r="T529" s="144">
        <v>0.55000000000000004</v>
      </c>
      <c r="U529" s="141">
        <v>0.53500000000000003</v>
      </c>
      <c r="V529" s="145">
        <v>0.54</v>
      </c>
      <c r="W529" s="144">
        <v>0.58499999999999996</v>
      </c>
      <c r="X529" s="144">
        <v>0.55000000000000004</v>
      </c>
      <c r="Y529" s="144">
        <v>0.52</v>
      </c>
      <c r="Z529" s="144">
        <v>0.52</v>
      </c>
      <c r="AA529" s="144">
        <v>0.54</v>
      </c>
      <c r="AB529" s="143">
        <f>_xlfn.STDEV.P(D529:AA529)</f>
        <v>1.9130400472081654E-2</v>
      </c>
      <c r="AC529" s="146"/>
    </row>
    <row r="530" spans="1:29">
      <c r="A530" s="260"/>
      <c r="B530" s="147" t="s">
        <v>1933</v>
      </c>
      <c r="D530" s="148" t="s">
        <v>1796</v>
      </c>
      <c r="E530" s="148" t="s">
        <v>1796</v>
      </c>
      <c r="F530" s="148" t="s">
        <v>1796</v>
      </c>
      <c r="G530" s="148" t="s">
        <v>1803</v>
      </c>
      <c r="H530" s="148" t="s">
        <v>1795</v>
      </c>
      <c r="I530" s="149" t="s">
        <v>1794</v>
      </c>
      <c r="J530" s="150" t="s">
        <v>1794</v>
      </c>
      <c r="K530" s="148" t="s">
        <v>1796</v>
      </c>
      <c r="L530" s="148" t="s">
        <v>1803</v>
      </c>
      <c r="M530" s="148" t="s">
        <v>1796</v>
      </c>
      <c r="N530" s="148" t="s">
        <v>1794</v>
      </c>
      <c r="O530" s="149" t="s">
        <v>1796</v>
      </c>
      <c r="P530" s="150" t="s">
        <v>1795</v>
      </c>
      <c r="Q530" s="148" t="s">
        <v>1796</v>
      </c>
      <c r="R530" s="148" t="s">
        <v>1803</v>
      </c>
      <c r="S530" s="148" t="s">
        <v>1796</v>
      </c>
      <c r="T530" s="148" t="s">
        <v>1796</v>
      </c>
      <c r="U530" s="149" t="s">
        <v>1796</v>
      </c>
      <c r="V530" s="150" t="s">
        <v>1794</v>
      </c>
      <c r="W530" s="148" t="s">
        <v>1795</v>
      </c>
      <c r="X530" s="148" t="s">
        <v>1794</v>
      </c>
      <c r="Y530" s="148" t="s">
        <v>1794</v>
      </c>
      <c r="Z530" s="148" t="s">
        <v>1796</v>
      </c>
      <c r="AA530" s="148" t="s">
        <v>1794</v>
      </c>
      <c r="AB530" s="143"/>
      <c r="AC530" s="151" t="s">
        <v>1875</v>
      </c>
    </row>
    <row r="531" spans="1:29">
      <c r="A531" s="260"/>
      <c r="B531" t="s">
        <v>1934</v>
      </c>
      <c r="C531" t="s">
        <v>40</v>
      </c>
      <c r="D531" s="141">
        <v>0.44500000000000001</v>
      </c>
      <c r="E531" s="141">
        <v>0.47</v>
      </c>
      <c r="F531" s="141">
        <v>0.47</v>
      </c>
      <c r="G531" s="141">
        <v>0.44</v>
      </c>
      <c r="H531" s="141">
        <v>0.52500000000000002</v>
      </c>
      <c r="I531" s="141">
        <v>0.51</v>
      </c>
      <c r="J531" s="142">
        <v>0.47499999999999998</v>
      </c>
      <c r="K531" s="141">
        <v>0.47</v>
      </c>
      <c r="L531" s="141">
        <v>0.42499999999999999</v>
      </c>
      <c r="M531" s="141">
        <v>0.43</v>
      </c>
      <c r="N531" s="141">
        <v>0.46</v>
      </c>
      <c r="O531" s="141">
        <v>0.46</v>
      </c>
      <c r="P531" s="142">
        <v>0.46500000000000002</v>
      </c>
      <c r="Q531" s="141">
        <v>0.435</v>
      </c>
      <c r="R531" s="141">
        <v>0.47499999999999998</v>
      </c>
      <c r="S531" s="141">
        <v>0.43</v>
      </c>
      <c r="T531" s="141">
        <v>0.44</v>
      </c>
      <c r="U531" s="141">
        <v>0.44500000000000001</v>
      </c>
      <c r="V531" s="142">
        <v>0.42499999999999999</v>
      </c>
      <c r="W531" s="141">
        <v>0.44500000000000001</v>
      </c>
      <c r="X531" s="141">
        <v>0.48</v>
      </c>
      <c r="Y531" s="141">
        <v>0.45500000000000002</v>
      </c>
      <c r="Z531" s="141">
        <v>0.41</v>
      </c>
      <c r="AA531" s="141">
        <v>0.41</v>
      </c>
      <c r="AB531" s="143">
        <f>_xlfn.STDEV.P(D531:AA531)</f>
        <v>2.76879624365696E-2</v>
      </c>
      <c r="AC531" s="143"/>
    </row>
    <row r="532" spans="1:29">
      <c r="A532" s="260"/>
      <c r="C532" t="s">
        <v>220</v>
      </c>
      <c r="D532" s="141">
        <v>1.0049999999999999</v>
      </c>
      <c r="E532" s="141">
        <v>1</v>
      </c>
      <c r="F532" s="141">
        <v>1</v>
      </c>
      <c r="G532" s="141">
        <v>1.0149999999999999</v>
      </c>
      <c r="H532" s="141">
        <v>0.995</v>
      </c>
      <c r="I532" s="141">
        <v>0.96499999999999997</v>
      </c>
      <c r="J532" s="142">
        <v>0.97499999999999998</v>
      </c>
      <c r="K532" s="141">
        <v>1.0649999999999999</v>
      </c>
      <c r="L532" s="141">
        <v>1.085</v>
      </c>
      <c r="M532" s="141">
        <v>1.0149999999999999</v>
      </c>
      <c r="N532" s="141">
        <v>1.02</v>
      </c>
      <c r="O532" s="141">
        <v>1.02</v>
      </c>
      <c r="P532" s="142">
        <v>1.0149999999999999</v>
      </c>
      <c r="Q532" s="141">
        <v>1.0049999999999999</v>
      </c>
      <c r="R532" s="141">
        <v>1</v>
      </c>
      <c r="S532" s="141">
        <v>1</v>
      </c>
      <c r="T532" s="141">
        <v>1.0049999999999999</v>
      </c>
      <c r="U532" s="141">
        <v>1</v>
      </c>
      <c r="V532" s="142">
        <v>1.0049999999999999</v>
      </c>
      <c r="W532" s="141">
        <v>1</v>
      </c>
      <c r="X532" s="141">
        <v>0.95499999999999996</v>
      </c>
      <c r="Y532" s="141">
        <v>1.01</v>
      </c>
      <c r="Z532" s="141">
        <v>1.01</v>
      </c>
      <c r="AA532" s="141">
        <v>1.01</v>
      </c>
      <c r="AB532" s="143">
        <f>_xlfn.STDEV.P(D532:AA532)</f>
        <v>2.5778672009154298E-2</v>
      </c>
      <c r="AC532" s="143"/>
    </row>
    <row r="533" spans="1:29">
      <c r="A533" s="260"/>
      <c r="C533" t="s">
        <v>221</v>
      </c>
      <c r="D533" s="144">
        <v>0.56999999999999995</v>
      </c>
      <c r="E533" s="144">
        <v>0.55500000000000005</v>
      </c>
      <c r="F533" s="144">
        <v>0.54500000000000004</v>
      </c>
      <c r="G533" s="144">
        <v>0.56499999999999995</v>
      </c>
      <c r="H533" s="144">
        <v>0.56000000000000005</v>
      </c>
      <c r="I533" s="141">
        <v>0.56000000000000005</v>
      </c>
      <c r="J533" s="145">
        <v>0.55000000000000004</v>
      </c>
      <c r="K533" s="144">
        <v>0.495</v>
      </c>
      <c r="L533" s="144">
        <v>0.52</v>
      </c>
      <c r="M533" s="144">
        <v>0.55000000000000004</v>
      </c>
      <c r="N533" s="144">
        <v>0.55000000000000004</v>
      </c>
      <c r="O533" s="141">
        <v>0.55000000000000004</v>
      </c>
      <c r="P533" s="145">
        <v>0.53</v>
      </c>
      <c r="Q533" s="144">
        <v>0.52</v>
      </c>
      <c r="R533" s="144">
        <v>0.56000000000000005</v>
      </c>
      <c r="S533" s="144">
        <v>0.53</v>
      </c>
      <c r="T533" s="144">
        <v>0.54500000000000004</v>
      </c>
      <c r="U533" s="141">
        <v>0.59499999999999997</v>
      </c>
      <c r="V533" s="145">
        <v>0.55500000000000005</v>
      </c>
      <c r="W533" s="144">
        <v>0.55000000000000004</v>
      </c>
      <c r="X533" s="144">
        <v>0.57499999999999996</v>
      </c>
      <c r="Y533" s="144">
        <v>0.52500000000000002</v>
      </c>
      <c r="Z533" s="144">
        <v>0.57499999999999996</v>
      </c>
      <c r="AA533" s="144">
        <v>0.57499999999999996</v>
      </c>
      <c r="AB533" s="143">
        <f>_xlfn.STDEV.P(D533:AA533)</f>
        <v>2.1577339901438775E-2</v>
      </c>
      <c r="AC533" s="146"/>
    </row>
    <row r="534" spans="1:29">
      <c r="A534" s="260"/>
      <c r="B534" s="147" t="s">
        <v>1935</v>
      </c>
      <c r="D534" s="148" t="s">
        <v>1794</v>
      </c>
      <c r="E534" s="148" t="s">
        <v>1796</v>
      </c>
      <c r="F534" s="148" t="s">
        <v>1796</v>
      </c>
      <c r="G534" s="148" t="s">
        <v>1796</v>
      </c>
      <c r="H534" s="148" t="s">
        <v>1803</v>
      </c>
      <c r="I534" s="149" t="s">
        <v>1794</v>
      </c>
      <c r="J534" s="150" t="s">
        <v>1794</v>
      </c>
      <c r="K534" s="148" t="s">
        <v>1794</v>
      </c>
      <c r="L534" s="148" t="s">
        <v>1794</v>
      </c>
      <c r="M534" s="148" t="s">
        <v>1796</v>
      </c>
      <c r="N534" s="148" t="s">
        <v>1796</v>
      </c>
      <c r="O534" s="149" t="s">
        <v>1803</v>
      </c>
      <c r="P534" s="150" t="s">
        <v>1796</v>
      </c>
      <c r="Q534" s="148" t="s">
        <v>1796</v>
      </c>
      <c r="R534" s="148" t="s">
        <v>1796</v>
      </c>
      <c r="S534" s="148" t="s">
        <v>1796</v>
      </c>
      <c r="T534" s="148" t="s">
        <v>1803</v>
      </c>
      <c r="U534" s="149" t="s">
        <v>1796</v>
      </c>
      <c r="V534" s="150" t="s">
        <v>1796</v>
      </c>
      <c r="W534" s="148" t="s">
        <v>1794</v>
      </c>
      <c r="X534" s="148" t="s">
        <v>1796</v>
      </c>
      <c r="Y534" s="148" t="s">
        <v>1794</v>
      </c>
      <c r="Z534" s="148" t="s">
        <v>1794</v>
      </c>
      <c r="AA534" s="148" t="s">
        <v>1794</v>
      </c>
      <c r="AB534" s="143"/>
      <c r="AC534" s="151" t="s">
        <v>1936</v>
      </c>
    </row>
    <row r="535" spans="1:29">
      <c r="A535" s="260"/>
      <c r="B535" t="s">
        <v>1937</v>
      </c>
      <c r="C535" t="s">
        <v>40</v>
      </c>
      <c r="D535" s="141">
        <v>0.45500000000000002</v>
      </c>
      <c r="E535" s="141">
        <v>0.46</v>
      </c>
      <c r="F535" s="141">
        <v>0.46500000000000002</v>
      </c>
      <c r="G535" s="141">
        <v>0.435</v>
      </c>
      <c r="H535" s="141">
        <v>0.45500000000000002</v>
      </c>
      <c r="I535" s="141">
        <v>0.45</v>
      </c>
      <c r="J535" s="142">
        <v>0.47</v>
      </c>
      <c r="K535" s="141">
        <v>0.47499999999999998</v>
      </c>
      <c r="L535" s="141">
        <v>0.42</v>
      </c>
      <c r="M535" s="141">
        <v>0.45</v>
      </c>
      <c r="N535" s="141">
        <v>0.52500000000000002</v>
      </c>
      <c r="O535" s="141">
        <v>0.52500000000000002</v>
      </c>
      <c r="P535" s="142">
        <v>0.55000000000000004</v>
      </c>
      <c r="Q535" s="141">
        <v>0.48499999999999999</v>
      </c>
      <c r="R535" s="141">
        <v>0.45500000000000002</v>
      </c>
      <c r="S535" s="141">
        <v>0.45500000000000002</v>
      </c>
      <c r="T535" s="141">
        <v>0.435</v>
      </c>
      <c r="U535" s="141">
        <v>0.45</v>
      </c>
      <c r="V535" s="142">
        <v>0.48499999999999999</v>
      </c>
      <c r="W535" s="141">
        <v>0.46</v>
      </c>
      <c r="X535" s="141">
        <v>0.435</v>
      </c>
      <c r="Y535" s="141">
        <v>0.45500000000000002</v>
      </c>
      <c r="Z535" s="141">
        <v>0.505</v>
      </c>
      <c r="AA535" s="141">
        <v>0.505</v>
      </c>
      <c r="AB535" s="143">
        <f>_xlfn.STDEV.P(D535:AA535)</f>
        <v>3.167762968124703E-2</v>
      </c>
      <c r="AC535" s="143"/>
    </row>
    <row r="536" spans="1:29">
      <c r="A536" s="260"/>
      <c r="C536" t="s">
        <v>220</v>
      </c>
      <c r="D536" s="141">
        <v>1.0049999999999999</v>
      </c>
      <c r="E536" s="141">
        <v>1.0049999999999999</v>
      </c>
      <c r="F536" s="141">
        <v>1.01</v>
      </c>
      <c r="G536" s="141">
        <v>0.98499999999999999</v>
      </c>
      <c r="H536" s="141">
        <v>1</v>
      </c>
      <c r="I536" s="141">
        <v>0.93</v>
      </c>
      <c r="J536" s="142">
        <v>1.01</v>
      </c>
      <c r="K536" s="141">
        <v>1.02</v>
      </c>
      <c r="L536" s="141">
        <v>1.06</v>
      </c>
      <c r="M536" s="141">
        <v>1</v>
      </c>
      <c r="N536" s="141">
        <v>1</v>
      </c>
      <c r="O536" s="141">
        <v>1</v>
      </c>
      <c r="P536" s="142">
        <v>0.995</v>
      </c>
      <c r="Q536" s="141">
        <v>1</v>
      </c>
      <c r="R536" s="141">
        <v>1.0049999999999999</v>
      </c>
      <c r="S536" s="141">
        <v>1.0049999999999999</v>
      </c>
      <c r="T536" s="141">
        <v>0.99</v>
      </c>
      <c r="U536" s="141">
        <v>1</v>
      </c>
      <c r="V536" s="142">
        <v>1.01</v>
      </c>
      <c r="W536" s="141">
        <v>1.02</v>
      </c>
      <c r="X536" s="141">
        <v>1.0349999999999999</v>
      </c>
      <c r="Y536" s="141">
        <v>1.01</v>
      </c>
      <c r="Z536" s="141">
        <v>1</v>
      </c>
      <c r="AA536" s="141">
        <v>1</v>
      </c>
      <c r="AB536" s="143">
        <f>_xlfn.STDEV.P(D536:AA536)</f>
        <v>2.1407707269942657E-2</v>
      </c>
      <c r="AC536" s="143"/>
    </row>
    <row r="537" spans="1:29">
      <c r="A537" s="260"/>
      <c r="C537" t="s">
        <v>221</v>
      </c>
      <c r="D537" s="144">
        <v>0.55000000000000004</v>
      </c>
      <c r="E537" s="144">
        <v>0.55000000000000004</v>
      </c>
      <c r="F537" s="144">
        <v>0.55000000000000004</v>
      </c>
      <c r="G537" s="144">
        <v>0.56000000000000005</v>
      </c>
      <c r="H537" s="144">
        <v>0.53500000000000003</v>
      </c>
      <c r="I537" s="141">
        <v>0.55500000000000005</v>
      </c>
      <c r="J537" s="145">
        <v>0.55500000000000005</v>
      </c>
      <c r="K537" s="144">
        <v>0.54</v>
      </c>
      <c r="L537" s="144">
        <v>0.505</v>
      </c>
      <c r="M537" s="144">
        <v>0.56999999999999995</v>
      </c>
      <c r="N537" s="144">
        <v>0.55500000000000005</v>
      </c>
      <c r="O537" s="141">
        <v>0.55500000000000005</v>
      </c>
      <c r="P537" s="145">
        <v>0.53500000000000003</v>
      </c>
      <c r="Q537" s="144">
        <v>0.56499999999999995</v>
      </c>
      <c r="R537" s="144">
        <v>0.55000000000000004</v>
      </c>
      <c r="S537" s="144">
        <v>0.55000000000000004</v>
      </c>
      <c r="T537" s="144">
        <v>0.55000000000000004</v>
      </c>
      <c r="U537" s="141">
        <v>0.505</v>
      </c>
      <c r="V537" s="145">
        <v>0.53</v>
      </c>
      <c r="W537" s="144">
        <v>0.54500000000000004</v>
      </c>
      <c r="X537" s="144">
        <v>0.52500000000000002</v>
      </c>
      <c r="Y537" s="144">
        <v>0.53500000000000003</v>
      </c>
      <c r="Z537" s="144">
        <v>0.54</v>
      </c>
      <c r="AA537" s="144">
        <v>0.54</v>
      </c>
      <c r="AB537" s="143">
        <f>_xlfn.STDEV.P(D537:AA537)</f>
        <v>1.5761900266148113E-2</v>
      </c>
      <c r="AC537" s="146"/>
    </row>
    <row r="538" spans="1:29">
      <c r="A538" s="260"/>
      <c r="B538" s="147" t="s">
        <v>1938</v>
      </c>
      <c r="D538" s="148" t="s">
        <v>1794</v>
      </c>
      <c r="E538" s="148" t="s">
        <v>1796</v>
      </c>
      <c r="F538" s="148" t="s">
        <v>1796</v>
      </c>
      <c r="G538" s="148" t="s">
        <v>1803</v>
      </c>
      <c r="H538" s="148" t="s">
        <v>1795</v>
      </c>
      <c r="I538" s="149" t="s">
        <v>1794</v>
      </c>
      <c r="J538" s="150" t="s">
        <v>1794</v>
      </c>
      <c r="K538" s="148" t="s">
        <v>1796</v>
      </c>
      <c r="L538" s="148" t="s">
        <v>1796</v>
      </c>
      <c r="M538" s="148" t="s">
        <v>1794</v>
      </c>
      <c r="N538" s="148" t="s">
        <v>1794</v>
      </c>
      <c r="O538" s="149" t="s">
        <v>1794</v>
      </c>
      <c r="P538" s="150" t="s">
        <v>1803</v>
      </c>
      <c r="Q538" s="148" t="s">
        <v>1794</v>
      </c>
      <c r="R538" s="148" t="s">
        <v>1794</v>
      </c>
      <c r="S538" s="148" t="s">
        <v>1796</v>
      </c>
      <c r="T538" s="148" t="s">
        <v>1796</v>
      </c>
      <c r="U538" s="149" t="s">
        <v>1794</v>
      </c>
      <c r="V538" s="150" t="s">
        <v>1794</v>
      </c>
      <c r="W538" s="148" t="s">
        <v>1796</v>
      </c>
      <c r="X538" s="148" t="s">
        <v>1796</v>
      </c>
      <c r="Y538" s="148" t="s">
        <v>1803</v>
      </c>
      <c r="Z538" s="148" t="s">
        <v>1794</v>
      </c>
      <c r="AA538" s="148" t="s">
        <v>1794</v>
      </c>
      <c r="AB538" s="143"/>
      <c r="AC538" s="151" t="s">
        <v>1895</v>
      </c>
    </row>
    <row r="539" spans="1:29">
      <c r="A539" s="260"/>
      <c r="B539" t="s">
        <v>1939</v>
      </c>
      <c r="C539" t="s">
        <v>40</v>
      </c>
      <c r="D539" s="141">
        <v>0.45500000000000002</v>
      </c>
      <c r="E539" s="141">
        <v>0.45</v>
      </c>
      <c r="F539" s="141">
        <v>0.5</v>
      </c>
      <c r="G539" s="141">
        <v>0.46</v>
      </c>
      <c r="H539" s="141">
        <v>0.47</v>
      </c>
      <c r="I539" s="141">
        <v>0.47</v>
      </c>
      <c r="J539" s="142">
        <v>0.47</v>
      </c>
      <c r="K539" s="141">
        <v>0.47499999999999998</v>
      </c>
      <c r="L539" s="141">
        <v>0.44500000000000001</v>
      </c>
      <c r="M539" s="141">
        <v>0.44500000000000001</v>
      </c>
      <c r="N539" s="141">
        <v>0.5</v>
      </c>
      <c r="O539" s="141">
        <v>0.47499999999999998</v>
      </c>
      <c r="P539" s="142">
        <v>0.45</v>
      </c>
      <c r="Q539" s="141">
        <v>0.435</v>
      </c>
      <c r="R539" s="141">
        <v>0.47</v>
      </c>
      <c r="S539" s="141">
        <v>0.435</v>
      </c>
      <c r="T539" s="141">
        <v>0.47</v>
      </c>
      <c r="U539" s="141">
        <v>0.47</v>
      </c>
      <c r="V539" s="142">
        <v>0.45</v>
      </c>
      <c r="W539" s="141">
        <v>0.45</v>
      </c>
      <c r="X539" s="141">
        <v>0.46</v>
      </c>
      <c r="Y539" s="141">
        <v>0.46</v>
      </c>
      <c r="Z539" s="141">
        <v>0.38</v>
      </c>
      <c r="AA539" s="141">
        <v>0.45</v>
      </c>
      <c r="AB539" s="143">
        <f>_xlfn.STDEV.P(D539:AA539)</f>
        <v>2.308555193910973E-2</v>
      </c>
      <c r="AC539" s="143"/>
    </row>
    <row r="540" spans="1:29">
      <c r="A540" s="260"/>
      <c r="C540" t="s">
        <v>220</v>
      </c>
      <c r="D540" s="141">
        <v>1.0049999999999999</v>
      </c>
      <c r="E540" s="141">
        <v>1</v>
      </c>
      <c r="F540" s="141">
        <v>0.97</v>
      </c>
      <c r="G540" s="141">
        <v>1.01</v>
      </c>
      <c r="H540" s="141">
        <v>1.0649999999999999</v>
      </c>
      <c r="I540" s="141">
        <v>1.0649999999999999</v>
      </c>
      <c r="J540" s="142">
        <v>1.075</v>
      </c>
      <c r="K540" s="141">
        <v>1.06</v>
      </c>
      <c r="L540" s="141">
        <v>1.0149999999999999</v>
      </c>
      <c r="M540" s="141">
        <v>1.0149999999999999</v>
      </c>
      <c r="N540" s="141">
        <v>1.01</v>
      </c>
      <c r="O540" s="141">
        <v>1</v>
      </c>
      <c r="P540" s="142">
        <v>1.02</v>
      </c>
      <c r="Q540" s="141">
        <v>0.995</v>
      </c>
      <c r="R540" s="141">
        <v>0.98</v>
      </c>
      <c r="S540" s="141">
        <v>1.0149999999999999</v>
      </c>
      <c r="T540" s="141">
        <v>1</v>
      </c>
      <c r="U540" s="141">
        <v>1</v>
      </c>
      <c r="V540" s="142">
        <v>0.995</v>
      </c>
      <c r="W540" s="141">
        <v>0.94</v>
      </c>
      <c r="X540" s="141">
        <v>0.995</v>
      </c>
      <c r="Y540" s="141">
        <v>0.995</v>
      </c>
      <c r="Z540" s="141">
        <v>0.995</v>
      </c>
      <c r="AA540" s="141">
        <v>1</v>
      </c>
      <c r="AB540" s="143">
        <f>_xlfn.STDEV.P(D540:AA540)</f>
        <v>3.0265032995558126E-2</v>
      </c>
      <c r="AC540" s="143"/>
    </row>
    <row r="541" spans="1:29">
      <c r="A541" s="260"/>
      <c r="C541" t="s">
        <v>221</v>
      </c>
      <c r="D541" s="144">
        <v>0.55500000000000005</v>
      </c>
      <c r="E541" s="144">
        <v>0.54500000000000004</v>
      </c>
      <c r="F541" s="144">
        <v>0.56999999999999995</v>
      </c>
      <c r="G541" s="144">
        <v>0.55000000000000004</v>
      </c>
      <c r="H541" s="144">
        <v>0.505</v>
      </c>
      <c r="I541" s="141">
        <v>0.505</v>
      </c>
      <c r="J541" s="145">
        <v>0.51</v>
      </c>
      <c r="K541" s="144">
        <v>0.54500000000000004</v>
      </c>
      <c r="L541" s="144">
        <v>0.55000000000000004</v>
      </c>
      <c r="M541" s="144">
        <v>0.55000000000000004</v>
      </c>
      <c r="N541" s="144">
        <v>0.56000000000000005</v>
      </c>
      <c r="O541" s="141">
        <v>0.56499999999999995</v>
      </c>
      <c r="P541" s="145">
        <v>0.55000000000000004</v>
      </c>
      <c r="Q541" s="144">
        <v>0.53</v>
      </c>
      <c r="R541" s="144">
        <v>0.54500000000000004</v>
      </c>
      <c r="S541" s="144">
        <v>0.55000000000000004</v>
      </c>
      <c r="T541" s="144">
        <v>0.56499999999999995</v>
      </c>
      <c r="U541" s="141">
        <v>0.56499999999999995</v>
      </c>
      <c r="V541" s="145">
        <v>0.55000000000000004</v>
      </c>
      <c r="W541" s="144">
        <v>0.55500000000000005</v>
      </c>
      <c r="X541" s="144">
        <v>0.56000000000000005</v>
      </c>
      <c r="Y541" s="144">
        <v>0.56000000000000005</v>
      </c>
      <c r="Z541" s="144">
        <v>0.55500000000000005</v>
      </c>
      <c r="AA541" s="144">
        <v>0.56499999999999995</v>
      </c>
      <c r="AB541" s="143">
        <f>_xlfn.STDEV.P(D541:AA541)</f>
        <v>1.7950549357115007E-2</v>
      </c>
      <c r="AC541" s="146"/>
    </row>
    <row r="542" spans="1:29">
      <c r="A542" s="260"/>
      <c r="B542" s="147" t="s">
        <v>1940</v>
      </c>
      <c r="D542" s="148" t="s">
        <v>1794</v>
      </c>
      <c r="E542" s="148" t="s">
        <v>1796</v>
      </c>
      <c r="F542" s="148" t="s">
        <v>1796</v>
      </c>
      <c r="G542" s="148" t="s">
        <v>1795</v>
      </c>
      <c r="H542" s="148" t="s">
        <v>1795</v>
      </c>
      <c r="I542" s="149" t="s">
        <v>1794</v>
      </c>
      <c r="J542" s="150" t="s">
        <v>1794</v>
      </c>
      <c r="K542" s="148" t="s">
        <v>1796</v>
      </c>
      <c r="L542" s="148" t="s">
        <v>1796</v>
      </c>
      <c r="M542" s="148" t="s">
        <v>1794</v>
      </c>
      <c r="N542" s="148" t="s">
        <v>1794</v>
      </c>
      <c r="O542" s="149" t="s">
        <v>1794</v>
      </c>
      <c r="P542" s="150" t="s">
        <v>1803</v>
      </c>
      <c r="Q542" s="148" t="s">
        <v>1794</v>
      </c>
      <c r="R542" s="148" t="s">
        <v>1794</v>
      </c>
      <c r="S542" s="148" t="s">
        <v>1794</v>
      </c>
      <c r="T542" s="148" t="s">
        <v>1794</v>
      </c>
      <c r="U542" s="149" t="s">
        <v>1795</v>
      </c>
      <c r="V542" s="150" t="s">
        <v>1794</v>
      </c>
      <c r="W542" s="148" t="s">
        <v>1794</v>
      </c>
      <c r="X542" s="148" t="s">
        <v>1794</v>
      </c>
      <c r="Y542" s="148" t="s">
        <v>1796</v>
      </c>
      <c r="Z542" s="148" t="s">
        <v>1794</v>
      </c>
      <c r="AA542" s="148" t="s">
        <v>1794</v>
      </c>
      <c r="AB542" s="143"/>
      <c r="AC542" s="151" t="s">
        <v>1941</v>
      </c>
    </row>
    <row r="543" spans="1:29">
      <c r="A543" s="260"/>
      <c r="B543" s="153" t="s">
        <v>1942</v>
      </c>
      <c r="C543" s="153" t="s">
        <v>40</v>
      </c>
      <c r="D543" s="154">
        <v>0.44500000000000001</v>
      </c>
      <c r="E543" s="154">
        <v>0.44500000000000001</v>
      </c>
      <c r="F543" s="154">
        <v>0.435</v>
      </c>
      <c r="G543" s="154">
        <v>0.45500000000000002</v>
      </c>
      <c r="H543" s="154">
        <v>0.45500000000000002</v>
      </c>
      <c r="I543" s="154">
        <v>0.43</v>
      </c>
      <c r="J543" s="155">
        <v>0.42</v>
      </c>
      <c r="K543" s="154">
        <v>0.44</v>
      </c>
      <c r="L543" s="154">
        <v>0.47</v>
      </c>
      <c r="M543" s="154">
        <v>0.41499999999999998</v>
      </c>
      <c r="N543" s="154">
        <v>0.47</v>
      </c>
      <c r="O543" s="154">
        <v>0.56000000000000005</v>
      </c>
      <c r="P543" s="155">
        <v>0.47</v>
      </c>
      <c r="Q543" s="154">
        <v>0.41</v>
      </c>
      <c r="R543" s="154">
        <v>0.44500000000000001</v>
      </c>
      <c r="S543" s="154">
        <v>0.43</v>
      </c>
      <c r="T543" s="154">
        <v>0.44500000000000001</v>
      </c>
      <c r="U543" s="154">
        <v>0.44500000000000001</v>
      </c>
      <c r="V543" s="155">
        <v>0.45</v>
      </c>
      <c r="W543" s="154">
        <v>0.48499999999999999</v>
      </c>
      <c r="X543" s="154">
        <v>0.46</v>
      </c>
      <c r="Y543" s="154">
        <v>0.46</v>
      </c>
      <c r="Z543" s="154">
        <v>0.44</v>
      </c>
      <c r="AA543" s="154">
        <v>0.41499999999999998</v>
      </c>
      <c r="AB543" s="156">
        <f>_xlfn.STDEV.P(D543:AA543)</f>
        <v>2.9632441634502932E-2</v>
      </c>
      <c r="AC543" s="156"/>
    </row>
    <row r="544" spans="1:29">
      <c r="A544" s="260"/>
      <c r="B544" s="153"/>
      <c r="C544" s="153" t="s">
        <v>220</v>
      </c>
      <c r="D544" s="154">
        <v>1.0049999999999999</v>
      </c>
      <c r="E544" s="154">
        <v>1</v>
      </c>
      <c r="F544" s="154">
        <v>0.93500000000000005</v>
      </c>
      <c r="G544" s="154">
        <v>1.01</v>
      </c>
      <c r="H544" s="154">
        <v>1.01</v>
      </c>
      <c r="I544" s="154">
        <v>0.98</v>
      </c>
      <c r="J544" s="155">
        <v>0.94499999999999995</v>
      </c>
      <c r="K544" s="154">
        <v>0.96</v>
      </c>
      <c r="L544" s="154">
        <v>1.04</v>
      </c>
      <c r="M544" s="154">
        <v>1.0249999999999999</v>
      </c>
      <c r="N544" s="154">
        <v>1.0249999999999999</v>
      </c>
      <c r="O544" s="154">
        <v>0.995</v>
      </c>
      <c r="P544" s="155">
        <v>1.0149999999999999</v>
      </c>
      <c r="Q544" s="154">
        <v>1.01</v>
      </c>
      <c r="R544" s="154">
        <v>1.0049999999999999</v>
      </c>
      <c r="S544" s="154">
        <v>1.0149999999999999</v>
      </c>
      <c r="T544" s="154">
        <v>1</v>
      </c>
      <c r="U544" s="154">
        <v>1</v>
      </c>
      <c r="V544" s="155">
        <v>0.995</v>
      </c>
      <c r="W544" s="154">
        <v>0.995</v>
      </c>
      <c r="X544" s="154">
        <v>1</v>
      </c>
      <c r="Y544" s="154">
        <v>1</v>
      </c>
      <c r="Z544" s="154">
        <v>0.995</v>
      </c>
      <c r="AA544" s="154">
        <v>1.01</v>
      </c>
      <c r="AB544" s="156">
        <f>_xlfn.STDEV.P(D544:AA544)</f>
        <v>2.3329612798615687E-2</v>
      </c>
      <c r="AC544" s="156"/>
    </row>
    <row r="545" spans="1:29">
      <c r="A545" s="260"/>
      <c r="B545" s="153"/>
      <c r="C545" s="153" t="s">
        <v>221</v>
      </c>
      <c r="D545" s="157">
        <v>0.55500000000000005</v>
      </c>
      <c r="E545" s="157">
        <v>0.55500000000000005</v>
      </c>
      <c r="F545" s="157">
        <v>0.61</v>
      </c>
      <c r="G545" s="157">
        <v>0.55500000000000005</v>
      </c>
      <c r="H545" s="157">
        <v>0.55500000000000005</v>
      </c>
      <c r="I545" s="154">
        <v>0.54500000000000004</v>
      </c>
      <c r="J545" s="158">
        <v>0.6</v>
      </c>
      <c r="K545" s="157">
        <v>0.57499999999999996</v>
      </c>
      <c r="L545" s="157">
        <v>0.56000000000000005</v>
      </c>
      <c r="M545" s="157">
        <v>0.55000000000000004</v>
      </c>
      <c r="N545" s="157">
        <v>0.56999999999999995</v>
      </c>
      <c r="O545" s="154">
        <v>0.54500000000000004</v>
      </c>
      <c r="P545" s="158">
        <v>0.54500000000000004</v>
      </c>
      <c r="Q545" s="157">
        <v>0.53500000000000003</v>
      </c>
      <c r="R545" s="157">
        <v>0.53</v>
      </c>
      <c r="S545" s="157">
        <v>0.55000000000000004</v>
      </c>
      <c r="T545" s="157">
        <v>0.56999999999999995</v>
      </c>
      <c r="U545" s="154">
        <v>0.56999999999999995</v>
      </c>
      <c r="V545" s="158">
        <v>0.55000000000000004</v>
      </c>
      <c r="W545" s="157">
        <v>0.54</v>
      </c>
      <c r="X545" s="157">
        <v>0.54</v>
      </c>
      <c r="Y545" s="157">
        <v>0.54</v>
      </c>
      <c r="Z545" s="157">
        <v>0.55500000000000005</v>
      </c>
      <c r="AA545" s="157">
        <v>0.58499999999999996</v>
      </c>
      <c r="AB545" s="156">
        <f>_xlfn.STDEV.P(D545:AA545)</f>
        <v>1.9309926563529135E-2</v>
      </c>
      <c r="AC545" s="164"/>
    </row>
    <row r="546" spans="1:29">
      <c r="A546" s="260"/>
      <c r="B546" s="159" t="s">
        <v>1943</v>
      </c>
      <c r="C546" s="153"/>
      <c r="D546" s="160" t="s">
        <v>1794</v>
      </c>
      <c r="E546" s="160" t="s">
        <v>1796</v>
      </c>
      <c r="F546" s="160" t="s">
        <v>1803</v>
      </c>
      <c r="G546" s="160" t="s">
        <v>1796</v>
      </c>
      <c r="H546" s="160" t="s">
        <v>1796</v>
      </c>
      <c r="I546" s="161" t="s">
        <v>1794</v>
      </c>
      <c r="J546" s="162" t="s">
        <v>1795</v>
      </c>
      <c r="K546" s="160" t="s">
        <v>1796</v>
      </c>
      <c r="L546" s="160" t="s">
        <v>1796</v>
      </c>
      <c r="M546" s="160" t="s">
        <v>1794</v>
      </c>
      <c r="N546" s="160" t="s">
        <v>1795</v>
      </c>
      <c r="O546" s="161" t="s">
        <v>1794</v>
      </c>
      <c r="P546" s="162" t="s">
        <v>1794</v>
      </c>
      <c r="Q546" s="160" t="s">
        <v>1796</v>
      </c>
      <c r="R546" s="160" t="s">
        <v>1796</v>
      </c>
      <c r="S546" s="160" t="s">
        <v>1796</v>
      </c>
      <c r="T546" s="160" t="s">
        <v>1803</v>
      </c>
      <c r="U546" s="161" t="s">
        <v>1794</v>
      </c>
      <c r="V546" s="162" t="s">
        <v>1794</v>
      </c>
      <c r="W546" s="160" t="s">
        <v>1796</v>
      </c>
      <c r="X546" s="160" t="s">
        <v>1794</v>
      </c>
      <c r="Y546" s="160" t="s">
        <v>1796</v>
      </c>
      <c r="Z546" s="160" t="s">
        <v>1796</v>
      </c>
      <c r="AA546" s="160" t="s">
        <v>1794</v>
      </c>
      <c r="AB546" s="156"/>
      <c r="AC546" s="165" t="s">
        <v>1944</v>
      </c>
    </row>
    <row r="547" spans="1:29">
      <c r="A547" s="260"/>
      <c r="B547" t="s">
        <v>1945</v>
      </c>
      <c r="C547" t="s">
        <v>40</v>
      </c>
      <c r="D547" s="141">
        <v>0.47</v>
      </c>
      <c r="E547" s="141">
        <v>0.44500000000000001</v>
      </c>
      <c r="F547" s="141">
        <v>0.44</v>
      </c>
      <c r="G547" s="141">
        <v>0.46500000000000002</v>
      </c>
      <c r="H547" s="141">
        <v>0.44</v>
      </c>
      <c r="I547" s="141">
        <v>0.41</v>
      </c>
      <c r="J547" s="142">
        <v>0.45500000000000002</v>
      </c>
      <c r="K547" s="141">
        <v>0.46500000000000002</v>
      </c>
      <c r="L547" s="141">
        <v>0.46</v>
      </c>
      <c r="M547" s="141">
        <v>0.46</v>
      </c>
      <c r="N547" s="141">
        <v>0.44500000000000001</v>
      </c>
      <c r="O547" s="141">
        <v>0.44500000000000001</v>
      </c>
      <c r="P547" s="142">
        <v>0.46</v>
      </c>
      <c r="Q547" s="141">
        <v>0.44500000000000001</v>
      </c>
      <c r="R547" s="141">
        <v>0.45500000000000002</v>
      </c>
      <c r="S547" s="141">
        <v>0.49</v>
      </c>
      <c r="T547" s="141">
        <v>0.44</v>
      </c>
      <c r="U547" s="141">
        <v>0.46</v>
      </c>
      <c r="V547" s="142">
        <v>0.51500000000000001</v>
      </c>
      <c r="W547" s="141">
        <v>0.45500000000000002</v>
      </c>
      <c r="X547" s="141">
        <v>0.46500000000000002</v>
      </c>
      <c r="Y547" s="141">
        <v>0.495</v>
      </c>
      <c r="Z547" s="141">
        <v>0.44</v>
      </c>
      <c r="AA547" s="141">
        <v>0.44</v>
      </c>
      <c r="AB547" s="143">
        <f>_xlfn.STDEV.P(D547:AA547)</f>
        <v>2.0949675149960895E-2</v>
      </c>
      <c r="AC547" s="143"/>
    </row>
    <row r="548" spans="1:29">
      <c r="A548" s="260"/>
      <c r="C548" t="s">
        <v>220</v>
      </c>
      <c r="D548" s="141">
        <v>1.01</v>
      </c>
      <c r="E548" s="141">
        <v>1.0149999999999999</v>
      </c>
      <c r="F548" s="141">
        <v>1</v>
      </c>
      <c r="G548" s="141">
        <v>1.0049999999999999</v>
      </c>
      <c r="H548" s="141">
        <v>0.995</v>
      </c>
      <c r="I548" s="141">
        <v>0.995</v>
      </c>
      <c r="J548" s="142">
        <v>1.0049999999999999</v>
      </c>
      <c r="K548" s="141">
        <v>1</v>
      </c>
      <c r="L548" s="141">
        <v>1</v>
      </c>
      <c r="M548" s="141">
        <v>1</v>
      </c>
      <c r="N548" s="141">
        <v>1</v>
      </c>
      <c r="O548" s="141">
        <v>1</v>
      </c>
      <c r="P548" s="142">
        <v>1</v>
      </c>
      <c r="Q548" s="141">
        <v>1.0149999999999999</v>
      </c>
      <c r="R548" s="141">
        <v>1</v>
      </c>
      <c r="S548" s="141">
        <v>1.0149999999999999</v>
      </c>
      <c r="T548" s="141">
        <v>1.0249999999999999</v>
      </c>
      <c r="U548" s="141">
        <v>1.0049999999999999</v>
      </c>
      <c r="V548" s="142">
        <v>1</v>
      </c>
      <c r="W548" s="141">
        <v>1.0049999999999999</v>
      </c>
      <c r="X548" s="141">
        <v>0.995</v>
      </c>
      <c r="Y548" s="141">
        <v>1.0049999999999999</v>
      </c>
      <c r="Z548" s="141">
        <v>1.01</v>
      </c>
      <c r="AA548" s="141">
        <v>1.01</v>
      </c>
      <c r="AB548" s="143">
        <f>_xlfn.STDEV.P(D548:AA548)</f>
        <v>7.347996703561805E-3</v>
      </c>
      <c r="AC548" s="143"/>
    </row>
    <row r="549" spans="1:29">
      <c r="A549" s="260"/>
      <c r="C549" t="s">
        <v>221</v>
      </c>
      <c r="D549" s="144">
        <v>0.57999999999999996</v>
      </c>
      <c r="E549" s="144">
        <v>0.55000000000000004</v>
      </c>
      <c r="F549" s="144">
        <v>0.54</v>
      </c>
      <c r="G549" s="144">
        <v>0.55000000000000004</v>
      </c>
      <c r="H549" s="144">
        <v>0.54</v>
      </c>
      <c r="I549" s="141">
        <v>0.52</v>
      </c>
      <c r="J549" s="145">
        <v>0.55500000000000005</v>
      </c>
      <c r="K549" s="144">
        <v>0.54</v>
      </c>
      <c r="L549" s="144">
        <v>0.55000000000000004</v>
      </c>
      <c r="M549" s="144">
        <v>0.54</v>
      </c>
      <c r="N549" s="144">
        <v>0.54</v>
      </c>
      <c r="O549" s="141">
        <v>0.54</v>
      </c>
      <c r="P549" s="145">
        <v>0.52</v>
      </c>
      <c r="Q549" s="144">
        <v>0.56000000000000005</v>
      </c>
      <c r="R549" s="144">
        <v>0.53</v>
      </c>
      <c r="S549" s="144">
        <v>0.55500000000000005</v>
      </c>
      <c r="T549" s="144">
        <v>0.53500000000000003</v>
      </c>
      <c r="U549" s="141">
        <v>0.55000000000000004</v>
      </c>
      <c r="V549" s="145">
        <v>0.56999999999999995</v>
      </c>
      <c r="W549" s="144">
        <v>0.55000000000000004</v>
      </c>
      <c r="X549" s="144">
        <v>0.55500000000000005</v>
      </c>
      <c r="Y549" s="144">
        <v>0.55000000000000004</v>
      </c>
      <c r="Z549" s="144">
        <v>0.55000000000000004</v>
      </c>
      <c r="AA549" s="144">
        <v>0.55000000000000004</v>
      </c>
      <c r="AB549" s="143">
        <f>_xlfn.STDEV.P(D549:AA549)</f>
        <v>1.3281147875424349E-2</v>
      </c>
      <c r="AC549" s="146"/>
    </row>
    <row r="550" spans="1:29">
      <c r="A550" s="260"/>
      <c r="B550" s="147" t="s">
        <v>1946</v>
      </c>
      <c r="D550" s="148" t="s">
        <v>1794</v>
      </c>
      <c r="E550" s="148" t="s">
        <v>1794</v>
      </c>
      <c r="F550" s="148" t="s">
        <v>1796</v>
      </c>
      <c r="G550" s="148" t="s">
        <v>1794</v>
      </c>
      <c r="H550" s="148" t="s">
        <v>1794</v>
      </c>
      <c r="I550" s="149" t="s">
        <v>1794</v>
      </c>
      <c r="J550" s="150" t="s">
        <v>1794</v>
      </c>
      <c r="K550" s="148" t="s">
        <v>1796</v>
      </c>
      <c r="L550" s="148" t="s">
        <v>1794</v>
      </c>
      <c r="M550" s="148" t="s">
        <v>1794</v>
      </c>
      <c r="N550" s="148" t="s">
        <v>1794</v>
      </c>
      <c r="O550" s="149" t="s">
        <v>1796</v>
      </c>
      <c r="P550" s="150" t="s">
        <v>1794</v>
      </c>
      <c r="Q550" s="148" t="s">
        <v>1794</v>
      </c>
      <c r="R550" s="148" t="s">
        <v>1794</v>
      </c>
      <c r="S550" s="148" t="s">
        <v>1794</v>
      </c>
      <c r="T550" s="148" t="s">
        <v>1794</v>
      </c>
      <c r="U550" s="149" t="s">
        <v>1794</v>
      </c>
      <c r="V550" s="150" t="s">
        <v>1794</v>
      </c>
      <c r="W550" s="148" t="s">
        <v>1794</v>
      </c>
      <c r="X550" s="148" t="s">
        <v>1794</v>
      </c>
      <c r="Y550" s="148" t="s">
        <v>1794</v>
      </c>
      <c r="Z550" s="148" t="s">
        <v>1794</v>
      </c>
      <c r="AA550" s="148" t="s">
        <v>1794</v>
      </c>
      <c r="AB550" s="143"/>
      <c r="AC550" s="151" t="s">
        <v>1904</v>
      </c>
    </row>
    <row r="551" spans="1:29">
      <c r="A551" s="260"/>
      <c r="B551" s="127" t="s">
        <v>1947</v>
      </c>
      <c r="C551" s="127" t="s">
        <v>40</v>
      </c>
      <c r="D551" s="128">
        <v>0.47</v>
      </c>
      <c r="E551" s="128">
        <v>0.47</v>
      </c>
      <c r="F551" s="128">
        <v>0.47499999999999998</v>
      </c>
      <c r="G551" s="128">
        <v>0.47499999999999998</v>
      </c>
      <c r="H551" s="128">
        <v>0.47499999999999998</v>
      </c>
      <c r="I551" s="128">
        <v>0.42</v>
      </c>
      <c r="J551" s="129">
        <v>0.45500000000000002</v>
      </c>
      <c r="K551" s="128">
        <v>0.44500000000000001</v>
      </c>
      <c r="L551" s="128">
        <v>0.42</v>
      </c>
      <c r="M551" s="128">
        <v>0.46500000000000002</v>
      </c>
      <c r="N551" s="128">
        <v>0.59499999999999997</v>
      </c>
      <c r="O551" s="128">
        <v>0.495</v>
      </c>
      <c r="P551" s="129">
        <v>0.47499999999999998</v>
      </c>
      <c r="Q551" s="128">
        <v>0.47</v>
      </c>
      <c r="R551" s="128">
        <v>0.46</v>
      </c>
      <c r="S551" s="128">
        <v>0.44500000000000001</v>
      </c>
      <c r="T551" s="128">
        <v>0.44500000000000001</v>
      </c>
      <c r="U551" s="128">
        <v>0.45</v>
      </c>
      <c r="V551" s="129">
        <v>0.45500000000000002</v>
      </c>
      <c r="W551" s="128">
        <v>0.43</v>
      </c>
      <c r="X551" s="128">
        <v>0.45500000000000002</v>
      </c>
      <c r="Y551" s="128">
        <v>0.54500000000000004</v>
      </c>
      <c r="Z551" s="128">
        <v>0.45500000000000002</v>
      </c>
      <c r="AA551" s="128">
        <v>0.46</v>
      </c>
      <c r="AB551" s="132">
        <f>_xlfn.STDEV.P(D551:AA551)</f>
        <v>3.6366551137916099E-2</v>
      </c>
      <c r="AC551" s="132"/>
    </row>
    <row r="552" spans="1:29">
      <c r="A552" s="260"/>
      <c r="B552" s="127"/>
      <c r="C552" s="127" t="s">
        <v>220</v>
      </c>
      <c r="D552" s="128">
        <v>1</v>
      </c>
      <c r="E552" s="128">
        <v>1.0349999999999999</v>
      </c>
      <c r="F552" s="128">
        <v>1.0249999999999999</v>
      </c>
      <c r="G552" s="128">
        <v>1.0249999999999999</v>
      </c>
      <c r="H552" s="128">
        <v>1</v>
      </c>
      <c r="I552" s="128">
        <v>1</v>
      </c>
      <c r="J552" s="129">
        <v>1.0249999999999999</v>
      </c>
      <c r="K552" s="128">
        <v>1.01</v>
      </c>
      <c r="L552" s="128">
        <v>0.95499999999999996</v>
      </c>
      <c r="M552" s="128">
        <v>0.995</v>
      </c>
      <c r="N552" s="128">
        <v>0.995</v>
      </c>
      <c r="O552" s="128">
        <v>1.01</v>
      </c>
      <c r="P552" s="129">
        <v>1.0049999999999999</v>
      </c>
      <c r="Q552" s="128">
        <v>0.995</v>
      </c>
      <c r="R552" s="128">
        <v>1</v>
      </c>
      <c r="S552" s="128">
        <v>1.0049999999999999</v>
      </c>
      <c r="T552" s="128">
        <v>1.0049999999999999</v>
      </c>
      <c r="U552" s="128">
        <v>1</v>
      </c>
      <c r="V552" s="129">
        <v>1.0049999999999999</v>
      </c>
      <c r="W552" s="128">
        <v>1.0900000000000001</v>
      </c>
      <c r="X552" s="128">
        <v>0.99</v>
      </c>
      <c r="Y552" s="128">
        <v>0.995</v>
      </c>
      <c r="Z552" s="128">
        <v>1.0049999999999999</v>
      </c>
      <c r="AA552" s="128">
        <v>1</v>
      </c>
      <c r="AB552" s="132">
        <f>_xlfn.STDEV.P(D552:AA552)</f>
        <v>2.2863574863864922E-2</v>
      </c>
      <c r="AC552" s="132"/>
    </row>
    <row r="553" spans="1:29">
      <c r="A553" s="260"/>
      <c r="B553" s="127"/>
      <c r="C553" s="127" t="s">
        <v>221</v>
      </c>
      <c r="D553" s="133">
        <v>0.55500000000000005</v>
      </c>
      <c r="E553" s="133">
        <v>0.52500000000000002</v>
      </c>
      <c r="F553" s="133">
        <v>0.53500000000000003</v>
      </c>
      <c r="G553" s="133">
        <v>0.53500000000000003</v>
      </c>
      <c r="H553" s="133">
        <v>0.53</v>
      </c>
      <c r="I553" s="128">
        <v>0.53</v>
      </c>
      <c r="J553" s="134">
        <v>0.52</v>
      </c>
      <c r="K553" s="133">
        <v>0.55000000000000004</v>
      </c>
      <c r="L553" s="133">
        <v>0.56499999999999995</v>
      </c>
      <c r="M553" s="133">
        <v>0.55000000000000004</v>
      </c>
      <c r="N553" s="133">
        <v>0.54</v>
      </c>
      <c r="O553" s="128">
        <v>0.55500000000000005</v>
      </c>
      <c r="P553" s="134">
        <v>0.55000000000000004</v>
      </c>
      <c r="Q553" s="133">
        <v>0.57499999999999996</v>
      </c>
      <c r="R553" s="133">
        <v>0.54500000000000004</v>
      </c>
      <c r="S553" s="133">
        <v>0.56499999999999995</v>
      </c>
      <c r="T553" s="133">
        <v>0.56499999999999995</v>
      </c>
      <c r="U553" s="128">
        <v>0.54</v>
      </c>
      <c r="V553" s="134">
        <v>0.54</v>
      </c>
      <c r="W553" s="133">
        <v>0.49</v>
      </c>
      <c r="X553" s="133">
        <v>0.52500000000000002</v>
      </c>
      <c r="Y553" s="133">
        <v>0.53500000000000003</v>
      </c>
      <c r="Z553" s="133">
        <v>0.54500000000000004</v>
      </c>
      <c r="AA553" s="133">
        <v>0.54500000000000004</v>
      </c>
      <c r="AB553" s="132">
        <f>_xlfn.STDEV.P(D553:AA553)</f>
        <v>1.7613717823206865E-2</v>
      </c>
      <c r="AC553" s="135"/>
    </row>
    <row r="554" spans="1:29">
      <c r="A554" s="260"/>
      <c r="B554" s="169" t="s">
        <v>1948</v>
      </c>
      <c r="C554" s="127"/>
      <c r="D554" s="137" t="s">
        <v>1794</v>
      </c>
      <c r="E554" s="137" t="s">
        <v>1794</v>
      </c>
      <c r="F554" s="137" t="s">
        <v>1794</v>
      </c>
      <c r="G554" s="137" t="s">
        <v>1794</v>
      </c>
      <c r="H554" s="137" t="s">
        <v>1794</v>
      </c>
      <c r="I554" s="138" t="s">
        <v>1794</v>
      </c>
      <c r="J554" s="139" t="s">
        <v>1794</v>
      </c>
      <c r="K554" s="137" t="s">
        <v>1794</v>
      </c>
      <c r="L554" s="137" t="s">
        <v>1794</v>
      </c>
      <c r="M554" s="137" t="s">
        <v>1794</v>
      </c>
      <c r="N554" s="137" t="s">
        <v>1794</v>
      </c>
      <c r="O554" s="138" t="s">
        <v>1794</v>
      </c>
      <c r="P554" s="139" t="s">
        <v>1794</v>
      </c>
      <c r="Q554" s="137" t="s">
        <v>1794</v>
      </c>
      <c r="R554" s="137" t="s">
        <v>1794</v>
      </c>
      <c r="S554" s="137" t="s">
        <v>1794</v>
      </c>
      <c r="T554" s="137" t="s">
        <v>1794</v>
      </c>
      <c r="U554" s="138" t="s">
        <v>1794</v>
      </c>
      <c r="V554" s="139" t="s">
        <v>1794</v>
      </c>
      <c r="W554" s="137" t="s">
        <v>1794</v>
      </c>
      <c r="X554" s="137" t="s">
        <v>1794</v>
      </c>
      <c r="Y554" s="137" t="s">
        <v>1794</v>
      </c>
      <c r="Z554" s="137" t="s">
        <v>1794</v>
      </c>
      <c r="AA554" s="137" t="s">
        <v>1794</v>
      </c>
      <c r="AB554" s="132"/>
      <c r="AC554" s="140" t="s">
        <v>1800</v>
      </c>
    </row>
    <row r="555" spans="1:29">
      <c r="A555" s="260"/>
      <c r="B555" t="s">
        <v>1949</v>
      </c>
      <c r="C555" t="s">
        <v>40</v>
      </c>
      <c r="D555" s="141">
        <v>0.435</v>
      </c>
      <c r="E555" s="141">
        <v>0.46</v>
      </c>
      <c r="F555" s="141">
        <v>0.45500000000000002</v>
      </c>
      <c r="G555" s="141">
        <v>0.47499999999999998</v>
      </c>
      <c r="H555" s="141">
        <v>0.47499999999999998</v>
      </c>
      <c r="I555" s="141">
        <v>0.45500000000000002</v>
      </c>
      <c r="J555" s="142">
        <v>0.48</v>
      </c>
      <c r="K555" s="141">
        <v>0.46</v>
      </c>
      <c r="L555" s="141">
        <v>0.44</v>
      </c>
      <c r="M555" s="141">
        <v>0.375</v>
      </c>
      <c r="N555" s="141">
        <v>0.40500000000000003</v>
      </c>
      <c r="O555" s="141">
        <v>0.46500000000000002</v>
      </c>
      <c r="P555" s="142">
        <v>0.51</v>
      </c>
      <c r="Q555" s="141">
        <v>0.45</v>
      </c>
      <c r="R555" s="141">
        <v>0.435</v>
      </c>
      <c r="S555" s="141">
        <v>0.47</v>
      </c>
      <c r="T555" s="141">
        <v>0.47</v>
      </c>
      <c r="U555" s="141">
        <v>0.47</v>
      </c>
      <c r="V555" s="142">
        <v>0.46</v>
      </c>
      <c r="W555" s="141">
        <v>0.47499999999999998</v>
      </c>
      <c r="X555" s="141">
        <v>0.495</v>
      </c>
      <c r="Y555" s="141">
        <v>0.495</v>
      </c>
      <c r="Z555" s="141">
        <v>0.48</v>
      </c>
      <c r="AA555" s="141">
        <v>0.47</v>
      </c>
      <c r="AB555" s="143">
        <f>_xlfn.STDEV.P(D555:AA555)</f>
        <v>2.8050054466178052E-2</v>
      </c>
      <c r="AC555" s="143"/>
    </row>
    <row r="556" spans="1:29">
      <c r="A556" s="260"/>
      <c r="C556" t="s">
        <v>220</v>
      </c>
      <c r="D556" s="141">
        <v>0.99</v>
      </c>
      <c r="E556" s="141">
        <v>1.05</v>
      </c>
      <c r="F556" s="141">
        <v>1</v>
      </c>
      <c r="G556" s="141">
        <v>0.95499999999999996</v>
      </c>
      <c r="H556" s="141">
        <v>0.95499999999999996</v>
      </c>
      <c r="I556" s="141">
        <v>0.97499999999999998</v>
      </c>
      <c r="J556" s="142">
        <v>1.0149999999999999</v>
      </c>
      <c r="K556" s="141">
        <v>1.0649999999999999</v>
      </c>
      <c r="L556" s="141">
        <v>0.995</v>
      </c>
      <c r="M556" s="141">
        <v>1.0049999999999999</v>
      </c>
      <c r="N556" s="141">
        <v>1.01</v>
      </c>
      <c r="O556" s="141">
        <v>0.995</v>
      </c>
      <c r="P556" s="142">
        <v>1</v>
      </c>
      <c r="Q556" s="141">
        <v>1.0049999999999999</v>
      </c>
      <c r="R556" s="141">
        <v>1.0049999999999999</v>
      </c>
      <c r="S556" s="141">
        <v>1.0049999999999999</v>
      </c>
      <c r="T556" s="141">
        <v>1.0049999999999999</v>
      </c>
      <c r="U556" s="141">
        <v>1.0049999999999999</v>
      </c>
      <c r="V556" s="142">
        <v>1.0049999999999999</v>
      </c>
      <c r="W556" s="141">
        <v>0.97499999999999998</v>
      </c>
      <c r="X556" s="141">
        <v>1.02</v>
      </c>
      <c r="Y556" s="141">
        <v>1</v>
      </c>
      <c r="Z556" s="141">
        <v>0.995</v>
      </c>
      <c r="AA556" s="141">
        <v>1.02</v>
      </c>
      <c r="AB556" s="143">
        <f>_xlfn.STDEV.P(D556:AA556)</f>
        <v>2.362540417055807E-2</v>
      </c>
      <c r="AC556" s="143"/>
    </row>
    <row r="557" spans="1:29">
      <c r="A557" s="260"/>
      <c r="C557" t="s">
        <v>221</v>
      </c>
      <c r="D557" s="144">
        <v>0.56999999999999995</v>
      </c>
      <c r="E557" s="144">
        <v>0.52500000000000002</v>
      </c>
      <c r="F557" s="144">
        <v>0.55500000000000005</v>
      </c>
      <c r="G557" s="144">
        <v>0.61499999999999999</v>
      </c>
      <c r="H557" s="144">
        <v>0.61499999999999999</v>
      </c>
      <c r="I557" s="141">
        <v>0.55500000000000005</v>
      </c>
      <c r="J557" s="145">
        <v>0.56000000000000005</v>
      </c>
      <c r="K557" s="144">
        <v>0.51500000000000001</v>
      </c>
      <c r="L557" s="144">
        <v>0.53500000000000003</v>
      </c>
      <c r="M557" s="144">
        <v>0.55000000000000004</v>
      </c>
      <c r="N557" s="144">
        <v>0.56000000000000005</v>
      </c>
      <c r="O557" s="141">
        <v>0.54500000000000004</v>
      </c>
      <c r="P557" s="145">
        <v>0.56499999999999995</v>
      </c>
      <c r="Q557" s="144">
        <v>0.52</v>
      </c>
      <c r="R557" s="144">
        <v>0.54</v>
      </c>
      <c r="S557" s="144">
        <v>0.53500000000000003</v>
      </c>
      <c r="T557" s="144">
        <v>0.53500000000000003</v>
      </c>
      <c r="U557" s="141">
        <v>0.52500000000000002</v>
      </c>
      <c r="V557" s="145">
        <v>0.54</v>
      </c>
      <c r="W557" s="144">
        <v>0.57999999999999996</v>
      </c>
      <c r="X557" s="144">
        <v>0.54</v>
      </c>
      <c r="Y557" s="144">
        <v>0.53500000000000003</v>
      </c>
      <c r="Z557" s="144">
        <v>0.54</v>
      </c>
      <c r="AA557" s="144">
        <v>0.54</v>
      </c>
      <c r="AB557" s="143">
        <f>_xlfn.STDEV.P(D557:AA557)</f>
        <v>2.5019957311891803E-2</v>
      </c>
      <c r="AC557" s="146"/>
    </row>
    <row r="558" spans="1:29">
      <c r="A558" s="260"/>
      <c r="B558" s="147" t="s">
        <v>1950</v>
      </c>
      <c r="D558" s="148" t="s">
        <v>1794</v>
      </c>
      <c r="E558" s="148" t="s">
        <v>1794</v>
      </c>
      <c r="F558" s="148" t="s">
        <v>1794</v>
      </c>
      <c r="G558" s="148" t="s">
        <v>1794</v>
      </c>
      <c r="H558" s="148" t="s">
        <v>1794</v>
      </c>
      <c r="I558" s="149" t="s">
        <v>1794</v>
      </c>
      <c r="J558" s="150" t="s">
        <v>1794</v>
      </c>
      <c r="K558" s="148" t="s">
        <v>1794</v>
      </c>
      <c r="L558" s="148" t="s">
        <v>1794</v>
      </c>
      <c r="M558" s="148" t="s">
        <v>1794</v>
      </c>
      <c r="N558" s="148" t="s">
        <v>1794</v>
      </c>
      <c r="O558" s="149" t="s">
        <v>1794</v>
      </c>
      <c r="P558" s="150" t="s">
        <v>1794</v>
      </c>
      <c r="Q558" s="148" t="s">
        <v>1794</v>
      </c>
      <c r="R558" s="148" t="s">
        <v>1794</v>
      </c>
      <c r="S558" s="148" t="s">
        <v>1794</v>
      </c>
      <c r="T558" s="148" t="s">
        <v>1794</v>
      </c>
      <c r="U558" s="149" t="s">
        <v>1794</v>
      </c>
      <c r="V558" s="150" t="s">
        <v>1794</v>
      </c>
      <c r="W558" s="148" t="s">
        <v>1794</v>
      </c>
      <c r="X558" s="148" t="s">
        <v>1794</v>
      </c>
      <c r="Y558" s="148" t="s">
        <v>1794</v>
      </c>
      <c r="Z558" s="148" t="s">
        <v>1794</v>
      </c>
      <c r="AA558" s="148" t="s">
        <v>1794</v>
      </c>
      <c r="AB558" s="143"/>
      <c r="AC558" s="151" t="s">
        <v>1800</v>
      </c>
    </row>
    <row r="559" spans="1:29">
      <c r="A559" s="260"/>
      <c r="B559" t="s">
        <v>1951</v>
      </c>
      <c r="C559" t="s">
        <v>40</v>
      </c>
      <c r="D559" s="141">
        <v>0.57999999999999996</v>
      </c>
      <c r="E559" s="141">
        <v>0.57999999999999996</v>
      </c>
      <c r="F559" s="141">
        <v>0.57999999999999996</v>
      </c>
      <c r="G559" s="141">
        <v>0.57999999999999996</v>
      </c>
      <c r="H559" s="141">
        <v>0.57999999999999996</v>
      </c>
      <c r="I559" s="141">
        <v>0.57999999999999996</v>
      </c>
      <c r="J559" s="142">
        <v>0.57999999999999996</v>
      </c>
      <c r="K559" s="141">
        <v>0.57999999999999996</v>
      </c>
      <c r="L559" s="141">
        <v>0.57999999999999996</v>
      </c>
      <c r="M559" s="141">
        <v>0.57999999999999996</v>
      </c>
      <c r="N559" s="141">
        <v>0.57999999999999996</v>
      </c>
      <c r="O559" s="141">
        <v>0.57999999999999996</v>
      </c>
      <c r="P559" s="142">
        <v>0.57999999999999996</v>
      </c>
      <c r="Q559" s="141">
        <v>0.57999999999999996</v>
      </c>
      <c r="R559" s="141">
        <v>0.57999999999999996</v>
      </c>
      <c r="S559" s="141">
        <v>0.57999999999999996</v>
      </c>
      <c r="T559" s="141">
        <v>0.57999999999999996</v>
      </c>
      <c r="U559" s="141">
        <v>0.57999999999999996</v>
      </c>
      <c r="V559" s="142">
        <v>0.57999999999999996</v>
      </c>
      <c r="W559" s="141">
        <v>0.57999999999999996</v>
      </c>
      <c r="X559" s="141">
        <v>0.57999999999999996</v>
      </c>
      <c r="Y559" s="141">
        <v>0.57999999999999996</v>
      </c>
      <c r="Z559" s="141">
        <v>0.57999999999999996</v>
      </c>
      <c r="AA559" s="141">
        <v>0.57999999999999996</v>
      </c>
      <c r="AB559" s="143">
        <f>_xlfn.STDEV.P(D559:AA559)</f>
        <v>0</v>
      </c>
      <c r="AC559" s="143"/>
    </row>
    <row r="560" spans="1:29">
      <c r="A560" s="260"/>
      <c r="C560" t="s">
        <v>220</v>
      </c>
      <c r="D560" s="141">
        <v>0.53</v>
      </c>
      <c r="E560" s="141">
        <v>0.53</v>
      </c>
      <c r="F560" s="141">
        <v>0.53</v>
      </c>
      <c r="G560" s="141">
        <v>0.53</v>
      </c>
      <c r="H560" s="141">
        <v>0.53</v>
      </c>
      <c r="I560" s="141">
        <v>0.53</v>
      </c>
      <c r="J560" s="142">
        <v>0.53</v>
      </c>
      <c r="K560" s="141">
        <v>0.53</v>
      </c>
      <c r="L560" s="141">
        <v>0.53</v>
      </c>
      <c r="M560" s="141">
        <v>0.53</v>
      </c>
      <c r="N560" s="141">
        <v>0.53</v>
      </c>
      <c r="O560" s="141">
        <v>0.53</v>
      </c>
      <c r="P560" s="142">
        <v>0.53</v>
      </c>
      <c r="Q560" s="141">
        <v>0.53</v>
      </c>
      <c r="R560" s="141">
        <v>0.53</v>
      </c>
      <c r="S560" s="141">
        <v>0.53</v>
      </c>
      <c r="T560" s="141">
        <v>0.53</v>
      </c>
      <c r="U560" s="141">
        <v>0.53</v>
      </c>
      <c r="V560" s="142">
        <v>0.53</v>
      </c>
      <c r="W560" s="141">
        <v>0.53</v>
      </c>
      <c r="X560" s="141">
        <v>0.53</v>
      </c>
      <c r="Y560" s="141">
        <v>0.53</v>
      </c>
      <c r="Z560" s="141">
        <v>0.53</v>
      </c>
      <c r="AA560" s="141">
        <v>0.53</v>
      </c>
      <c r="AB560" s="143">
        <f>_xlfn.STDEV.P(D560:AA560)</f>
        <v>1.1102230246251565E-16</v>
      </c>
      <c r="AC560" s="143"/>
    </row>
    <row r="561" spans="1:29">
      <c r="A561" s="260"/>
      <c r="C561" t="s">
        <v>221</v>
      </c>
      <c r="D561" s="144">
        <v>5.0000000000000001E-3</v>
      </c>
      <c r="E561" s="144">
        <v>5.0000000000000001E-3</v>
      </c>
      <c r="F561" s="144">
        <v>5.0000000000000001E-3</v>
      </c>
      <c r="G561" s="144">
        <v>5.0000000000000001E-3</v>
      </c>
      <c r="H561" s="144">
        <v>5.0000000000000001E-3</v>
      </c>
      <c r="I561" s="141">
        <v>5.0000000000000001E-3</v>
      </c>
      <c r="J561" s="145">
        <v>5.0000000000000001E-3</v>
      </c>
      <c r="K561" s="144">
        <v>5.0000000000000001E-3</v>
      </c>
      <c r="L561" s="144">
        <v>5.0000000000000001E-3</v>
      </c>
      <c r="M561" s="144">
        <v>5.0000000000000001E-3</v>
      </c>
      <c r="N561" s="144">
        <v>5.0000000000000001E-3</v>
      </c>
      <c r="O561" s="141">
        <v>5.0000000000000001E-3</v>
      </c>
      <c r="P561" s="145">
        <v>5.0000000000000001E-3</v>
      </c>
      <c r="Q561" s="144">
        <v>5.0000000000000001E-3</v>
      </c>
      <c r="R561" s="144">
        <v>5.0000000000000001E-3</v>
      </c>
      <c r="S561" s="144">
        <v>5.0000000000000001E-3</v>
      </c>
      <c r="T561" s="144">
        <v>5.0000000000000001E-3</v>
      </c>
      <c r="U561" s="141">
        <v>5.0000000000000001E-3</v>
      </c>
      <c r="V561" s="145">
        <v>5.0000000000000001E-3</v>
      </c>
      <c r="W561" s="144">
        <v>5.0000000000000001E-3</v>
      </c>
      <c r="X561" s="144">
        <v>5.0000000000000001E-3</v>
      </c>
      <c r="Y561" s="144">
        <v>5.0000000000000001E-3</v>
      </c>
      <c r="Z561" s="144">
        <v>5.0000000000000001E-3</v>
      </c>
      <c r="AA561" s="144">
        <v>5.0000000000000001E-3</v>
      </c>
      <c r="AB561" s="143">
        <f>_xlfn.STDEV.P(D561:AA561)</f>
        <v>1.7347234759768071E-18</v>
      </c>
      <c r="AC561" s="146"/>
    </row>
    <row r="562" spans="1:29">
      <c r="A562" s="260"/>
      <c r="B562" s="147" t="s">
        <v>1952</v>
      </c>
      <c r="D562" s="148" t="s">
        <v>1794</v>
      </c>
      <c r="E562" s="148" t="s">
        <v>1794</v>
      </c>
      <c r="F562" s="148" t="s">
        <v>1794</v>
      </c>
      <c r="G562" s="148" t="s">
        <v>1794</v>
      </c>
      <c r="H562" s="148" t="s">
        <v>1794</v>
      </c>
      <c r="I562" s="149" t="s">
        <v>1794</v>
      </c>
      <c r="J562" s="150" t="s">
        <v>1794</v>
      </c>
      <c r="K562" s="148" t="s">
        <v>1794</v>
      </c>
      <c r="L562" s="148" t="s">
        <v>1794</v>
      </c>
      <c r="M562" s="148" t="s">
        <v>1794</v>
      </c>
      <c r="N562" s="148" t="s">
        <v>1794</v>
      </c>
      <c r="O562" s="149" t="s">
        <v>1794</v>
      </c>
      <c r="P562" s="150" t="s">
        <v>1794</v>
      </c>
      <c r="Q562" s="148" t="s">
        <v>1794</v>
      </c>
      <c r="R562" s="148" t="s">
        <v>1794</v>
      </c>
      <c r="S562" s="148" t="s">
        <v>1794</v>
      </c>
      <c r="T562" s="148" t="s">
        <v>1794</v>
      </c>
      <c r="U562" s="149" t="s">
        <v>1794</v>
      </c>
      <c r="V562" s="150" t="s">
        <v>1794</v>
      </c>
      <c r="W562" s="148" t="s">
        <v>1794</v>
      </c>
      <c r="X562" s="148" t="s">
        <v>1794</v>
      </c>
      <c r="Y562" s="148" t="s">
        <v>1794</v>
      </c>
      <c r="Z562" s="148" t="s">
        <v>1794</v>
      </c>
      <c r="AA562" s="148" t="s">
        <v>1794</v>
      </c>
      <c r="AB562" s="143"/>
      <c r="AC562" s="151" t="s">
        <v>1800</v>
      </c>
    </row>
    <row r="563" spans="1:29">
      <c r="A563" s="260"/>
      <c r="AB563" s="143"/>
    </row>
    <row r="564" spans="1:29">
      <c r="A564" s="260" t="s">
        <v>204</v>
      </c>
      <c r="B564" s="126" t="s">
        <v>1817</v>
      </c>
      <c r="C564" s="127" t="s">
        <v>40</v>
      </c>
      <c r="D564" s="128">
        <v>0.60499999999999998</v>
      </c>
      <c r="E564" s="128">
        <v>0.755</v>
      </c>
      <c r="F564" s="128">
        <v>0.64</v>
      </c>
      <c r="G564" s="128">
        <v>0.53500000000000003</v>
      </c>
      <c r="H564" s="128">
        <v>0.56999999999999995</v>
      </c>
      <c r="I564" s="128">
        <v>0.59499999999999997</v>
      </c>
      <c r="J564" s="129">
        <v>0.66</v>
      </c>
      <c r="K564" s="128">
        <v>0.56499999999999995</v>
      </c>
      <c r="L564" s="128">
        <v>0.57499999999999996</v>
      </c>
      <c r="M564" s="128">
        <v>0.59499999999999997</v>
      </c>
      <c r="N564" s="128">
        <v>0.57999999999999996</v>
      </c>
      <c r="O564" s="128">
        <v>0.59499999999999997</v>
      </c>
      <c r="P564" s="129">
        <v>0.57499999999999996</v>
      </c>
      <c r="Q564" s="128">
        <v>0.58499999999999996</v>
      </c>
      <c r="R564" s="128">
        <v>0.56499999999999995</v>
      </c>
      <c r="S564" s="128">
        <v>0.625</v>
      </c>
      <c r="T564" s="128">
        <v>0.61</v>
      </c>
      <c r="U564" s="128">
        <v>0.6</v>
      </c>
      <c r="V564" s="129">
        <v>0.64</v>
      </c>
      <c r="W564" s="128">
        <v>0.55000000000000004</v>
      </c>
      <c r="X564" s="128">
        <v>0.61499999999999999</v>
      </c>
      <c r="Y564" s="128">
        <v>0.60499999999999998</v>
      </c>
      <c r="Z564" s="128">
        <v>0.61499999999999999</v>
      </c>
      <c r="AA564" s="128">
        <v>0.58499999999999996</v>
      </c>
      <c r="AB564" s="132">
        <f>_xlfn.STDEV.P(D564:AA564)</f>
        <v>4.2930822907970859E-2</v>
      </c>
      <c r="AC564" s="132"/>
    </row>
    <row r="565" spans="1:29">
      <c r="A565" s="260"/>
      <c r="B565" s="126"/>
      <c r="C565" s="127" t="s">
        <v>220</v>
      </c>
      <c r="D565" s="128">
        <v>1.02</v>
      </c>
      <c r="E565" s="128">
        <v>0.89500000000000002</v>
      </c>
      <c r="F565" s="128">
        <v>1</v>
      </c>
      <c r="G565" s="128">
        <v>0.99</v>
      </c>
      <c r="H565" s="128">
        <v>1.02</v>
      </c>
      <c r="I565" s="128">
        <v>1.04</v>
      </c>
      <c r="J565" s="129">
        <v>1.085</v>
      </c>
      <c r="K565" s="128">
        <v>1.07</v>
      </c>
      <c r="L565" s="128">
        <v>1.0249999999999999</v>
      </c>
      <c r="M565" s="128">
        <v>1.0149999999999999</v>
      </c>
      <c r="N565" s="128">
        <v>1</v>
      </c>
      <c r="O565" s="128">
        <v>1.01</v>
      </c>
      <c r="P565" s="129">
        <v>1.0149999999999999</v>
      </c>
      <c r="Q565" s="128">
        <v>1.01</v>
      </c>
      <c r="R565" s="128">
        <v>1</v>
      </c>
      <c r="S565" s="128">
        <v>1.0149999999999999</v>
      </c>
      <c r="T565" s="128">
        <v>1.0049999999999999</v>
      </c>
      <c r="U565" s="128">
        <v>1.03</v>
      </c>
      <c r="V565" s="129">
        <v>1.0549999999999999</v>
      </c>
      <c r="W565" s="128">
        <v>1.01</v>
      </c>
      <c r="X565" s="128">
        <v>1.01</v>
      </c>
      <c r="Y565" s="128">
        <v>1.0049999999999999</v>
      </c>
      <c r="Z565" s="128">
        <v>1.0049999999999999</v>
      </c>
      <c r="AA565" s="128">
        <v>1.02</v>
      </c>
      <c r="AB565" s="132">
        <f>_xlfn.STDEV.P(D565:AA565)</f>
        <v>3.3320309955874587E-2</v>
      </c>
      <c r="AC565" s="132"/>
    </row>
    <row r="566" spans="1:29">
      <c r="A566" s="260"/>
      <c r="B566" s="126"/>
      <c r="C566" s="127" t="s">
        <v>221</v>
      </c>
      <c r="D566" s="133">
        <v>0.505</v>
      </c>
      <c r="E566" s="133">
        <v>0.51500000000000001</v>
      </c>
      <c r="F566" s="133">
        <v>0.435</v>
      </c>
      <c r="G566" s="133">
        <v>0.44</v>
      </c>
      <c r="H566" s="133">
        <v>0.42</v>
      </c>
      <c r="I566" s="128">
        <v>0.44</v>
      </c>
      <c r="J566" s="134">
        <v>0.46</v>
      </c>
      <c r="K566" s="133">
        <v>0.41499999999999998</v>
      </c>
      <c r="L566" s="133">
        <v>0.37</v>
      </c>
      <c r="M566" s="133">
        <v>0.41499999999999998</v>
      </c>
      <c r="N566" s="133">
        <v>0.42499999999999999</v>
      </c>
      <c r="O566" s="128">
        <v>0.44</v>
      </c>
      <c r="P566" s="134">
        <v>0.39500000000000002</v>
      </c>
      <c r="Q566" s="133">
        <v>0.39</v>
      </c>
      <c r="R566" s="133">
        <v>0.43</v>
      </c>
      <c r="S566" s="133">
        <v>0.43</v>
      </c>
      <c r="T566" s="133">
        <v>0.41</v>
      </c>
      <c r="U566" s="128">
        <v>0.43</v>
      </c>
      <c r="V566" s="134">
        <v>0.44500000000000001</v>
      </c>
      <c r="W566" s="133">
        <v>0.435</v>
      </c>
      <c r="X566" s="133">
        <v>0.36499999999999999</v>
      </c>
      <c r="Y566" s="133">
        <v>0.41</v>
      </c>
      <c r="Z566" s="133">
        <v>0.41</v>
      </c>
      <c r="AA566" s="133">
        <v>0.42</v>
      </c>
      <c r="AB566" s="132">
        <f>_xlfn.STDEV.P(D566:AA566)</f>
        <v>3.3320309955874601E-2</v>
      </c>
      <c r="AC566" s="135"/>
    </row>
    <row r="567" spans="1:29">
      <c r="A567" s="260"/>
      <c r="B567" s="136" t="s">
        <v>1818</v>
      </c>
      <c r="C567" s="127"/>
      <c r="D567" s="137" t="s">
        <v>1794</v>
      </c>
      <c r="E567" s="137" t="s">
        <v>1794</v>
      </c>
      <c r="F567" s="137" t="s">
        <v>1794</v>
      </c>
      <c r="G567" s="137" t="s">
        <v>1794</v>
      </c>
      <c r="H567" s="137" t="s">
        <v>1794</v>
      </c>
      <c r="I567" s="138" t="s">
        <v>1794</v>
      </c>
      <c r="J567" s="139" t="s">
        <v>1794</v>
      </c>
      <c r="K567" s="137" t="s">
        <v>1794</v>
      </c>
      <c r="L567" s="137" t="s">
        <v>1794</v>
      </c>
      <c r="M567" s="137" t="s">
        <v>1794</v>
      </c>
      <c r="N567" s="137" t="s">
        <v>1794</v>
      </c>
      <c r="O567" s="138" t="s">
        <v>1794</v>
      </c>
      <c r="P567" s="139" t="s">
        <v>1794</v>
      </c>
      <c r="Q567" s="137" t="s">
        <v>1794</v>
      </c>
      <c r="R567" s="137" t="s">
        <v>1794</v>
      </c>
      <c r="S567" s="137" t="s">
        <v>1794</v>
      </c>
      <c r="T567" s="137" t="s">
        <v>1794</v>
      </c>
      <c r="U567" s="138" t="s">
        <v>1794</v>
      </c>
      <c r="V567" s="139" t="s">
        <v>1794</v>
      </c>
      <c r="W567" s="137" t="s">
        <v>1794</v>
      </c>
      <c r="X567" s="137" t="s">
        <v>1794</v>
      </c>
      <c r="Y567" s="137" t="s">
        <v>1794</v>
      </c>
      <c r="Z567" s="137" t="s">
        <v>1794</v>
      </c>
      <c r="AA567" s="137" t="s">
        <v>1794</v>
      </c>
      <c r="AB567" s="132"/>
      <c r="AC567" s="140" t="s">
        <v>1800</v>
      </c>
    </row>
    <row r="568" spans="1:29">
      <c r="A568" s="260"/>
      <c r="B568" t="s">
        <v>1792</v>
      </c>
      <c r="C568" t="s">
        <v>40</v>
      </c>
      <c r="D568" s="141">
        <v>0.59</v>
      </c>
      <c r="E568" s="141">
        <v>0.57999999999999996</v>
      </c>
      <c r="F568" s="141">
        <v>0.69499999999999995</v>
      </c>
      <c r="G568" s="141">
        <v>0.59499999999999997</v>
      </c>
      <c r="H568" s="141">
        <v>0.51500000000000001</v>
      </c>
      <c r="I568" s="141">
        <v>0.61499999999999999</v>
      </c>
      <c r="J568" s="142">
        <v>0.57999999999999996</v>
      </c>
      <c r="K568" s="141">
        <v>0.51</v>
      </c>
      <c r="L568" s="141">
        <v>0.56499999999999995</v>
      </c>
      <c r="M568" s="141">
        <v>0.56000000000000005</v>
      </c>
      <c r="N568" s="141">
        <v>0.57999999999999996</v>
      </c>
      <c r="O568" s="141">
        <v>0.63500000000000001</v>
      </c>
      <c r="P568" s="142">
        <v>0.59499999999999997</v>
      </c>
      <c r="Q568" s="141">
        <v>0.55500000000000005</v>
      </c>
      <c r="R568" s="141">
        <v>0.52500000000000002</v>
      </c>
      <c r="S568" s="141">
        <v>0.56999999999999995</v>
      </c>
      <c r="T568" s="141">
        <v>0.61</v>
      </c>
      <c r="U568" s="141">
        <v>0.505</v>
      </c>
      <c r="V568" s="142">
        <v>0.54</v>
      </c>
      <c r="W568" s="141">
        <v>0.67500000000000004</v>
      </c>
      <c r="X568" s="141">
        <v>0.67500000000000004</v>
      </c>
      <c r="Y568" s="141">
        <v>0.55500000000000005</v>
      </c>
      <c r="Z568" s="141">
        <v>0.60499999999999998</v>
      </c>
      <c r="AA568" s="141">
        <v>0.56999999999999995</v>
      </c>
      <c r="AB568" s="143">
        <f>_xlfn.STDEV.P(D568:AA568)</f>
        <v>4.94904592376708E-2</v>
      </c>
      <c r="AC568" s="143"/>
    </row>
    <row r="569" spans="1:29">
      <c r="A569" s="260"/>
      <c r="C569" t="s">
        <v>220</v>
      </c>
      <c r="D569" s="141">
        <v>1.0149999999999999</v>
      </c>
      <c r="E569" s="141">
        <v>1.01</v>
      </c>
      <c r="F569" s="141">
        <v>1.0449999999999999</v>
      </c>
      <c r="G569" s="141">
        <v>1.03</v>
      </c>
      <c r="H569" s="141">
        <v>1.04</v>
      </c>
      <c r="I569" s="141">
        <v>1.0249999999999999</v>
      </c>
      <c r="J569" s="142">
        <v>1.02</v>
      </c>
      <c r="K569" s="141">
        <v>1.01</v>
      </c>
      <c r="L569" s="141">
        <v>1.0049999999999999</v>
      </c>
      <c r="M569" s="141">
        <v>1.0249999999999999</v>
      </c>
      <c r="N569" s="141">
        <v>1.01</v>
      </c>
      <c r="O569" s="141">
        <v>0.98</v>
      </c>
      <c r="P569" s="142">
        <v>1.0149999999999999</v>
      </c>
      <c r="Q569" s="141">
        <v>1.105</v>
      </c>
      <c r="R569" s="141">
        <v>1.0049999999999999</v>
      </c>
      <c r="S569" s="141">
        <v>1.01</v>
      </c>
      <c r="T569" s="141">
        <v>1</v>
      </c>
      <c r="U569" s="141">
        <v>1.03</v>
      </c>
      <c r="V569" s="142">
        <v>0.97499999999999998</v>
      </c>
      <c r="W569" s="141">
        <v>1.03</v>
      </c>
      <c r="X569" s="141">
        <v>1.06</v>
      </c>
      <c r="Y569" s="141">
        <v>1.01</v>
      </c>
      <c r="Z569" s="141">
        <v>1.0149999999999999</v>
      </c>
      <c r="AA569" s="141">
        <v>1.04</v>
      </c>
      <c r="AB569" s="143">
        <f>_xlfn.STDEV.P(D569:AA569)</f>
        <v>2.5505309904671494E-2</v>
      </c>
      <c r="AC569" s="143"/>
    </row>
    <row r="570" spans="1:29">
      <c r="A570" s="260"/>
      <c r="C570" t="s">
        <v>221</v>
      </c>
      <c r="D570" s="144">
        <v>0.42499999999999999</v>
      </c>
      <c r="E570" s="144">
        <v>0.41499999999999998</v>
      </c>
      <c r="F570" s="144">
        <v>0.42</v>
      </c>
      <c r="G570" s="144">
        <v>0.375</v>
      </c>
      <c r="H570" s="144">
        <v>0.38500000000000001</v>
      </c>
      <c r="I570" s="141">
        <v>0.39500000000000002</v>
      </c>
      <c r="J570" s="145">
        <v>0.42499999999999999</v>
      </c>
      <c r="K570" s="144">
        <v>0.41</v>
      </c>
      <c r="L570" s="144">
        <v>0.39500000000000002</v>
      </c>
      <c r="M570" s="144">
        <v>0.39</v>
      </c>
      <c r="N570" s="144">
        <v>0.44500000000000001</v>
      </c>
      <c r="O570" s="141">
        <v>0.47499999999999998</v>
      </c>
      <c r="P570" s="145">
        <v>0.42</v>
      </c>
      <c r="Q570" s="144">
        <v>0.55000000000000004</v>
      </c>
      <c r="R570" s="144">
        <v>0.41499999999999998</v>
      </c>
      <c r="S570" s="144">
        <v>0.39500000000000002</v>
      </c>
      <c r="T570" s="144">
        <v>0.42499999999999999</v>
      </c>
      <c r="U570" s="141">
        <v>0.47499999999999998</v>
      </c>
      <c r="V570" s="145">
        <v>0.38</v>
      </c>
      <c r="W570" s="144">
        <v>0.41499999999999998</v>
      </c>
      <c r="X570" s="144">
        <v>0.41499999999999998</v>
      </c>
      <c r="Y570" s="144">
        <v>0.40500000000000003</v>
      </c>
      <c r="Z570" s="144">
        <v>0.36</v>
      </c>
      <c r="AA570" s="144">
        <v>0.40500000000000003</v>
      </c>
      <c r="AB570" s="143">
        <f>_xlfn.STDEV.P(D570:AA570)</f>
        <v>3.8378031005887846E-2</v>
      </c>
      <c r="AC570" s="146"/>
    </row>
    <row r="571" spans="1:29">
      <c r="A571" s="260"/>
      <c r="B571" s="147" t="s">
        <v>1793</v>
      </c>
      <c r="D571" s="148" t="s">
        <v>1794</v>
      </c>
      <c r="E571" s="148" t="s">
        <v>1796</v>
      </c>
      <c r="F571" s="148" t="s">
        <v>1796</v>
      </c>
      <c r="G571" s="148" t="s">
        <v>1796</v>
      </c>
      <c r="H571" s="148" t="s">
        <v>1795</v>
      </c>
      <c r="I571" s="149" t="s">
        <v>1794</v>
      </c>
      <c r="J571" s="150" t="s">
        <v>1794</v>
      </c>
      <c r="K571" s="148" t="s">
        <v>1803</v>
      </c>
      <c r="L571" s="148" t="s">
        <v>1803</v>
      </c>
      <c r="M571" s="148" t="s">
        <v>1794</v>
      </c>
      <c r="N571" s="148" t="s">
        <v>1796</v>
      </c>
      <c r="O571" s="149" t="s">
        <v>1796</v>
      </c>
      <c r="P571" s="150" t="s">
        <v>1795</v>
      </c>
      <c r="Q571" s="148" t="s">
        <v>1803</v>
      </c>
      <c r="R571" s="148" t="s">
        <v>1796</v>
      </c>
      <c r="S571" s="148" t="s">
        <v>1796</v>
      </c>
      <c r="T571" s="148" t="s">
        <v>1803</v>
      </c>
      <c r="U571" s="149" t="s">
        <v>1795</v>
      </c>
      <c r="V571" s="150" t="s">
        <v>1794</v>
      </c>
      <c r="W571" s="148" t="s">
        <v>1803</v>
      </c>
      <c r="X571" s="148" t="s">
        <v>1796</v>
      </c>
      <c r="Y571" s="148" t="s">
        <v>1795</v>
      </c>
      <c r="Z571" s="148" t="s">
        <v>1794</v>
      </c>
      <c r="AA571" s="148" t="s">
        <v>1794</v>
      </c>
      <c r="AB571" s="143"/>
      <c r="AC571" s="151" t="s">
        <v>1953</v>
      </c>
    </row>
    <row r="572" spans="1:29">
      <c r="A572" s="260"/>
      <c r="B572" t="s">
        <v>1819</v>
      </c>
      <c r="C572" t="s">
        <v>40</v>
      </c>
      <c r="D572" s="141">
        <v>0.57499999999999996</v>
      </c>
      <c r="E572" s="141">
        <v>0.57499999999999996</v>
      </c>
      <c r="F572" s="141">
        <v>0.44500000000000001</v>
      </c>
      <c r="G572" s="141">
        <v>0.55000000000000004</v>
      </c>
      <c r="H572" s="141">
        <v>0.56000000000000005</v>
      </c>
      <c r="I572" s="141">
        <v>0.57499999999999996</v>
      </c>
      <c r="J572" s="142">
        <v>0.62</v>
      </c>
      <c r="K572" s="141">
        <v>0.62</v>
      </c>
      <c r="L572" s="141">
        <v>0.67500000000000004</v>
      </c>
      <c r="M572" s="141">
        <v>0.61499999999999999</v>
      </c>
      <c r="N572" s="141">
        <v>0.62</v>
      </c>
      <c r="O572" s="141">
        <v>0.51500000000000001</v>
      </c>
      <c r="P572" s="142">
        <v>0.57999999999999996</v>
      </c>
      <c r="Q572" s="141">
        <v>0.57999999999999996</v>
      </c>
      <c r="R572" s="141">
        <v>0.44500000000000001</v>
      </c>
      <c r="S572" s="141">
        <v>0.59</v>
      </c>
      <c r="T572" s="141">
        <v>0.60499999999999998</v>
      </c>
      <c r="U572" s="141">
        <v>0.60499999999999998</v>
      </c>
      <c r="V572" s="142">
        <v>0.625</v>
      </c>
      <c r="W572" s="141">
        <v>0.59499999999999997</v>
      </c>
      <c r="X572" s="141">
        <v>0.64</v>
      </c>
      <c r="Y572" s="141">
        <v>0.67</v>
      </c>
      <c r="Z572" s="141">
        <v>0.67</v>
      </c>
      <c r="AA572" s="141">
        <v>0.55000000000000004</v>
      </c>
      <c r="AB572" s="143">
        <f>_xlfn.STDEV.P(D572:AA572)</f>
        <v>5.775306629666227E-2</v>
      </c>
      <c r="AC572" s="143"/>
    </row>
    <row r="573" spans="1:29">
      <c r="A573" s="260"/>
      <c r="C573" t="s">
        <v>220</v>
      </c>
      <c r="D573" s="141">
        <v>1.0149999999999999</v>
      </c>
      <c r="E573" s="141">
        <v>1.02</v>
      </c>
      <c r="F573" s="141">
        <v>1.0249999999999999</v>
      </c>
      <c r="G573" s="141">
        <v>1.02</v>
      </c>
      <c r="H573" s="141">
        <v>1.0249999999999999</v>
      </c>
      <c r="I573" s="141">
        <v>1.01</v>
      </c>
      <c r="J573" s="142">
        <v>0.995</v>
      </c>
      <c r="K573" s="141">
        <v>1.06</v>
      </c>
      <c r="L573" s="141">
        <v>1.0249999999999999</v>
      </c>
      <c r="M573" s="141">
        <v>0.97499999999999998</v>
      </c>
      <c r="N573" s="141">
        <v>1.0349999999999999</v>
      </c>
      <c r="O573" s="141">
        <v>1.04</v>
      </c>
      <c r="P573" s="142">
        <v>1.03</v>
      </c>
      <c r="Q573" s="141">
        <v>1.0249999999999999</v>
      </c>
      <c r="R573" s="141">
        <v>1.1000000000000001</v>
      </c>
      <c r="S573" s="141">
        <v>1.0049999999999999</v>
      </c>
      <c r="T573" s="141">
        <v>0.995</v>
      </c>
      <c r="U573" s="141">
        <v>1.05</v>
      </c>
      <c r="V573" s="142">
        <v>1.0049999999999999</v>
      </c>
      <c r="W573" s="141">
        <v>1.0449999999999999</v>
      </c>
      <c r="X573" s="141">
        <v>1.04</v>
      </c>
      <c r="Y573" s="141">
        <v>1.0549999999999999</v>
      </c>
      <c r="Z573" s="141">
        <v>0.95</v>
      </c>
      <c r="AA573" s="141">
        <v>1.06</v>
      </c>
      <c r="AB573" s="143">
        <f>_xlfn.STDEV.P(D573:AA573)</f>
        <v>3.0051316064728745E-2</v>
      </c>
      <c r="AC573" s="143"/>
    </row>
    <row r="574" spans="1:29">
      <c r="A574" s="260"/>
      <c r="C574" t="s">
        <v>221</v>
      </c>
      <c r="D574" s="144">
        <v>0.43</v>
      </c>
      <c r="E574" s="144">
        <v>0.42499999999999999</v>
      </c>
      <c r="F574" s="144">
        <v>0.42</v>
      </c>
      <c r="G574" s="144">
        <v>0.41499999999999998</v>
      </c>
      <c r="H574" s="144">
        <v>0.4</v>
      </c>
      <c r="I574" s="141">
        <v>0.41499999999999998</v>
      </c>
      <c r="J574" s="145">
        <v>0.42499999999999999</v>
      </c>
      <c r="K574" s="144">
        <v>0.36499999999999999</v>
      </c>
      <c r="L574" s="144">
        <v>0.43</v>
      </c>
      <c r="M574" s="144">
        <v>0.36499999999999999</v>
      </c>
      <c r="N574" s="144">
        <v>0.49</v>
      </c>
      <c r="O574" s="141">
        <v>0.435</v>
      </c>
      <c r="P574" s="145">
        <v>0.4</v>
      </c>
      <c r="Q574" s="144">
        <v>0.42499999999999999</v>
      </c>
      <c r="R574" s="144">
        <v>0.51500000000000001</v>
      </c>
      <c r="S574" s="144">
        <v>0.37</v>
      </c>
      <c r="T574" s="144">
        <v>0.45500000000000002</v>
      </c>
      <c r="U574" s="141">
        <v>0.4</v>
      </c>
      <c r="V574" s="145">
        <v>0.41</v>
      </c>
      <c r="W574" s="144">
        <v>0.45</v>
      </c>
      <c r="X574" s="144">
        <v>0.42</v>
      </c>
      <c r="Y574" s="144">
        <v>0.38</v>
      </c>
      <c r="Z574" s="144">
        <v>0.37</v>
      </c>
      <c r="AA574" s="144">
        <v>0.35499999999999998</v>
      </c>
      <c r="AB574" s="143">
        <f>_xlfn.STDEV.P(D574:AA574)</f>
        <v>3.7762392189702294E-2</v>
      </c>
      <c r="AC574" s="146"/>
    </row>
    <row r="575" spans="1:29">
      <c r="A575" s="260"/>
      <c r="B575" s="147" t="s">
        <v>1820</v>
      </c>
      <c r="D575" s="148" t="s">
        <v>1795</v>
      </c>
      <c r="E575" s="148" t="s">
        <v>1796</v>
      </c>
      <c r="F575" s="148" t="s">
        <v>1796</v>
      </c>
      <c r="G575" s="148" t="s">
        <v>1796</v>
      </c>
      <c r="H575" s="148" t="s">
        <v>1795</v>
      </c>
      <c r="I575" s="149" t="s">
        <v>1795</v>
      </c>
      <c r="J575" s="150" t="s">
        <v>1795</v>
      </c>
      <c r="K575" s="148" t="s">
        <v>1796</v>
      </c>
      <c r="L575" s="148" t="s">
        <v>1796</v>
      </c>
      <c r="M575" s="148" t="s">
        <v>1803</v>
      </c>
      <c r="N575" s="148" t="s">
        <v>1795</v>
      </c>
      <c r="O575" s="149" t="s">
        <v>1803</v>
      </c>
      <c r="P575" s="150" t="s">
        <v>1796</v>
      </c>
      <c r="Q575" s="148" t="s">
        <v>1796</v>
      </c>
      <c r="R575" s="148" t="s">
        <v>1796</v>
      </c>
      <c r="S575" s="148" t="s">
        <v>1796</v>
      </c>
      <c r="T575" s="148" t="s">
        <v>1796</v>
      </c>
      <c r="U575" s="149" t="s">
        <v>1803</v>
      </c>
      <c r="V575" s="150" t="s">
        <v>1796</v>
      </c>
      <c r="W575" s="148" t="s">
        <v>1796</v>
      </c>
      <c r="X575" s="148" t="s">
        <v>1796</v>
      </c>
      <c r="Y575" s="148" t="s">
        <v>1796</v>
      </c>
      <c r="Z575" s="148" t="s">
        <v>1795</v>
      </c>
      <c r="AA575" s="148" t="s">
        <v>1795</v>
      </c>
      <c r="AB575" s="143"/>
      <c r="AC575" s="151" t="s">
        <v>1954</v>
      </c>
    </row>
    <row r="576" spans="1:29">
      <c r="A576" s="260"/>
      <c r="B576" t="s">
        <v>1798</v>
      </c>
      <c r="C576" t="s">
        <v>40</v>
      </c>
      <c r="D576" s="141">
        <v>0.58499999999999996</v>
      </c>
      <c r="E576" s="141">
        <v>0.56999999999999995</v>
      </c>
      <c r="F576" s="141">
        <v>0.71499999999999997</v>
      </c>
      <c r="G576" s="141">
        <v>0.58499999999999996</v>
      </c>
      <c r="H576" s="141">
        <v>0.61499999999999999</v>
      </c>
      <c r="I576" s="141">
        <v>0.61499999999999999</v>
      </c>
      <c r="J576" s="142">
        <v>0.60499999999999998</v>
      </c>
      <c r="K576" s="141">
        <v>0.59</v>
      </c>
      <c r="L576" s="141">
        <v>0.65</v>
      </c>
      <c r="M576" s="141">
        <v>0.61499999999999999</v>
      </c>
      <c r="N576" s="141">
        <v>0.53500000000000003</v>
      </c>
      <c r="O576" s="141">
        <v>0.53500000000000003</v>
      </c>
      <c r="P576" s="142">
        <v>0.63</v>
      </c>
      <c r="Q576" s="141">
        <v>0.72</v>
      </c>
      <c r="R576" s="141">
        <v>0.59499999999999997</v>
      </c>
      <c r="S576" s="141">
        <v>0.55500000000000005</v>
      </c>
      <c r="T576" s="141">
        <v>0.6</v>
      </c>
      <c r="U576" s="141">
        <v>0.6</v>
      </c>
      <c r="V576" s="142">
        <v>0.495</v>
      </c>
      <c r="W576" s="141">
        <v>0.51</v>
      </c>
      <c r="X576" s="141">
        <v>0.56000000000000005</v>
      </c>
      <c r="Y576" s="141">
        <v>0.59</v>
      </c>
      <c r="Z576" s="141">
        <v>0.625</v>
      </c>
      <c r="AA576" s="141">
        <v>0.625</v>
      </c>
      <c r="AB576" s="143">
        <f>_xlfn.STDEV.P(D576:AA576)</f>
        <v>5.2234779814049385E-2</v>
      </c>
      <c r="AC576" s="143"/>
    </row>
    <row r="577" spans="1:29">
      <c r="A577" s="260"/>
      <c r="C577" t="s">
        <v>220</v>
      </c>
      <c r="D577" s="141">
        <v>1.0149999999999999</v>
      </c>
      <c r="E577" s="141">
        <v>1.0149999999999999</v>
      </c>
      <c r="F577" s="141">
        <v>0.99</v>
      </c>
      <c r="G577" s="141">
        <v>1.0049999999999999</v>
      </c>
      <c r="H577" s="141">
        <v>1.03</v>
      </c>
      <c r="I577" s="141">
        <v>1.03</v>
      </c>
      <c r="J577" s="142">
        <v>1.04</v>
      </c>
      <c r="K577" s="141">
        <v>1.06</v>
      </c>
      <c r="L577" s="141">
        <v>1.04</v>
      </c>
      <c r="M577" s="141">
        <v>1.02</v>
      </c>
      <c r="N577" s="141">
        <v>1.0149999999999999</v>
      </c>
      <c r="O577" s="141">
        <v>1.0149999999999999</v>
      </c>
      <c r="P577" s="142">
        <v>1.0149999999999999</v>
      </c>
      <c r="Q577" s="141">
        <v>0.93500000000000005</v>
      </c>
      <c r="R577" s="141">
        <v>1.03</v>
      </c>
      <c r="S577" s="141">
        <v>1.01</v>
      </c>
      <c r="T577" s="141">
        <v>0.98499999999999999</v>
      </c>
      <c r="U577" s="141">
        <v>0.98499999999999999</v>
      </c>
      <c r="V577" s="142">
        <v>1.0049999999999999</v>
      </c>
      <c r="W577" s="141">
        <v>1.0149999999999999</v>
      </c>
      <c r="X577" s="141">
        <v>0.97</v>
      </c>
      <c r="Y577" s="141">
        <v>1.05</v>
      </c>
      <c r="Z577" s="141">
        <v>0.98</v>
      </c>
      <c r="AA577" s="141">
        <v>0.98</v>
      </c>
      <c r="AB577" s="143">
        <f>_xlfn.STDEV.P(D577:AA577)</f>
        <v>2.7442332211789558E-2</v>
      </c>
      <c r="AC577" s="143"/>
    </row>
    <row r="578" spans="1:29">
      <c r="A578" s="260"/>
      <c r="C578" t="s">
        <v>221</v>
      </c>
      <c r="D578" s="144">
        <v>0.43</v>
      </c>
      <c r="E578" s="144">
        <v>0.42</v>
      </c>
      <c r="F578" s="144">
        <v>0.43</v>
      </c>
      <c r="G578" s="144">
        <v>0.435</v>
      </c>
      <c r="H578" s="144">
        <v>0.44</v>
      </c>
      <c r="I578" s="141">
        <v>0.44</v>
      </c>
      <c r="J578" s="145">
        <v>0.39</v>
      </c>
      <c r="K578" s="144">
        <v>0.38</v>
      </c>
      <c r="L578" s="144">
        <v>0.40500000000000003</v>
      </c>
      <c r="M578" s="144">
        <v>0.435</v>
      </c>
      <c r="N578" s="144">
        <v>0.39</v>
      </c>
      <c r="O578" s="141">
        <v>0.39</v>
      </c>
      <c r="P578" s="145">
        <v>0.44</v>
      </c>
      <c r="Q578" s="144">
        <v>0.34499999999999997</v>
      </c>
      <c r="R578" s="144">
        <v>0.38</v>
      </c>
      <c r="S578" s="144">
        <v>0.4</v>
      </c>
      <c r="T578" s="144">
        <v>0.40500000000000003</v>
      </c>
      <c r="U578" s="141">
        <v>0.40500000000000003</v>
      </c>
      <c r="V578" s="145">
        <v>0.41499999999999998</v>
      </c>
      <c r="W578" s="144">
        <v>0.40500000000000003</v>
      </c>
      <c r="X578" s="144">
        <v>0.38500000000000001</v>
      </c>
      <c r="Y578" s="144">
        <v>0.41</v>
      </c>
      <c r="Z578" s="144">
        <v>0.40500000000000003</v>
      </c>
      <c r="AA578" s="144">
        <v>0.40500000000000003</v>
      </c>
      <c r="AB578" s="143">
        <f>_xlfn.STDEV.P(D578:AA578)</f>
        <v>2.3138134408134305E-2</v>
      </c>
      <c r="AC578" s="146"/>
    </row>
    <row r="579" spans="1:29">
      <c r="A579" s="260"/>
      <c r="B579" s="147" t="s">
        <v>1799</v>
      </c>
      <c r="D579" s="148" t="s">
        <v>1795</v>
      </c>
      <c r="E579" s="148" t="s">
        <v>1796</v>
      </c>
      <c r="F579" s="148" t="s">
        <v>1796</v>
      </c>
      <c r="G579" s="148" t="s">
        <v>1796</v>
      </c>
      <c r="H579" s="148" t="s">
        <v>1795</v>
      </c>
      <c r="I579" s="149" t="s">
        <v>1795</v>
      </c>
      <c r="J579" s="150" t="s">
        <v>1795</v>
      </c>
      <c r="K579" s="148" t="s">
        <v>1796</v>
      </c>
      <c r="L579" s="148" t="s">
        <v>1796</v>
      </c>
      <c r="M579" s="148" t="s">
        <v>1795</v>
      </c>
      <c r="N579" s="148" t="s">
        <v>1794</v>
      </c>
      <c r="O579" s="149" t="s">
        <v>1796</v>
      </c>
      <c r="P579" s="150" t="s">
        <v>1795</v>
      </c>
      <c r="Q579" s="148" t="s">
        <v>1803</v>
      </c>
      <c r="R579" s="148" t="s">
        <v>1796</v>
      </c>
      <c r="S579" s="148" t="s">
        <v>1796</v>
      </c>
      <c r="T579" s="148" t="s">
        <v>1795</v>
      </c>
      <c r="U579" s="149" t="s">
        <v>1795</v>
      </c>
      <c r="V579" s="150" t="s">
        <v>1796</v>
      </c>
      <c r="W579" s="148" t="s">
        <v>1795</v>
      </c>
      <c r="X579" s="148" t="s">
        <v>1803</v>
      </c>
      <c r="Y579" s="148" t="s">
        <v>1803</v>
      </c>
      <c r="Z579" s="148" t="s">
        <v>1794</v>
      </c>
      <c r="AA579" s="148" t="s">
        <v>1794</v>
      </c>
      <c r="AB579" s="143"/>
      <c r="AC579" s="151" t="s">
        <v>1955</v>
      </c>
    </row>
    <row r="580" spans="1:29">
      <c r="A580" s="260"/>
      <c r="B580" t="s">
        <v>1801</v>
      </c>
      <c r="C580" t="s">
        <v>40</v>
      </c>
      <c r="D580" s="141">
        <v>0.7</v>
      </c>
      <c r="E580" s="141">
        <v>0.44500000000000001</v>
      </c>
      <c r="F580" s="141">
        <v>0.56499999999999995</v>
      </c>
      <c r="G580" s="141">
        <v>0.52</v>
      </c>
      <c r="H580" s="141">
        <v>0.52</v>
      </c>
      <c r="I580" s="141">
        <v>0.59499999999999997</v>
      </c>
      <c r="J580" s="142">
        <v>0.63500000000000001</v>
      </c>
      <c r="K580" s="141">
        <v>0.51500000000000001</v>
      </c>
      <c r="L580" s="141">
        <v>0.61499999999999999</v>
      </c>
      <c r="M580" s="141">
        <v>0.47</v>
      </c>
      <c r="N580" s="141">
        <v>0.6</v>
      </c>
      <c r="O580" s="141">
        <v>0.6</v>
      </c>
      <c r="P580" s="142">
        <v>0.55000000000000004</v>
      </c>
      <c r="Q580" s="141">
        <v>0.64</v>
      </c>
      <c r="R580" s="141">
        <v>0.58499999999999996</v>
      </c>
      <c r="S580" s="141">
        <v>0.59</v>
      </c>
      <c r="T580" s="141">
        <v>0.59</v>
      </c>
      <c r="U580" s="141">
        <v>0.57499999999999996</v>
      </c>
      <c r="V580" s="142">
        <v>0.58499999999999996</v>
      </c>
      <c r="W580" s="141">
        <v>0.63500000000000001</v>
      </c>
      <c r="X580" s="141">
        <v>0.63</v>
      </c>
      <c r="Y580" s="141">
        <v>0.56000000000000005</v>
      </c>
      <c r="Z580" s="141">
        <v>0.53500000000000003</v>
      </c>
      <c r="AA580" s="141">
        <v>0.53500000000000003</v>
      </c>
      <c r="AB580" s="143">
        <f>_xlfn.STDEV.P(D580:AA580)</f>
        <v>5.6160422501576282E-2</v>
      </c>
      <c r="AC580" s="143"/>
    </row>
    <row r="581" spans="1:29">
      <c r="A581" s="260"/>
      <c r="C581" t="s">
        <v>220</v>
      </c>
      <c r="D581" s="141">
        <v>1.05</v>
      </c>
      <c r="E581" s="141">
        <v>1.01</v>
      </c>
      <c r="F581" s="141">
        <v>1.0149999999999999</v>
      </c>
      <c r="G581" s="141">
        <v>1.01</v>
      </c>
      <c r="H581" s="141">
        <v>1.01</v>
      </c>
      <c r="I581" s="141">
        <v>1.0149999999999999</v>
      </c>
      <c r="J581" s="142">
        <v>1.02</v>
      </c>
      <c r="K581" s="141">
        <v>0.995</v>
      </c>
      <c r="L581" s="141">
        <v>0.97499999999999998</v>
      </c>
      <c r="M581" s="141">
        <v>1.075</v>
      </c>
      <c r="N581" s="141">
        <v>1.0049999999999999</v>
      </c>
      <c r="O581" s="141">
        <v>1.0049999999999999</v>
      </c>
      <c r="P581" s="142">
        <v>1.0149999999999999</v>
      </c>
      <c r="Q581" s="141">
        <v>0.92</v>
      </c>
      <c r="R581" s="141">
        <v>1.02</v>
      </c>
      <c r="S581" s="141">
        <v>0.99</v>
      </c>
      <c r="T581" s="141">
        <v>0.99</v>
      </c>
      <c r="U581" s="141">
        <v>1.0049999999999999</v>
      </c>
      <c r="V581" s="142">
        <v>1.02</v>
      </c>
      <c r="W581" s="141">
        <v>1.03</v>
      </c>
      <c r="X581" s="141">
        <v>0.93500000000000005</v>
      </c>
      <c r="Y581" s="141">
        <v>1.0449999999999999</v>
      </c>
      <c r="Z581" s="141">
        <v>1.03</v>
      </c>
      <c r="AA581" s="141">
        <v>1.03</v>
      </c>
      <c r="AB581" s="143">
        <f>_xlfn.STDEV.P(D581:AA581)</f>
        <v>3.2047463714864471E-2</v>
      </c>
      <c r="AC581" s="143"/>
    </row>
    <row r="582" spans="1:29">
      <c r="A582" s="260"/>
      <c r="C582" t="s">
        <v>221</v>
      </c>
      <c r="D582" s="144">
        <v>0.38500000000000001</v>
      </c>
      <c r="E582" s="144">
        <v>0.41499999999999998</v>
      </c>
      <c r="F582" s="144">
        <v>0.44</v>
      </c>
      <c r="G582" s="144">
        <v>0.42</v>
      </c>
      <c r="H582" s="144">
        <v>0.42</v>
      </c>
      <c r="I582" s="141">
        <v>0.43</v>
      </c>
      <c r="J582" s="145">
        <v>0.435</v>
      </c>
      <c r="K582" s="144">
        <v>0.44</v>
      </c>
      <c r="L582" s="144">
        <v>0.35499999999999998</v>
      </c>
      <c r="M582" s="144">
        <v>0.38</v>
      </c>
      <c r="N582" s="144">
        <v>0.46</v>
      </c>
      <c r="O582" s="141">
        <v>0.46</v>
      </c>
      <c r="P582" s="145">
        <v>0.40500000000000003</v>
      </c>
      <c r="Q582" s="144">
        <v>0.30499999999999999</v>
      </c>
      <c r="R582" s="144">
        <v>0.375</v>
      </c>
      <c r="S582" s="144">
        <v>0.44500000000000001</v>
      </c>
      <c r="T582" s="144">
        <v>0.44500000000000001</v>
      </c>
      <c r="U582" s="141">
        <v>0.495</v>
      </c>
      <c r="V582" s="145">
        <v>0.42</v>
      </c>
      <c r="W582" s="144">
        <v>0.42</v>
      </c>
      <c r="X582" s="144">
        <v>0.35</v>
      </c>
      <c r="Y582" s="144">
        <v>0.43</v>
      </c>
      <c r="Z582" s="144">
        <v>0.44500000000000001</v>
      </c>
      <c r="AA582" s="144">
        <v>0.44500000000000001</v>
      </c>
      <c r="AB582" s="143">
        <f>_xlfn.STDEV.P(D582:AA582)</f>
        <v>4.0748210594658843E-2</v>
      </c>
      <c r="AC582" s="146"/>
    </row>
    <row r="583" spans="1:29">
      <c r="A583" s="260"/>
      <c r="B583" s="147" t="s">
        <v>1802</v>
      </c>
      <c r="D583" s="148" t="s">
        <v>1803</v>
      </c>
      <c r="E583" s="148" t="s">
        <v>1796</v>
      </c>
      <c r="F583" s="148" t="s">
        <v>1803</v>
      </c>
      <c r="G583" s="148" t="s">
        <v>1795</v>
      </c>
      <c r="H583" s="148" t="s">
        <v>1794</v>
      </c>
      <c r="I583" s="149" t="s">
        <v>1795</v>
      </c>
      <c r="J583" s="150" t="s">
        <v>1803</v>
      </c>
      <c r="K583" s="148" t="s">
        <v>1795</v>
      </c>
      <c r="L583" s="148" t="s">
        <v>1803</v>
      </c>
      <c r="M583" s="148" t="s">
        <v>1794</v>
      </c>
      <c r="N583" s="148" t="s">
        <v>1794</v>
      </c>
      <c r="O583" s="149" t="s">
        <v>1796</v>
      </c>
      <c r="P583" s="150" t="s">
        <v>1803</v>
      </c>
      <c r="Q583" s="148" t="s">
        <v>1795</v>
      </c>
      <c r="R583" s="148" t="s">
        <v>1796</v>
      </c>
      <c r="S583" s="148" t="s">
        <v>1796</v>
      </c>
      <c r="T583" s="148" t="s">
        <v>1795</v>
      </c>
      <c r="U583" s="149" t="s">
        <v>1795</v>
      </c>
      <c r="V583" s="150" t="s">
        <v>1796</v>
      </c>
      <c r="W583" s="148" t="s">
        <v>1795</v>
      </c>
      <c r="X583" s="148" t="s">
        <v>1795</v>
      </c>
      <c r="Y583" s="148" t="s">
        <v>1803</v>
      </c>
      <c r="Z583" s="148" t="s">
        <v>1794</v>
      </c>
      <c r="AA583" s="148" t="s">
        <v>1794</v>
      </c>
      <c r="AB583" s="143"/>
      <c r="AC583" s="151" t="s">
        <v>1956</v>
      </c>
    </row>
    <row r="584" spans="1:29">
      <c r="A584" s="260"/>
      <c r="B584" s="153" t="s">
        <v>1805</v>
      </c>
      <c r="C584" s="153" t="s">
        <v>40</v>
      </c>
      <c r="D584" s="154">
        <v>0.56499999999999995</v>
      </c>
      <c r="E584" s="154">
        <v>0.64500000000000002</v>
      </c>
      <c r="F584" s="154">
        <v>0.59</v>
      </c>
      <c r="G584" s="154">
        <v>0.56999999999999995</v>
      </c>
      <c r="H584" s="154">
        <v>0.52500000000000002</v>
      </c>
      <c r="I584" s="154">
        <v>0.56499999999999995</v>
      </c>
      <c r="J584" s="155">
        <v>0.61499999999999999</v>
      </c>
      <c r="K584" s="154">
        <v>0.57999999999999996</v>
      </c>
      <c r="L584" s="154">
        <v>0.53500000000000003</v>
      </c>
      <c r="M584" s="154">
        <v>0.45</v>
      </c>
      <c r="N584" s="154">
        <v>0.73</v>
      </c>
      <c r="O584" s="154">
        <v>0.56499999999999995</v>
      </c>
      <c r="P584" s="155">
        <v>0.57499999999999996</v>
      </c>
      <c r="Q584" s="154">
        <v>0.45500000000000002</v>
      </c>
      <c r="R584" s="154">
        <v>0.55000000000000004</v>
      </c>
      <c r="S584" s="154">
        <v>0.58499999999999996</v>
      </c>
      <c r="T584" s="154">
        <v>0.52500000000000002</v>
      </c>
      <c r="U584" s="154">
        <v>0.60499999999999998</v>
      </c>
      <c r="V584" s="155">
        <v>0.53500000000000003</v>
      </c>
      <c r="W584" s="154">
        <v>0.62</v>
      </c>
      <c r="X584" s="154">
        <v>0.67500000000000004</v>
      </c>
      <c r="Y584" s="154">
        <v>0.55000000000000004</v>
      </c>
      <c r="Z584" s="154">
        <v>0.62</v>
      </c>
      <c r="AA584" s="154">
        <v>0.63500000000000001</v>
      </c>
      <c r="AB584" s="156">
        <f>_xlfn.STDEV.P(D584:AA584)</f>
        <v>6.0912833326721968E-2</v>
      </c>
      <c r="AC584" s="156"/>
    </row>
    <row r="585" spans="1:29">
      <c r="A585" s="260"/>
      <c r="B585" s="153"/>
      <c r="C585" s="153" t="s">
        <v>220</v>
      </c>
      <c r="D585" s="154">
        <v>1.01</v>
      </c>
      <c r="E585" s="154">
        <v>0.99</v>
      </c>
      <c r="F585" s="154">
        <v>1</v>
      </c>
      <c r="G585" s="154">
        <v>1.0449999999999999</v>
      </c>
      <c r="H585" s="154">
        <v>0.98</v>
      </c>
      <c r="I585" s="154">
        <v>1.0449999999999999</v>
      </c>
      <c r="J585" s="155">
        <v>1.0149999999999999</v>
      </c>
      <c r="K585" s="154">
        <v>1.0349999999999999</v>
      </c>
      <c r="L585" s="154">
        <v>1.06</v>
      </c>
      <c r="M585" s="154">
        <v>1.0549999999999999</v>
      </c>
      <c r="N585" s="154">
        <v>0.97499999999999998</v>
      </c>
      <c r="O585" s="154">
        <v>1.0249999999999999</v>
      </c>
      <c r="P585" s="155">
        <v>1.01</v>
      </c>
      <c r="Q585" s="154">
        <v>1.06</v>
      </c>
      <c r="R585" s="154">
        <v>1.0900000000000001</v>
      </c>
      <c r="S585" s="154">
        <v>0.98499999999999999</v>
      </c>
      <c r="T585" s="154">
        <v>1.0049999999999999</v>
      </c>
      <c r="U585" s="154">
        <v>1.01</v>
      </c>
      <c r="V585" s="155">
        <v>1.0049999999999999</v>
      </c>
      <c r="W585" s="154">
        <v>0.97</v>
      </c>
      <c r="X585" s="154">
        <v>1.0349999999999999</v>
      </c>
      <c r="Y585" s="154">
        <v>1.06</v>
      </c>
      <c r="Z585" s="154">
        <v>1.0249999999999999</v>
      </c>
      <c r="AA585" s="154">
        <v>1</v>
      </c>
      <c r="AB585" s="156">
        <f>_xlfn.STDEV.P(D585:AA585)</f>
        <v>3.0615786595952255E-2</v>
      </c>
      <c r="AC585" s="156"/>
    </row>
    <row r="586" spans="1:29">
      <c r="A586" s="260"/>
      <c r="B586" s="153"/>
      <c r="C586" s="153" t="s">
        <v>221</v>
      </c>
      <c r="D586" s="157">
        <v>0.435</v>
      </c>
      <c r="E586" s="157">
        <v>0.43</v>
      </c>
      <c r="F586" s="157">
        <v>0.42499999999999999</v>
      </c>
      <c r="G586" s="157">
        <v>0.46500000000000002</v>
      </c>
      <c r="H586" s="157">
        <v>0.45500000000000002</v>
      </c>
      <c r="I586" s="154">
        <v>0.375</v>
      </c>
      <c r="J586" s="158">
        <v>0.42499999999999999</v>
      </c>
      <c r="K586" s="157">
        <v>0.42</v>
      </c>
      <c r="L586" s="157">
        <v>0.47499999999999998</v>
      </c>
      <c r="M586" s="157">
        <v>0.39500000000000002</v>
      </c>
      <c r="N586" s="157">
        <v>0.42</v>
      </c>
      <c r="O586" s="154">
        <v>0.40500000000000003</v>
      </c>
      <c r="P586" s="158">
        <v>0.36</v>
      </c>
      <c r="Q586" s="157">
        <v>0.42499999999999999</v>
      </c>
      <c r="R586" s="157">
        <v>0.36</v>
      </c>
      <c r="S586" s="157">
        <v>0.43</v>
      </c>
      <c r="T586" s="157">
        <v>0.43</v>
      </c>
      <c r="U586" s="154">
        <v>0.39500000000000002</v>
      </c>
      <c r="V586" s="158">
        <v>0.40500000000000003</v>
      </c>
      <c r="W586" s="157">
        <v>0.40500000000000003</v>
      </c>
      <c r="X586" s="157">
        <v>0.43</v>
      </c>
      <c r="Y586" s="157">
        <v>0.375</v>
      </c>
      <c r="Z586" s="157">
        <v>0.46</v>
      </c>
      <c r="AA586" s="157">
        <v>0.40500000000000003</v>
      </c>
      <c r="AB586" s="156">
        <f>_xlfn.STDEV.P(D586:AA586)</f>
        <v>3.0097497819586264E-2</v>
      </c>
      <c r="AC586" s="164"/>
    </row>
    <row r="587" spans="1:29">
      <c r="A587" s="260"/>
      <c r="B587" s="159" t="s">
        <v>1806</v>
      </c>
      <c r="C587" s="153"/>
      <c r="D587" s="160" t="s">
        <v>1795</v>
      </c>
      <c r="E587" s="160" t="s">
        <v>1796</v>
      </c>
      <c r="F587" s="160" t="s">
        <v>1803</v>
      </c>
      <c r="G587" s="160" t="s">
        <v>1795</v>
      </c>
      <c r="H587" s="160" t="s">
        <v>1795</v>
      </c>
      <c r="I587" s="161" t="s">
        <v>1795</v>
      </c>
      <c r="J587" s="162" t="s">
        <v>1803</v>
      </c>
      <c r="K587" s="160" t="s">
        <v>1803</v>
      </c>
      <c r="L587" s="160" t="s">
        <v>1795</v>
      </c>
      <c r="M587" s="160" t="s">
        <v>1795</v>
      </c>
      <c r="N587" s="160" t="s">
        <v>1794</v>
      </c>
      <c r="O587" s="161" t="s">
        <v>1796</v>
      </c>
      <c r="P587" s="162" t="s">
        <v>1803</v>
      </c>
      <c r="Q587" s="160" t="s">
        <v>1796</v>
      </c>
      <c r="R587" s="160" t="s">
        <v>1796</v>
      </c>
      <c r="S587" s="160" t="s">
        <v>1795</v>
      </c>
      <c r="T587" s="160" t="s">
        <v>1794</v>
      </c>
      <c r="U587" s="161" t="s">
        <v>1795</v>
      </c>
      <c r="V587" s="162" t="s">
        <v>1796</v>
      </c>
      <c r="W587" s="160" t="s">
        <v>1796</v>
      </c>
      <c r="X587" s="160" t="s">
        <v>1803</v>
      </c>
      <c r="Y587" s="160" t="s">
        <v>1794</v>
      </c>
      <c r="Z587" s="160" t="s">
        <v>1794</v>
      </c>
      <c r="AA587" s="160" t="s">
        <v>1794</v>
      </c>
      <c r="AB587" s="156"/>
      <c r="AC587" s="165" t="s">
        <v>1826</v>
      </c>
    </row>
    <row r="588" spans="1:29">
      <c r="A588" s="260"/>
      <c r="B588" t="s">
        <v>1815</v>
      </c>
      <c r="C588" t="s">
        <v>40</v>
      </c>
      <c r="D588" s="141">
        <v>0.53500000000000003</v>
      </c>
      <c r="E588" s="141">
        <v>0.58499999999999996</v>
      </c>
      <c r="F588" s="141">
        <v>0.57999999999999996</v>
      </c>
      <c r="G588" s="141">
        <v>0.55000000000000004</v>
      </c>
      <c r="H588" s="141">
        <v>0.56999999999999995</v>
      </c>
      <c r="I588" s="141">
        <v>0.59499999999999997</v>
      </c>
      <c r="J588" s="142">
        <v>0.59499999999999997</v>
      </c>
      <c r="K588" s="141">
        <v>0.57999999999999996</v>
      </c>
      <c r="L588" s="141">
        <v>0.56999999999999995</v>
      </c>
      <c r="M588" s="141">
        <v>0.58499999999999996</v>
      </c>
      <c r="N588" s="141">
        <v>0.57999999999999996</v>
      </c>
      <c r="O588" s="141">
        <v>0.57499999999999996</v>
      </c>
      <c r="P588" s="142">
        <v>0.64</v>
      </c>
      <c r="Q588" s="141">
        <v>0.59</v>
      </c>
      <c r="R588" s="141">
        <v>0.59</v>
      </c>
      <c r="S588" s="141">
        <v>0.55500000000000005</v>
      </c>
      <c r="T588" s="141">
        <v>0.56000000000000005</v>
      </c>
      <c r="U588" s="141">
        <v>0.61</v>
      </c>
      <c r="V588" s="142">
        <v>0.59</v>
      </c>
      <c r="W588" s="141">
        <v>0.6</v>
      </c>
      <c r="X588" s="141">
        <v>0.57999999999999996</v>
      </c>
      <c r="Y588" s="141">
        <v>0.69499999999999995</v>
      </c>
      <c r="Z588" s="141">
        <v>0.57999999999999996</v>
      </c>
      <c r="AA588" s="141">
        <v>0.505</v>
      </c>
      <c r="AB588" s="143">
        <f>_xlfn.STDEV.P(D588:AA588)</f>
        <v>3.4454453630844289E-2</v>
      </c>
      <c r="AC588" s="143"/>
    </row>
    <row r="589" spans="1:29">
      <c r="A589" s="260"/>
      <c r="C589" t="s">
        <v>220</v>
      </c>
      <c r="D589" s="141">
        <v>0.99</v>
      </c>
      <c r="E589" s="141">
        <v>1.0149999999999999</v>
      </c>
      <c r="F589" s="141">
        <v>1.0149999999999999</v>
      </c>
      <c r="G589" s="141">
        <v>1.0149999999999999</v>
      </c>
      <c r="H589" s="141">
        <v>1.02</v>
      </c>
      <c r="I589" s="141">
        <v>1.01</v>
      </c>
      <c r="J589" s="142">
        <v>0.98</v>
      </c>
      <c r="K589" s="141">
        <v>1.01</v>
      </c>
      <c r="L589" s="141">
        <v>0.98</v>
      </c>
      <c r="M589" s="141">
        <v>1.0149999999999999</v>
      </c>
      <c r="N589" s="141">
        <v>1.0149999999999999</v>
      </c>
      <c r="O589" s="141">
        <v>1.04</v>
      </c>
      <c r="P589" s="142">
        <v>1.04</v>
      </c>
      <c r="Q589" s="141">
        <v>1.02</v>
      </c>
      <c r="R589" s="141">
        <v>1.0149999999999999</v>
      </c>
      <c r="S589" s="141">
        <v>0.995</v>
      </c>
      <c r="T589" s="141">
        <v>1.01</v>
      </c>
      <c r="U589" s="141">
        <v>1.0449999999999999</v>
      </c>
      <c r="V589" s="142">
        <v>1.0149999999999999</v>
      </c>
      <c r="W589" s="141">
        <v>1.02</v>
      </c>
      <c r="X589" s="141">
        <v>1.0149999999999999</v>
      </c>
      <c r="Y589" s="141">
        <v>0.9</v>
      </c>
      <c r="Z589" s="141">
        <v>1.01</v>
      </c>
      <c r="AA589" s="141">
        <v>1.03</v>
      </c>
      <c r="AB589" s="143">
        <f>_xlfn.STDEV.P(D589:AA589)</f>
        <v>2.7713815247193144E-2</v>
      </c>
      <c r="AC589" s="143"/>
    </row>
    <row r="590" spans="1:29">
      <c r="A590" s="260"/>
      <c r="C590" t="s">
        <v>221</v>
      </c>
      <c r="D590" s="144">
        <v>0.42</v>
      </c>
      <c r="E590" s="144">
        <v>0.41499999999999998</v>
      </c>
      <c r="F590" s="144">
        <v>0.41499999999999998</v>
      </c>
      <c r="G590" s="144">
        <v>0.41</v>
      </c>
      <c r="H590" s="144">
        <v>0.42499999999999999</v>
      </c>
      <c r="I590" s="141">
        <v>0.41499999999999998</v>
      </c>
      <c r="J590" s="145">
        <v>0.4</v>
      </c>
      <c r="K590" s="144">
        <v>0.42</v>
      </c>
      <c r="L590" s="144">
        <v>0.40500000000000003</v>
      </c>
      <c r="M590" s="144">
        <v>0.40500000000000003</v>
      </c>
      <c r="N590" s="144">
        <v>0.41499999999999998</v>
      </c>
      <c r="O590" s="141">
        <v>0.435</v>
      </c>
      <c r="P590" s="145">
        <v>0.47</v>
      </c>
      <c r="Q590" s="144">
        <v>0.44</v>
      </c>
      <c r="R590" s="144">
        <v>0.45500000000000002</v>
      </c>
      <c r="S590" s="144">
        <v>0.39500000000000002</v>
      </c>
      <c r="T590" s="144">
        <v>0.435</v>
      </c>
      <c r="U590" s="141">
        <v>0.36</v>
      </c>
      <c r="V590" s="145">
        <v>0.38500000000000001</v>
      </c>
      <c r="W590" s="144">
        <v>0.41499999999999998</v>
      </c>
      <c r="X590" s="144">
        <v>0.4</v>
      </c>
      <c r="Y590" s="144">
        <v>0.47499999999999998</v>
      </c>
      <c r="Z590" s="144">
        <v>0.435</v>
      </c>
      <c r="AA590" s="144">
        <v>0.41</v>
      </c>
      <c r="AB590" s="143">
        <f>_xlfn.STDEV.P(D590:AA590)</f>
        <v>2.4873813483706556E-2</v>
      </c>
      <c r="AC590" s="146"/>
    </row>
    <row r="591" spans="1:29">
      <c r="A591" s="260"/>
      <c r="B591" s="147" t="s">
        <v>1816</v>
      </c>
      <c r="D591" s="148" t="s">
        <v>1794</v>
      </c>
      <c r="E591" s="148" t="s">
        <v>1794</v>
      </c>
      <c r="F591" s="148" t="s">
        <v>1794</v>
      </c>
      <c r="G591" s="148" t="s">
        <v>1794</v>
      </c>
      <c r="H591" s="148" t="s">
        <v>1794</v>
      </c>
      <c r="I591" s="149" t="s">
        <v>1794</v>
      </c>
      <c r="J591" s="150" t="s">
        <v>1794</v>
      </c>
      <c r="K591" s="148" t="s">
        <v>1794</v>
      </c>
      <c r="L591" s="148" t="s">
        <v>1794</v>
      </c>
      <c r="M591" s="148" t="s">
        <v>1794</v>
      </c>
      <c r="N591" s="148" t="s">
        <v>1794</v>
      </c>
      <c r="O591" s="149" t="s">
        <v>1794</v>
      </c>
      <c r="P591" s="150" t="s">
        <v>1794</v>
      </c>
      <c r="Q591" s="148" t="s">
        <v>1794</v>
      </c>
      <c r="R591" s="148" t="s">
        <v>1794</v>
      </c>
      <c r="S591" s="148" t="s">
        <v>1794</v>
      </c>
      <c r="T591" s="148" t="s">
        <v>1794</v>
      </c>
      <c r="U591" s="149" t="s">
        <v>1794</v>
      </c>
      <c r="V591" s="150" t="s">
        <v>1794</v>
      </c>
      <c r="W591" s="148" t="s">
        <v>1794</v>
      </c>
      <c r="X591" s="148" t="s">
        <v>1794</v>
      </c>
      <c r="Y591" s="148" t="s">
        <v>1794</v>
      </c>
      <c r="Z591" s="148" t="s">
        <v>1794</v>
      </c>
      <c r="AA591" s="148" t="s">
        <v>1794</v>
      </c>
      <c r="AB591" s="143"/>
      <c r="AC591" s="151" t="s">
        <v>1800</v>
      </c>
    </row>
    <row r="592" spans="1:29">
      <c r="A592" s="260"/>
      <c r="B592" t="s">
        <v>1899</v>
      </c>
      <c r="C592" t="s">
        <v>40</v>
      </c>
      <c r="D592" s="141">
        <v>0.56999999999999995</v>
      </c>
      <c r="E592" s="141">
        <v>0.57999999999999996</v>
      </c>
      <c r="F592" s="141">
        <v>0.67500000000000004</v>
      </c>
      <c r="G592" s="141">
        <v>0.67500000000000004</v>
      </c>
      <c r="H592" s="141">
        <v>0.6</v>
      </c>
      <c r="I592" s="141">
        <v>0.54</v>
      </c>
      <c r="J592" s="142">
        <v>0.57999999999999996</v>
      </c>
      <c r="K592" s="141">
        <v>0.57999999999999996</v>
      </c>
      <c r="L592" s="141">
        <v>0.54</v>
      </c>
      <c r="M592" s="141">
        <v>0.60499999999999998</v>
      </c>
      <c r="N592" s="141">
        <v>0.60499999999999998</v>
      </c>
      <c r="O592" s="141">
        <v>0.64</v>
      </c>
      <c r="P592" s="142">
        <v>0.6</v>
      </c>
      <c r="Q592" s="141">
        <v>0.53500000000000003</v>
      </c>
      <c r="R592" s="141">
        <v>0.54</v>
      </c>
      <c r="S592" s="141">
        <v>0.57499999999999996</v>
      </c>
      <c r="T592" s="141">
        <v>0.57499999999999996</v>
      </c>
      <c r="U592" s="141">
        <v>0.59</v>
      </c>
      <c r="V592" s="142">
        <v>0.63500000000000001</v>
      </c>
      <c r="W592" s="141">
        <v>0.55500000000000005</v>
      </c>
      <c r="X592" s="141">
        <v>0.47</v>
      </c>
      <c r="Y592" s="141">
        <v>0.60499999999999998</v>
      </c>
      <c r="Z592" s="141">
        <v>0.66</v>
      </c>
      <c r="AA592" s="141">
        <v>0.66</v>
      </c>
      <c r="AB592" s="143">
        <f>_xlfn.STDEV.P(D592:AA592)</f>
        <v>4.8696551897097054E-2</v>
      </c>
      <c r="AC592" s="143"/>
    </row>
    <row r="593" spans="1:29">
      <c r="A593" s="260"/>
      <c r="C593" t="s">
        <v>220</v>
      </c>
      <c r="D593" s="141">
        <v>1.0149999999999999</v>
      </c>
      <c r="E593" s="141">
        <v>0.995</v>
      </c>
      <c r="F593" s="141">
        <v>1</v>
      </c>
      <c r="G593" s="141">
        <v>1</v>
      </c>
      <c r="H593" s="141">
        <v>1.0249999999999999</v>
      </c>
      <c r="I593" s="141">
        <v>1.1299999999999999</v>
      </c>
      <c r="J593" s="142">
        <v>1.03</v>
      </c>
      <c r="K593" s="141">
        <v>1.03</v>
      </c>
      <c r="L593" s="141">
        <v>1.0549999999999999</v>
      </c>
      <c r="M593" s="141">
        <v>1.02</v>
      </c>
      <c r="N593" s="141">
        <v>1.02</v>
      </c>
      <c r="O593" s="141">
        <v>0.95499999999999996</v>
      </c>
      <c r="P593" s="142">
        <v>1.02</v>
      </c>
      <c r="Q593" s="141">
        <v>1.04</v>
      </c>
      <c r="R593" s="141">
        <v>1.0449999999999999</v>
      </c>
      <c r="S593" s="141">
        <v>1.03</v>
      </c>
      <c r="T593" s="141">
        <v>1.03</v>
      </c>
      <c r="U593" s="141">
        <v>1.0149999999999999</v>
      </c>
      <c r="V593" s="142">
        <v>1.0249999999999999</v>
      </c>
      <c r="W593" s="141">
        <v>1.0149999999999999</v>
      </c>
      <c r="X593" s="141">
        <v>1.02</v>
      </c>
      <c r="Y593" s="141">
        <v>1.04</v>
      </c>
      <c r="Z593" s="141">
        <v>0.97499999999999998</v>
      </c>
      <c r="AA593" s="141">
        <v>0.97499999999999998</v>
      </c>
      <c r="AB593" s="143">
        <f>_xlfn.STDEV.P(D593:AA593)</f>
        <v>3.2241897130217925E-2</v>
      </c>
      <c r="AC593" s="143"/>
    </row>
    <row r="594" spans="1:29">
      <c r="A594" s="260"/>
      <c r="C594" t="s">
        <v>221</v>
      </c>
      <c r="D594" s="144">
        <v>0.43</v>
      </c>
      <c r="E594" s="144">
        <v>0.44500000000000001</v>
      </c>
      <c r="F594" s="144">
        <v>0.40500000000000003</v>
      </c>
      <c r="G594" s="144">
        <v>0.40500000000000003</v>
      </c>
      <c r="H594" s="144">
        <v>0.45</v>
      </c>
      <c r="I594" s="141">
        <v>0.33500000000000002</v>
      </c>
      <c r="J594" s="145">
        <v>0.43</v>
      </c>
      <c r="K594" s="144">
        <v>0.43</v>
      </c>
      <c r="L594" s="144">
        <v>0.46500000000000002</v>
      </c>
      <c r="M594" s="144">
        <v>0.38500000000000001</v>
      </c>
      <c r="N594" s="144">
        <v>0.38500000000000001</v>
      </c>
      <c r="O594" s="141">
        <v>0.44</v>
      </c>
      <c r="P594" s="145">
        <v>0.4</v>
      </c>
      <c r="Q594" s="144">
        <v>0.42</v>
      </c>
      <c r="R594" s="144">
        <v>0.39</v>
      </c>
      <c r="S594" s="144">
        <v>0.41</v>
      </c>
      <c r="T594" s="144">
        <v>0.41</v>
      </c>
      <c r="U594" s="141">
        <v>0.41</v>
      </c>
      <c r="V594" s="145">
        <v>0.41</v>
      </c>
      <c r="W594" s="144">
        <v>0.41499999999999998</v>
      </c>
      <c r="X594" s="144">
        <v>0.39</v>
      </c>
      <c r="Y594" s="144">
        <v>0.43</v>
      </c>
      <c r="Z594" s="144">
        <v>0.39</v>
      </c>
      <c r="AA594" s="144">
        <v>0.39</v>
      </c>
      <c r="AB594" s="143">
        <f>_xlfn.STDEV.P(D594:AA594)</f>
        <v>2.6663411259626926E-2</v>
      </c>
      <c r="AC594" s="146"/>
    </row>
    <row r="595" spans="1:29">
      <c r="A595" s="260"/>
      <c r="B595" s="147" t="s">
        <v>1900</v>
      </c>
      <c r="D595" s="148" t="s">
        <v>1795</v>
      </c>
      <c r="E595" s="148" t="s">
        <v>1796</v>
      </c>
      <c r="F595" s="148" t="s">
        <v>1796</v>
      </c>
      <c r="G595" s="148" t="s">
        <v>1795</v>
      </c>
      <c r="H595" s="148" t="s">
        <v>1803</v>
      </c>
      <c r="I595" s="149" t="s">
        <v>1795</v>
      </c>
      <c r="J595" s="150" t="s">
        <v>1796</v>
      </c>
      <c r="K595" s="148" t="s">
        <v>1795</v>
      </c>
      <c r="L595" s="148" t="s">
        <v>1795</v>
      </c>
      <c r="M595" s="148" t="s">
        <v>1795</v>
      </c>
      <c r="N595" s="148" t="s">
        <v>1803</v>
      </c>
      <c r="O595" s="149" t="s">
        <v>1796</v>
      </c>
      <c r="P595" s="150" t="s">
        <v>1795</v>
      </c>
      <c r="Q595" s="148" t="s">
        <v>1796</v>
      </c>
      <c r="R595" s="148" t="s">
        <v>1803</v>
      </c>
      <c r="S595" s="148" t="s">
        <v>1796</v>
      </c>
      <c r="T595" s="148" t="s">
        <v>1803</v>
      </c>
      <c r="U595" s="149" t="s">
        <v>1795</v>
      </c>
      <c r="V595" s="150" t="s">
        <v>1794</v>
      </c>
      <c r="W595" s="148" t="s">
        <v>1803</v>
      </c>
      <c r="X595" s="148" t="s">
        <v>1796</v>
      </c>
      <c r="Y595" s="148" t="s">
        <v>1795</v>
      </c>
      <c r="Z595" s="148" t="s">
        <v>1794</v>
      </c>
      <c r="AA595" s="148" t="s">
        <v>1794</v>
      </c>
      <c r="AB595" s="143"/>
      <c r="AC595" s="151" t="s">
        <v>1957</v>
      </c>
    </row>
    <row r="596" spans="1:29">
      <c r="A596" s="260"/>
      <c r="B596" t="s">
        <v>1835</v>
      </c>
      <c r="C596" t="s">
        <v>40</v>
      </c>
      <c r="D596" s="141">
        <v>0.56999999999999995</v>
      </c>
      <c r="E596" s="141">
        <v>0.57999999999999996</v>
      </c>
      <c r="F596" s="141">
        <v>0.60499999999999998</v>
      </c>
      <c r="G596" s="141">
        <v>0.59</v>
      </c>
      <c r="H596" s="141">
        <v>0.66</v>
      </c>
      <c r="I596" s="141">
        <v>0.58499999999999996</v>
      </c>
      <c r="J596" s="142">
        <v>0.69499999999999995</v>
      </c>
      <c r="K596" s="141">
        <v>0.44500000000000001</v>
      </c>
      <c r="L596" s="141">
        <v>0.51</v>
      </c>
      <c r="M596" s="141">
        <v>0.6</v>
      </c>
      <c r="N596" s="141">
        <v>0.63</v>
      </c>
      <c r="O596" s="141">
        <v>0.64500000000000002</v>
      </c>
      <c r="P596" s="142">
        <v>0.6</v>
      </c>
      <c r="Q596" s="141">
        <v>0.57499999999999996</v>
      </c>
      <c r="R596" s="141">
        <v>0.54500000000000004</v>
      </c>
      <c r="S596" s="141">
        <v>0.61</v>
      </c>
      <c r="T596" s="141">
        <v>0.6</v>
      </c>
      <c r="U596" s="141">
        <v>0.61</v>
      </c>
      <c r="V596" s="142">
        <v>0.61</v>
      </c>
      <c r="W596" s="141">
        <v>0.52500000000000002</v>
      </c>
      <c r="X596" s="141">
        <v>0.57999999999999996</v>
      </c>
      <c r="Y596" s="141">
        <v>0.56999999999999995</v>
      </c>
      <c r="Z596" s="141">
        <v>0.53</v>
      </c>
      <c r="AA596" s="141">
        <v>0.59</v>
      </c>
      <c r="AB596" s="143">
        <f>_xlfn.STDEV.P(D596:AA596)</f>
        <v>5.015946792204061E-2</v>
      </c>
      <c r="AC596" s="143"/>
    </row>
    <row r="597" spans="1:29">
      <c r="A597" s="260"/>
      <c r="C597" t="s">
        <v>220</v>
      </c>
      <c r="D597" s="141">
        <v>1.01</v>
      </c>
      <c r="E597" s="141">
        <v>1.0049999999999999</v>
      </c>
      <c r="F597" s="141">
        <v>1.01</v>
      </c>
      <c r="G597" s="141">
        <v>1.0149999999999999</v>
      </c>
      <c r="H597" s="141">
        <v>1.0449999999999999</v>
      </c>
      <c r="I597" s="141">
        <v>1.0249999999999999</v>
      </c>
      <c r="J597" s="142">
        <v>0.94</v>
      </c>
      <c r="K597" s="141">
        <v>1.0900000000000001</v>
      </c>
      <c r="L597" s="141">
        <v>1.03</v>
      </c>
      <c r="M597" s="141">
        <v>1.02</v>
      </c>
      <c r="N597" s="141">
        <v>0.995</v>
      </c>
      <c r="O597" s="141">
        <v>0.98</v>
      </c>
      <c r="P597" s="142">
        <v>1.0049999999999999</v>
      </c>
      <c r="Q597" s="141">
        <v>0.93500000000000005</v>
      </c>
      <c r="R597" s="141">
        <v>1.0549999999999999</v>
      </c>
      <c r="S597" s="141">
        <v>0.97</v>
      </c>
      <c r="T597" s="141">
        <v>1.01</v>
      </c>
      <c r="U597" s="141">
        <v>0.98</v>
      </c>
      <c r="V597" s="142">
        <v>0.99</v>
      </c>
      <c r="W597" s="141">
        <v>0.96499999999999997</v>
      </c>
      <c r="X597" s="141">
        <v>1.04</v>
      </c>
      <c r="Y597" s="141">
        <v>0.95499999999999996</v>
      </c>
      <c r="Z597" s="141">
        <v>1.0649999999999999</v>
      </c>
      <c r="AA597" s="141">
        <v>1</v>
      </c>
      <c r="AB597" s="143">
        <f>_xlfn.STDEV.P(D597:AA597)</f>
        <v>3.7425272766763731E-2</v>
      </c>
      <c r="AC597" s="143"/>
    </row>
    <row r="598" spans="1:29">
      <c r="A598" s="260"/>
      <c r="C598" t="s">
        <v>221</v>
      </c>
      <c r="D598" s="144">
        <v>0.42</v>
      </c>
      <c r="E598" s="144">
        <v>0.43</v>
      </c>
      <c r="F598" s="144">
        <v>0.44</v>
      </c>
      <c r="G598" s="144">
        <v>0.40500000000000003</v>
      </c>
      <c r="H598" s="144">
        <v>0.36499999999999999</v>
      </c>
      <c r="I598" s="141">
        <v>0.39500000000000002</v>
      </c>
      <c r="J598" s="145">
        <v>0.46</v>
      </c>
      <c r="K598" s="144">
        <v>0.44500000000000001</v>
      </c>
      <c r="L598" s="144">
        <v>0.43</v>
      </c>
      <c r="M598" s="144">
        <v>0.435</v>
      </c>
      <c r="N598" s="144">
        <v>0.375</v>
      </c>
      <c r="O598" s="141">
        <v>0.44</v>
      </c>
      <c r="P598" s="145">
        <v>0.37</v>
      </c>
      <c r="Q598" s="144">
        <v>0.37</v>
      </c>
      <c r="R598" s="144">
        <v>0.435</v>
      </c>
      <c r="S598" s="144">
        <v>0.42499999999999999</v>
      </c>
      <c r="T598" s="144">
        <v>0.40500000000000003</v>
      </c>
      <c r="U598" s="141">
        <v>0.36</v>
      </c>
      <c r="V598" s="145">
        <v>0.38500000000000001</v>
      </c>
      <c r="W598" s="144">
        <v>0.435</v>
      </c>
      <c r="X598" s="144">
        <v>0.39</v>
      </c>
      <c r="Y598" s="144">
        <v>0.38</v>
      </c>
      <c r="Z598" s="144">
        <v>0.41499999999999998</v>
      </c>
      <c r="AA598" s="144">
        <v>0.41</v>
      </c>
      <c r="AB598" s="143">
        <f>_xlfn.STDEV.P(D598:AA598)</f>
        <v>2.8638067129065973E-2</v>
      </c>
      <c r="AC598" s="146"/>
    </row>
    <row r="599" spans="1:29">
      <c r="A599" s="260"/>
      <c r="B599" s="147" t="s">
        <v>1836</v>
      </c>
      <c r="D599" s="148" t="s">
        <v>1794</v>
      </c>
      <c r="E599" s="148" t="s">
        <v>1796</v>
      </c>
      <c r="F599" s="148" t="s">
        <v>1796</v>
      </c>
      <c r="G599" s="148" t="s">
        <v>1795</v>
      </c>
      <c r="H599" s="148" t="s">
        <v>1794</v>
      </c>
      <c r="I599" s="149" t="s">
        <v>1795</v>
      </c>
      <c r="J599" s="150" t="s">
        <v>1796</v>
      </c>
      <c r="K599" s="148" t="s">
        <v>1795</v>
      </c>
      <c r="L599" s="148" t="s">
        <v>1803</v>
      </c>
      <c r="M599" s="148" t="s">
        <v>1795</v>
      </c>
      <c r="N599" s="148" t="s">
        <v>1795</v>
      </c>
      <c r="O599" s="149" t="s">
        <v>1796</v>
      </c>
      <c r="P599" s="150" t="s">
        <v>1795</v>
      </c>
      <c r="Q599" s="148" t="s">
        <v>1796</v>
      </c>
      <c r="R599" s="148" t="s">
        <v>1796</v>
      </c>
      <c r="S599" s="148" t="s">
        <v>1796</v>
      </c>
      <c r="T599" s="148" t="s">
        <v>1803</v>
      </c>
      <c r="U599" s="149" t="s">
        <v>1795</v>
      </c>
      <c r="V599" s="150" t="s">
        <v>1794</v>
      </c>
      <c r="W599" s="148" t="s">
        <v>1803</v>
      </c>
      <c r="X599" s="148" t="s">
        <v>1796</v>
      </c>
      <c r="Y599" s="148" t="s">
        <v>1795</v>
      </c>
      <c r="Z599" s="148" t="s">
        <v>1794</v>
      </c>
      <c r="AA599" s="148" t="s">
        <v>1794</v>
      </c>
      <c r="AB599" s="143"/>
      <c r="AC599" s="151" t="s">
        <v>1958</v>
      </c>
    </row>
    <row r="600" spans="1:29">
      <c r="A600" s="260"/>
      <c r="B600" t="s">
        <v>1902</v>
      </c>
      <c r="C600" t="s">
        <v>40</v>
      </c>
      <c r="D600" s="141">
        <v>0.57999999999999996</v>
      </c>
      <c r="E600" s="141">
        <v>0.59</v>
      </c>
      <c r="F600" s="141">
        <v>0.44</v>
      </c>
      <c r="G600" s="141">
        <v>0.61</v>
      </c>
      <c r="H600" s="141">
        <v>0.64</v>
      </c>
      <c r="I600" s="141">
        <v>0.57999999999999996</v>
      </c>
      <c r="J600" s="142">
        <v>0.58499999999999996</v>
      </c>
      <c r="K600" s="141">
        <v>0.53</v>
      </c>
      <c r="L600" s="141">
        <v>0.64500000000000002</v>
      </c>
      <c r="M600" s="141">
        <v>0.52500000000000002</v>
      </c>
      <c r="N600" s="141">
        <v>0.65</v>
      </c>
      <c r="O600" s="141">
        <v>0.57999999999999996</v>
      </c>
      <c r="P600" s="142">
        <v>0.63</v>
      </c>
      <c r="Q600" s="141">
        <v>0.61</v>
      </c>
      <c r="R600" s="141">
        <v>0.625</v>
      </c>
      <c r="S600" s="141">
        <v>0.71499999999999997</v>
      </c>
      <c r="T600" s="141">
        <v>0.59</v>
      </c>
      <c r="U600" s="141">
        <v>0.58499999999999996</v>
      </c>
      <c r="V600" s="142">
        <v>0.58499999999999996</v>
      </c>
      <c r="W600" s="141">
        <v>0.53500000000000003</v>
      </c>
      <c r="X600" s="141">
        <v>0.64500000000000002</v>
      </c>
      <c r="Y600" s="141">
        <v>0.62</v>
      </c>
      <c r="Z600" s="141">
        <v>0.67</v>
      </c>
      <c r="AA600" s="141">
        <v>0.625</v>
      </c>
      <c r="AB600" s="143">
        <f>_xlfn.STDEV.P(D600:AA600)</f>
        <v>5.4561064159547153E-2</v>
      </c>
      <c r="AC600" s="143"/>
    </row>
    <row r="601" spans="1:29">
      <c r="A601" s="260"/>
      <c r="C601" t="s">
        <v>220</v>
      </c>
      <c r="D601" s="141">
        <v>1.0149999999999999</v>
      </c>
      <c r="E601" s="141">
        <v>1.0049999999999999</v>
      </c>
      <c r="F601" s="141">
        <v>1.02</v>
      </c>
      <c r="G601" s="141">
        <v>1.01</v>
      </c>
      <c r="H601" s="141">
        <v>1.03</v>
      </c>
      <c r="I601" s="141">
        <v>1.02</v>
      </c>
      <c r="J601" s="142">
        <v>0.98499999999999999</v>
      </c>
      <c r="K601" s="141">
        <v>1.0249999999999999</v>
      </c>
      <c r="L601" s="141">
        <v>0.97499999999999998</v>
      </c>
      <c r="M601" s="141">
        <v>1.07</v>
      </c>
      <c r="N601" s="141">
        <v>0.95499999999999996</v>
      </c>
      <c r="O601" s="141">
        <v>1.02</v>
      </c>
      <c r="P601" s="142">
        <v>1.01</v>
      </c>
      <c r="Q601" s="141">
        <v>0.98499999999999999</v>
      </c>
      <c r="R601" s="141">
        <v>0.93500000000000005</v>
      </c>
      <c r="S601" s="141">
        <v>0.96</v>
      </c>
      <c r="T601" s="141">
        <v>0.995</v>
      </c>
      <c r="U601" s="141">
        <v>1.02</v>
      </c>
      <c r="V601" s="142">
        <v>1.0649999999999999</v>
      </c>
      <c r="W601" s="141">
        <v>1.0349999999999999</v>
      </c>
      <c r="X601" s="141">
        <v>1.0249999999999999</v>
      </c>
      <c r="Y601" s="141">
        <v>0.96</v>
      </c>
      <c r="Z601" s="141">
        <v>0.99</v>
      </c>
      <c r="AA601" s="141">
        <v>0.99</v>
      </c>
      <c r="AB601" s="143">
        <f>_xlfn.STDEV.P(D601:AA601)</f>
        <v>3.2199465143936096E-2</v>
      </c>
      <c r="AC601" s="143"/>
    </row>
    <row r="602" spans="1:29">
      <c r="A602" s="260"/>
      <c r="C602" t="s">
        <v>221</v>
      </c>
      <c r="D602" s="144">
        <v>0.42</v>
      </c>
      <c r="E602" s="144">
        <v>0.39</v>
      </c>
      <c r="F602" s="144">
        <v>0.44</v>
      </c>
      <c r="G602" s="144">
        <v>0.42</v>
      </c>
      <c r="H602" s="144">
        <v>0.39500000000000002</v>
      </c>
      <c r="I602" s="141">
        <v>0.39</v>
      </c>
      <c r="J602" s="145">
        <v>0.40500000000000003</v>
      </c>
      <c r="K602" s="144">
        <v>0.40500000000000003</v>
      </c>
      <c r="L602" s="144">
        <v>0.41</v>
      </c>
      <c r="M602" s="144">
        <v>0.46500000000000002</v>
      </c>
      <c r="N602" s="144">
        <v>0.435</v>
      </c>
      <c r="O602" s="141">
        <v>0.41499999999999998</v>
      </c>
      <c r="P602" s="145">
        <v>0.435</v>
      </c>
      <c r="Q602" s="144">
        <v>0.36499999999999999</v>
      </c>
      <c r="R602" s="144">
        <v>0.35499999999999998</v>
      </c>
      <c r="S602" s="144">
        <v>0.42499999999999999</v>
      </c>
      <c r="T602" s="144">
        <v>0.39500000000000002</v>
      </c>
      <c r="U602" s="141">
        <v>0.42</v>
      </c>
      <c r="V602" s="145">
        <v>0.41</v>
      </c>
      <c r="W602" s="144">
        <v>0.38</v>
      </c>
      <c r="X602" s="144">
        <v>0.39</v>
      </c>
      <c r="Y602" s="144">
        <v>0.36</v>
      </c>
      <c r="Z602" s="144">
        <v>0.42</v>
      </c>
      <c r="AA602" s="144">
        <v>0.41</v>
      </c>
      <c r="AB602" s="143">
        <f>_xlfn.STDEV.P(D602:AA602)</f>
        <v>2.5555461201516635E-2</v>
      </c>
      <c r="AC602" s="146"/>
    </row>
    <row r="603" spans="1:29">
      <c r="A603" s="260"/>
      <c r="B603" s="147" t="s">
        <v>1903</v>
      </c>
      <c r="D603" s="148" t="s">
        <v>1795</v>
      </c>
      <c r="E603" s="148" t="s">
        <v>1796</v>
      </c>
      <c r="F603" s="148" t="s">
        <v>1796</v>
      </c>
      <c r="G603" s="148" t="s">
        <v>1795</v>
      </c>
      <c r="H603" s="148" t="s">
        <v>1795</v>
      </c>
      <c r="I603" s="149" t="s">
        <v>1795</v>
      </c>
      <c r="J603" s="150" t="s">
        <v>1795</v>
      </c>
      <c r="K603" s="148" t="s">
        <v>1803</v>
      </c>
      <c r="L603" s="148" t="s">
        <v>1796</v>
      </c>
      <c r="M603" s="148" t="s">
        <v>1795</v>
      </c>
      <c r="N603" s="148" t="s">
        <v>1794</v>
      </c>
      <c r="O603" s="149" t="s">
        <v>1794</v>
      </c>
      <c r="P603" s="150" t="s">
        <v>1795</v>
      </c>
      <c r="Q603" s="148" t="s">
        <v>1796</v>
      </c>
      <c r="R603" s="148" t="s">
        <v>1796</v>
      </c>
      <c r="S603" s="148" t="s">
        <v>1796</v>
      </c>
      <c r="T603" s="148" t="s">
        <v>1795</v>
      </c>
      <c r="U603" s="149" t="s">
        <v>1795</v>
      </c>
      <c r="V603" s="150" t="s">
        <v>1794</v>
      </c>
      <c r="W603" s="148" t="s">
        <v>1803</v>
      </c>
      <c r="X603" s="148" t="s">
        <v>1796</v>
      </c>
      <c r="Y603" s="148" t="s">
        <v>1803</v>
      </c>
      <c r="Z603" s="148" t="s">
        <v>1794</v>
      </c>
      <c r="AA603" s="148" t="s">
        <v>1794</v>
      </c>
      <c r="AB603" s="143"/>
      <c r="AC603" s="151" t="s">
        <v>1959</v>
      </c>
    </row>
    <row r="604" spans="1:29">
      <c r="A604" s="260"/>
      <c r="B604" t="s">
        <v>1837</v>
      </c>
      <c r="C604" t="s">
        <v>40</v>
      </c>
      <c r="D604" s="141">
        <v>0.58499999999999996</v>
      </c>
      <c r="E604" s="141">
        <v>0.57999999999999996</v>
      </c>
      <c r="F604" s="141">
        <v>0.48499999999999999</v>
      </c>
      <c r="G604" s="141">
        <v>0.61</v>
      </c>
      <c r="H604" s="141">
        <v>0.55000000000000004</v>
      </c>
      <c r="I604" s="141">
        <v>0.64500000000000002</v>
      </c>
      <c r="J604" s="142">
        <v>0.54</v>
      </c>
      <c r="K604" s="141">
        <v>0.61499999999999999</v>
      </c>
      <c r="L604" s="141">
        <v>0.66</v>
      </c>
      <c r="M604" s="141">
        <v>0.56999999999999995</v>
      </c>
      <c r="N604" s="141">
        <v>0.56499999999999995</v>
      </c>
      <c r="O604" s="141">
        <v>0.625</v>
      </c>
      <c r="P604" s="142">
        <v>0.59</v>
      </c>
      <c r="Q604" s="141">
        <v>0.59</v>
      </c>
      <c r="R604" s="141">
        <v>0.58499999999999996</v>
      </c>
      <c r="S604" s="141">
        <v>0.61499999999999999</v>
      </c>
      <c r="T604" s="141">
        <v>0.59499999999999997</v>
      </c>
      <c r="U604" s="141">
        <v>0.58499999999999996</v>
      </c>
      <c r="V604" s="142">
        <v>0.57999999999999996</v>
      </c>
      <c r="W604" s="141">
        <v>0.56999999999999995</v>
      </c>
      <c r="X604" s="141">
        <v>0.54500000000000004</v>
      </c>
      <c r="Y604" s="141">
        <v>0.57499999999999996</v>
      </c>
      <c r="Z604" s="141">
        <v>0.51500000000000001</v>
      </c>
      <c r="AA604" s="141">
        <v>0.61</v>
      </c>
      <c r="AB604" s="143">
        <f>_xlfn.STDEV.P(D604:AA604)</f>
        <v>3.7996139241010037E-2</v>
      </c>
      <c r="AC604" s="143"/>
    </row>
    <row r="605" spans="1:29">
      <c r="A605" s="260"/>
      <c r="C605" t="s">
        <v>220</v>
      </c>
      <c r="D605" s="141">
        <v>1.0149999999999999</v>
      </c>
      <c r="E605" s="141">
        <v>1.0249999999999999</v>
      </c>
      <c r="F605" s="141">
        <v>1.03</v>
      </c>
      <c r="G605" s="141">
        <v>1.02</v>
      </c>
      <c r="H605" s="141">
        <v>1.0449999999999999</v>
      </c>
      <c r="I605" s="141">
        <v>1.03</v>
      </c>
      <c r="J605" s="142">
        <v>1.0149999999999999</v>
      </c>
      <c r="K605" s="141">
        <v>1.0649999999999999</v>
      </c>
      <c r="L605" s="141">
        <v>0.92</v>
      </c>
      <c r="M605" s="141">
        <v>0.96</v>
      </c>
      <c r="N605" s="141">
        <v>0.98499999999999999</v>
      </c>
      <c r="O605" s="141">
        <v>0.99</v>
      </c>
      <c r="P605" s="142">
        <v>1.01</v>
      </c>
      <c r="Q605" s="141">
        <v>1.01</v>
      </c>
      <c r="R605" s="141">
        <v>0.92</v>
      </c>
      <c r="S605" s="141">
        <v>1.0149999999999999</v>
      </c>
      <c r="T605" s="141">
        <v>1.0049999999999999</v>
      </c>
      <c r="U605" s="141">
        <v>1.01</v>
      </c>
      <c r="V605" s="142">
        <v>0.96</v>
      </c>
      <c r="W605" s="141">
        <v>1.04</v>
      </c>
      <c r="X605" s="141">
        <v>1.0349999999999999</v>
      </c>
      <c r="Y605" s="141">
        <v>0.96499999999999997</v>
      </c>
      <c r="Z605" s="141">
        <v>1.0449999999999999</v>
      </c>
      <c r="AA605" s="141">
        <v>1.02</v>
      </c>
      <c r="AB605" s="143">
        <f>_xlfn.STDEV.P(D605:AA605)</f>
        <v>3.658074687136207E-2</v>
      </c>
      <c r="AC605" s="143"/>
    </row>
    <row r="606" spans="1:29">
      <c r="A606" s="260"/>
      <c r="C606" t="s">
        <v>221</v>
      </c>
      <c r="D606" s="144">
        <v>0.4</v>
      </c>
      <c r="E606" s="144">
        <v>0.40500000000000003</v>
      </c>
      <c r="F606" s="144">
        <v>0.39500000000000002</v>
      </c>
      <c r="G606" s="144">
        <v>0.42</v>
      </c>
      <c r="H606" s="144">
        <v>0.42</v>
      </c>
      <c r="I606" s="141">
        <v>0.41</v>
      </c>
      <c r="J606" s="145">
        <v>0.4</v>
      </c>
      <c r="K606" s="144">
        <v>0.38500000000000001</v>
      </c>
      <c r="L606" s="144">
        <v>0.36</v>
      </c>
      <c r="M606" s="144">
        <v>0.35499999999999998</v>
      </c>
      <c r="N606" s="144">
        <v>0.41</v>
      </c>
      <c r="O606" s="141">
        <v>0.42499999999999999</v>
      </c>
      <c r="P606" s="145">
        <v>0.39</v>
      </c>
      <c r="Q606" s="144">
        <v>0.42</v>
      </c>
      <c r="R606" s="144">
        <v>0.36</v>
      </c>
      <c r="S606" s="144">
        <v>0.44</v>
      </c>
      <c r="T606" s="144">
        <v>0.42499999999999999</v>
      </c>
      <c r="U606" s="141">
        <v>0.39</v>
      </c>
      <c r="V606" s="145">
        <v>0.37</v>
      </c>
      <c r="W606" s="144">
        <v>0.39500000000000002</v>
      </c>
      <c r="X606" s="144">
        <v>0.36</v>
      </c>
      <c r="Y606" s="144">
        <v>0.38500000000000001</v>
      </c>
      <c r="Z606" s="144">
        <v>0.41499999999999998</v>
      </c>
      <c r="AA606" s="144">
        <v>0.39</v>
      </c>
      <c r="AB606" s="143">
        <f>_xlfn.STDEV.P(D606:AA606)</f>
        <v>2.3085551939109737E-2</v>
      </c>
      <c r="AC606" s="146"/>
    </row>
    <row r="607" spans="1:29">
      <c r="A607" s="260"/>
      <c r="B607" s="147" t="s">
        <v>1838</v>
      </c>
      <c r="D607" s="148" t="s">
        <v>1795</v>
      </c>
      <c r="E607" s="148" t="s">
        <v>1796</v>
      </c>
      <c r="F607" s="148" t="s">
        <v>1796</v>
      </c>
      <c r="G607" s="148" t="s">
        <v>1795</v>
      </c>
      <c r="H607" s="148" t="s">
        <v>1794</v>
      </c>
      <c r="I607" s="149" t="s">
        <v>1795</v>
      </c>
      <c r="J607" s="150" t="s">
        <v>1796</v>
      </c>
      <c r="K607" s="148" t="s">
        <v>1795</v>
      </c>
      <c r="L607" s="148" t="s">
        <v>1796</v>
      </c>
      <c r="M607" s="148" t="s">
        <v>1795</v>
      </c>
      <c r="N607" s="148" t="s">
        <v>1794</v>
      </c>
      <c r="O607" s="149" t="s">
        <v>1794</v>
      </c>
      <c r="P607" s="150" t="s">
        <v>1795</v>
      </c>
      <c r="Q607" s="148" t="s">
        <v>1796</v>
      </c>
      <c r="R607" s="148" t="s">
        <v>1803</v>
      </c>
      <c r="S607" s="148" t="s">
        <v>1796</v>
      </c>
      <c r="T607" s="148" t="s">
        <v>1794</v>
      </c>
      <c r="U607" s="149" t="s">
        <v>1803</v>
      </c>
      <c r="V607" s="150" t="s">
        <v>1794</v>
      </c>
      <c r="W607" s="148" t="s">
        <v>1803</v>
      </c>
      <c r="X607" s="148" t="s">
        <v>1796</v>
      </c>
      <c r="Y607" s="148" t="s">
        <v>1795</v>
      </c>
      <c r="Z607" s="148" t="s">
        <v>1794</v>
      </c>
      <c r="AA607" s="148" t="s">
        <v>1794</v>
      </c>
      <c r="AB607" s="143"/>
      <c r="AC607" s="151" t="s">
        <v>1960</v>
      </c>
    </row>
    <row r="608" spans="1:29">
      <c r="A608" s="260"/>
      <c r="B608" t="s">
        <v>1839</v>
      </c>
      <c r="C608" t="s">
        <v>40</v>
      </c>
      <c r="D608" s="141">
        <v>0.55500000000000005</v>
      </c>
      <c r="E608" s="141">
        <v>0.57499999999999996</v>
      </c>
      <c r="F608" s="141">
        <v>0.625</v>
      </c>
      <c r="G608" s="141">
        <v>0.57999999999999996</v>
      </c>
      <c r="H608" s="141">
        <v>0.48</v>
      </c>
      <c r="I608" s="141">
        <v>0.58499999999999996</v>
      </c>
      <c r="J608" s="142">
        <v>0.53500000000000003</v>
      </c>
      <c r="K608" s="141">
        <v>0.505</v>
      </c>
      <c r="L608" s="141">
        <v>0.6</v>
      </c>
      <c r="M608" s="141">
        <v>0.54500000000000004</v>
      </c>
      <c r="N608" s="141">
        <v>0.63500000000000001</v>
      </c>
      <c r="O608" s="141">
        <v>0.6</v>
      </c>
      <c r="P608" s="142">
        <v>0.61499999999999999</v>
      </c>
      <c r="Q608" s="141">
        <v>0.625</v>
      </c>
      <c r="R608" s="141">
        <v>0.63500000000000001</v>
      </c>
      <c r="S608" s="141">
        <v>0.76</v>
      </c>
      <c r="T608" s="141">
        <v>0.59</v>
      </c>
      <c r="U608" s="141">
        <v>0.54</v>
      </c>
      <c r="V608" s="142">
        <v>0.60499999999999998</v>
      </c>
      <c r="W608" s="141">
        <v>0.59499999999999997</v>
      </c>
      <c r="X608" s="141">
        <v>0.51500000000000001</v>
      </c>
      <c r="Y608" s="141">
        <v>0.63</v>
      </c>
      <c r="Z608" s="141">
        <v>0.55500000000000005</v>
      </c>
      <c r="AA608" s="141">
        <v>0.51</v>
      </c>
      <c r="AB608" s="143">
        <f>_xlfn.STDEV.P(D608:AA608)</f>
        <v>5.7242403062182257E-2</v>
      </c>
      <c r="AC608" s="143"/>
    </row>
    <row r="609" spans="1:29">
      <c r="A609" s="260"/>
      <c r="C609" t="s">
        <v>220</v>
      </c>
      <c r="D609" s="141">
        <v>1.01</v>
      </c>
      <c r="E609" s="141">
        <v>1.0149999999999999</v>
      </c>
      <c r="F609" s="141">
        <v>1.0049999999999999</v>
      </c>
      <c r="G609" s="141">
        <v>1.02</v>
      </c>
      <c r="H609" s="141">
        <v>1.02</v>
      </c>
      <c r="I609" s="141">
        <v>1.0249999999999999</v>
      </c>
      <c r="J609" s="142">
        <v>1.0149999999999999</v>
      </c>
      <c r="K609" s="141">
        <v>1.0149999999999999</v>
      </c>
      <c r="L609" s="141">
        <v>0.93</v>
      </c>
      <c r="M609" s="141">
        <v>0.96</v>
      </c>
      <c r="N609" s="141">
        <v>0.97</v>
      </c>
      <c r="O609" s="141">
        <v>1.02</v>
      </c>
      <c r="P609" s="142">
        <v>1</v>
      </c>
      <c r="Q609" s="141">
        <v>0.93</v>
      </c>
      <c r="R609" s="141">
        <v>0.96499999999999997</v>
      </c>
      <c r="S609" s="141">
        <v>0.91500000000000004</v>
      </c>
      <c r="T609" s="141">
        <v>1</v>
      </c>
      <c r="U609" s="141">
        <v>1.01</v>
      </c>
      <c r="V609" s="142">
        <v>1.1000000000000001</v>
      </c>
      <c r="W609" s="141">
        <v>0.995</v>
      </c>
      <c r="X609" s="141">
        <v>1.02</v>
      </c>
      <c r="Y609" s="141">
        <v>1.02</v>
      </c>
      <c r="Z609" s="141">
        <v>1.02</v>
      </c>
      <c r="AA609" s="141">
        <v>1.0649999999999999</v>
      </c>
      <c r="AB609" s="143">
        <f>_xlfn.STDEV.P(D609:AA609)</f>
        <v>4.0228837604385233E-2</v>
      </c>
      <c r="AC609" s="143"/>
    </row>
    <row r="610" spans="1:29">
      <c r="A610" s="260"/>
      <c r="C610" t="s">
        <v>221</v>
      </c>
      <c r="D610" s="144">
        <v>0.41</v>
      </c>
      <c r="E610" s="144">
        <v>0.43</v>
      </c>
      <c r="F610" s="144">
        <v>0.45</v>
      </c>
      <c r="G610" s="144">
        <v>0.41499999999999998</v>
      </c>
      <c r="H610" s="144">
        <v>0.41</v>
      </c>
      <c r="I610" s="141">
        <v>0.35499999999999998</v>
      </c>
      <c r="J610" s="145">
        <v>0.40500000000000003</v>
      </c>
      <c r="K610" s="144">
        <v>0.43</v>
      </c>
      <c r="L610" s="144">
        <v>0.42</v>
      </c>
      <c r="M610" s="144">
        <v>0.4</v>
      </c>
      <c r="N610" s="144">
        <v>0.45</v>
      </c>
      <c r="O610" s="141">
        <v>0.4</v>
      </c>
      <c r="P610" s="145">
        <v>0.42</v>
      </c>
      <c r="Q610" s="144">
        <v>0.36</v>
      </c>
      <c r="R610" s="144">
        <v>0.36499999999999999</v>
      </c>
      <c r="S610" s="144">
        <v>0.43</v>
      </c>
      <c r="T610" s="144">
        <v>0.4</v>
      </c>
      <c r="U610" s="141">
        <v>0.34499999999999997</v>
      </c>
      <c r="V610" s="145">
        <v>0.48</v>
      </c>
      <c r="W610" s="144">
        <v>0.40500000000000003</v>
      </c>
      <c r="X610" s="144">
        <v>0.39500000000000002</v>
      </c>
      <c r="Y610" s="144">
        <v>0.41499999999999998</v>
      </c>
      <c r="Z610" s="144">
        <v>0.44</v>
      </c>
      <c r="AA610" s="144">
        <v>0.41499999999999998</v>
      </c>
      <c r="AB610" s="143">
        <f>_xlfn.STDEV.P(D610:AA610)</f>
        <v>3.083825974157571E-2</v>
      </c>
      <c r="AC610" s="146"/>
    </row>
    <row r="611" spans="1:29">
      <c r="A611" s="260"/>
      <c r="B611" s="147" t="s">
        <v>1840</v>
      </c>
      <c r="D611" s="148" t="s">
        <v>1795</v>
      </c>
      <c r="E611" s="148" t="s">
        <v>1796</v>
      </c>
      <c r="F611" s="148" t="s">
        <v>1796</v>
      </c>
      <c r="G611" s="148" t="s">
        <v>1795</v>
      </c>
      <c r="H611" s="148" t="s">
        <v>1795</v>
      </c>
      <c r="I611" s="149" t="s">
        <v>1795</v>
      </c>
      <c r="J611" s="150" t="s">
        <v>1795</v>
      </c>
      <c r="K611" s="148" t="s">
        <v>1795</v>
      </c>
      <c r="L611" s="148" t="s">
        <v>1796</v>
      </c>
      <c r="M611" s="148" t="s">
        <v>1795</v>
      </c>
      <c r="N611" s="148" t="s">
        <v>1795</v>
      </c>
      <c r="O611" s="149" t="s">
        <v>1796</v>
      </c>
      <c r="P611" s="150" t="s">
        <v>1795</v>
      </c>
      <c r="Q611" s="148" t="s">
        <v>1795</v>
      </c>
      <c r="R611" s="148" t="s">
        <v>1803</v>
      </c>
      <c r="S611" s="148" t="s">
        <v>1796</v>
      </c>
      <c r="T611" s="148" t="s">
        <v>1795</v>
      </c>
      <c r="U611" s="149" t="s">
        <v>1795</v>
      </c>
      <c r="V611" s="150" t="s">
        <v>1795</v>
      </c>
      <c r="W611" s="148" t="s">
        <v>1803</v>
      </c>
      <c r="X611" s="148" t="s">
        <v>1796</v>
      </c>
      <c r="Y611" s="148" t="s">
        <v>1794</v>
      </c>
      <c r="Z611" s="148" t="s">
        <v>1794</v>
      </c>
      <c r="AA611" s="148" t="s">
        <v>1794</v>
      </c>
      <c r="AB611" s="143"/>
      <c r="AC611" s="151" t="s">
        <v>1961</v>
      </c>
    </row>
    <row r="612" spans="1:29">
      <c r="A612" s="260"/>
      <c r="B612" t="s">
        <v>1842</v>
      </c>
      <c r="C612" t="s">
        <v>40</v>
      </c>
      <c r="D612" s="141">
        <v>0.57999999999999996</v>
      </c>
      <c r="E612" s="141">
        <v>0.57999999999999996</v>
      </c>
      <c r="F612" s="141">
        <v>0.52</v>
      </c>
      <c r="G612" s="141">
        <v>0.6</v>
      </c>
      <c r="H612" s="141">
        <v>0.69</v>
      </c>
      <c r="I612" s="141">
        <v>0.66</v>
      </c>
      <c r="J612" s="142">
        <v>0.55500000000000005</v>
      </c>
      <c r="K612" s="141">
        <v>0.6</v>
      </c>
      <c r="L612" s="141">
        <v>0.66</v>
      </c>
      <c r="M612" s="141">
        <v>0.54500000000000004</v>
      </c>
      <c r="N612" s="141">
        <v>0.57499999999999996</v>
      </c>
      <c r="O612" s="141">
        <v>0.63</v>
      </c>
      <c r="P612" s="142">
        <v>0.56999999999999995</v>
      </c>
      <c r="Q612" s="141">
        <v>0.62</v>
      </c>
      <c r="R612" s="141">
        <v>0.56999999999999995</v>
      </c>
      <c r="S612" s="141">
        <v>0.57999999999999996</v>
      </c>
      <c r="T612" s="141">
        <v>0.6</v>
      </c>
      <c r="U612" s="141">
        <v>0.56499999999999995</v>
      </c>
      <c r="V612" s="142">
        <v>0.61</v>
      </c>
      <c r="W612" s="141">
        <v>0.63</v>
      </c>
      <c r="X612" s="141">
        <v>0.66</v>
      </c>
      <c r="Y612" s="141">
        <v>0.6</v>
      </c>
      <c r="Z612" s="141">
        <v>0.61499999999999999</v>
      </c>
      <c r="AA612" s="141">
        <v>0.6</v>
      </c>
      <c r="AB612" s="143">
        <f>_xlfn.STDEV.P(D612:AA612)</f>
        <v>3.9641952209748706E-2</v>
      </c>
      <c r="AC612" s="143"/>
    </row>
    <row r="613" spans="1:29">
      <c r="A613" s="260"/>
      <c r="C613" t="s">
        <v>220</v>
      </c>
      <c r="D613" s="141">
        <v>1.0149999999999999</v>
      </c>
      <c r="E613" s="141">
        <v>1.0149999999999999</v>
      </c>
      <c r="F613" s="141">
        <v>1.02</v>
      </c>
      <c r="G613" s="141">
        <v>1.02</v>
      </c>
      <c r="H613" s="141">
        <v>0.92</v>
      </c>
      <c r="I613" s="141">
        <v>0.995</v>
      </c>
      <c r="J613" s="142">
        <v>1.0049999999999999</v>
      </c>
      <c r="K613" s="141">
        <v>1.03</v>
      </c>
      <c r="L613" s="141">
        <v>0.97499999999999998</v>
      </c>
      <c r="M613" s="141">
        <v>1.06</v>
      </c>
      <c r="N613" s="141">
        <v>0.99</v>
      </c>
      <c r="O613" s="141">
        <v>0.97</v>
      </c>
      <c r="P613" s="142">
        <v>1.03</v>
      </c>
      <c r="Q613" s="141">
        <v>0.96</v>
      </c>
      <c r="R613" s="141">
        <v>1.0049999999999999</v>
      </c>
      <c r="S613" s="141">
        <v>1.0049999999999999</v>
      </c>
      <c r="T613" s="141">
        <v>1.0049999999999999</v>
      </c>
      <c r="U613" s="141">
        <v>1.02</v>
      </c>
      <c r="V613" s="142">
        <v>0.94499999999999995</v>
      </c>
      <c r="W613" s="141">
        <v>1.03</v>
      </c>
      <c r="X613" s="141">
        <v>1.0149999999999999</v>
      </c>
      <c r="Y613" s="141">
        <v>1.02</v>
      </c>
      <c r="Z613" s="141">
        <v>1.01</v>
      </c>
      <c r="AA613" s="141">
        <v>1</v>
      </c>
      <c r="AB613" s="143">
        <f>_xlfn.STDEV.P(D613:AA613)</f>
        <v>2.9790938219532465E-2</v>
      </c>
      <c r="AC613" s="143"/>
    </row>
    <row r="614" spans="1:29">
      <c r="A614" s="260"/>
      <c r="C614" t="s">
        <v>221</v>
      </c>
      <c r="D614" s="144">
        <v>0.41</v>
      </c>
      <c r="E614" s="144">
        <v>0.43</v>
      </c>
      <c r="F614" s="144">
        <v>0.46</v>
      </c>
      <c r="G614" s="144">
        <v>0.41499999999999998</v>
      </c>
      <c r="H614" s="144">
        <v>0.48</v>
      </c>
      <c r="I614" s="141">
        <v>0.44</v>
      </c>
      <c r="J614" s="145">
        <v>0.41</v>
      </c>
      <c r="K614" s="144">
        <v>0.42</v>
      </c>
      <c r="L614" s="144">
        <v>0.375</v>
      </c>
      <c r="M614" s="144">
        <v>0.46</v>
      </c>
      <c r="N614" s="144">
        <v>0.4</v>
      </c>
      <c r="O614" s="141">
        <v>0.39</v>
      </c>
      <c r="P614" s="145">
        <v>0.42</v>
      </c>
      <c r="Q614" s="144">
        <v>0.31</v>
      </c>
      <c r="R614" s="144">
        <v>0.38</v>
      </c>
      <c r="S614" s="144">
        <v>0.4</v>
      </c>
      <c r="T614" s="144">
        <v>0.435</v>
      </c>
      <c r="U614" s="141">
        <v>0.33500000000000002</v>
      </c>
      <c r="V614" s="145">
        <v>0.34</v>
      </c>
      <c r="W614" s="144">
        <v>0.41</v>
      </c>
      <c r="X614" s="144">
        <v>0.4</v>
      </c>
      <c r="Y614" s="144">
        <v>0.43</v>
      </c>
      <c r="Z614" s="144">
        <v>0.375</v>
      </c>
      <c r="AA614" s="144">
        <v>0.41499999999999998</v>
      </c>
      <c r="AB614" s="143">
        <f>_xlfn.STDEV.P(D614:AA614)</f>
        <v>3.9069027232436805E-2</v>
      </c>
      <c r="AC614" s="146"/>
    </row>
    <row r="615" spans="1:29">
      <c r="A615" s="260"/>
      <c r="B615" s="147" t="s">
        <v>1843</v>
      </c>
      <c r="D615" s="148" t="s">
        <v>1795</v>
      </c>
      <c r="E615" s="148" t="s">
        <v>1796</v>
      </c>
      <c r="F615" s="148" t="s">
        <v>1796</v>
      </c>
      <c r="G615" s="148" t="s">
        <v>1795</v>
      </c>
      <c r="H615" s="148" t="s">
        <v>1794</v>
      </c>
      <c r="I615" s="149" t="s">
        <v>1795</v>
      </c>
      <c r="J615" s="150" t="s">
        <v>1803</v>
      </c>
      <c r="K615" s="148" t="s">
        <v>1795</v>
      </c>
      <c r="L615" s="148" t="s">
        <v>1803</v>
      </c>
      <c r="M615" s="148" t="s">
        <v>1795</v>
      </c>
      <c r="N615" s="148" t="s">
        <v>1794</v>
      </c>
      <c r="O615" s="149" t="s">
        <v>1796</v>
      </c>
      <c r="P615" s="150" t="s">
        <v>1795</v>
      </c>
      <c r="Q615" s="148" t="s">
        <v>1796</v>
      </c>
      <c r="R615" s="148" t="s">
        <v>1796</v>
      </c>
      <c r="S615" s="148" t="s">
        <v>1796</v>
      </c>
      <c r="T615" s="148" t="s">
        <v>1803</v>
      </c>
      <c r="U615" s="149" t="s">
        <v>1795</v>
      </c>
      <c r="V615" s="150" t="s">
        <v>1795</v>
      </c>
      <c r="W615" s="148" t="s">
        <v>1803</v>
      </c>
      <c r="X615" s="148" t="s">
        <v>1796</v>
      </c>
      <c r="Y615" s="148" t="s">
        <v>1794</v>
      </c>
      <c r="Z615" s="148" t="s">
        <v>1794</v>
      </c>
      <c r="AA615" s="148" t="s">
        <v>1794</v>
      </c>
      <c r="AB615" s="143"/>
      <c r="AC615" s="151" t="s">
        <v>1959</v>
      </c>
    </row>
    <row r="616" spans="1:29">
      <c r="A616" s="260"/>
      <c r="B616" t="s">
        <v>1845</v>
      </c>
      <c r="C616" t="s">
        <v>40</v>
      </c>
      <c r="D616" s="141">
        <v>0.56999999999999995</v>
      </c>
      <c r="E616" s="141">
        <v>0.57499999999999996</v>
      </c>
      <c r="F616" s="141">
        <v>0.58499999999999996</v>
      </c>
      <c r="G616" s="141">
        <v>0.59</v>
      </c>
      <c r="H616" s="141">
        <v>0.47</v>
      </c>
      <c r="I616" s="141">
        <v>0.47</v>
      </c>
      <c r="J616" s="142">
        <v>0.505</v>
      </c>
      <c r="K616" s="141">
        <v>0.63500000000000001</v>
      </c>
      <c r="L616" s="141">
        <v>0.46</v>
      </c>
      <c r="M616" s="141">
        <v>0.60499999999999998</v>
      </c>
      <c r="N616" s="141">
        <v>0.53</v>
      </c>
      <c r="O616" s="141">
        <v>0.53</v>
      </c>
      <c r="P616" s="142">
        <v>0.57999999999999996</v>
      </c>
      <c r="Q616" s="141">
        <v>0.61</v>
      </c>
      <c r="R616" s="141">
        <v>0.55000000000000004</v>
      </c>
      <c r="S616" s="141">
        <v>0.55500000000000005</v>
      </c>
      <c r="T616" s="141">
        <v>0.60499999999999998</v>
      </c>
      <c r="U616" s="141">
        <v>0.61499999999999999</v>
      </c>
      <c r="V616" s="142">
        <v>0.53</v>
      </c>
      <c r="W616" s="141">
        <v>0.51500000000000001</v>
      </c>
      <c r="X616" s="141">
        <v>0.5</v>
      </c>
      <c r="Y616" s="141">
        <v>0.56000000000000005</v>
      </c>
      <c r="Z616" s="141">
        <v>0.43</v>
      </c>
      <c r="AA616" s="141">
        <v>0.43</v>
      </c>
      <c r="AB616" s="143">
        <f>_xlfn.STDEV.P(D616:AA616)</f>
        <v>5.8109316880627961E-2</v>
      </c>
      <c r="AC616" s="143"/>
    </row>
    <row r="617" spans="1:29">
      <c r="A617" s="260"/>
      <c r="C617" t="s">
        <v>220</v>
      </c>
      <c r="D617" s="141">
        <v>1.01</v>
      </c>
      <c r="E617" s="141">
        <v>1.0149999999999999</v>
      </c>
      <c r="F617" s="141">
        <v>1.115</v>
      </c>
      <c r="G617" s="141">
        <v>1.01</v>
      </c>
      <c r="H617" s="141">
        <v>1.0549999999999999</v>
      </c>
      <c r="I617" s="141">
        <v>1.0549999999999999</v>
      </c>
      <c r="J617" s="142">
        <v>0.97499999999999998</v>
      </c>
      <c r="K617" s="141">
        <v>1.02</v>
      </c>
      <c r="L617" s="141">
        <v>1.04</v>
      </c>
      <c r="M617" s="141">
        <v>1.04</v>
      </c>
      <c r="N617" s="141">
        <v>1.105</v>
      </c>
      <c r="O617" s="141">
        <v>1.105</v>
      </c>
      <c r="P617" s="142">
        <v>1.0149999999999999</v>
      </c>
      <c r="Q617" s="141">
        <v>1.0249999999999999</v>
      </c>
      <c r="R617" s="141">
        <v>0.98499999999999999</v>
      </c>
      <c r="S617" s="141">
        <v>1.0249999999999999</v>
      </c>
      <c r="T617" s="141">
        <v>0.995</v>
      </c>
      <c r="U617" s="141">
        <v>0.99</v>
      </c>
      <c r="V617" s="142">
        <v>1.0049999999999999</v>
      </c>
      <c r="W617" s="141">
        <v>0.98499999999999999</v>
      </c>
      <c r="X617" s="141">
        <v>0.98499999999999999</v>
      </c>
      <c r="Y617" s="141">
        <v>0.97</v>
      </c>
      <c r="Z617" s="141">
        <v>1.0249999999999999</v>
      </c>
      <c r="AA617" s="141">
        <v>1.0249999999999999</v>
      </c>
      <c r="AB617" s="143">
        <f>_xlfn.STDEV.P(D617:AA617)</f>
        <v>3.9077358285272507E-2</v>
      </c>
      <c r="AC617" s="143"/>
    </row>
    <row r="618" spans="1:29">
      <c r="A618" s="260"/>
      <c r="C618" t="s">
        <v>221</v>
      </c>
      <c r="D618" s="144">
        <v>0.41</v>
      </c>
      <c r="E618" s="144">
        <v>0.42</v>
      </c>
      <c r="F618" s="144">
        <v>0.34</v>
      </c>
      <c r="G618" s="144">
        <v>0.42</v>
      </c>
      <c r="H618" s="144">
        <v>0.35</v>
      </c>
      <c r="I618" s="141">
        <v>0.35</v>
      </c>
      <c r="J618" s="145">
        <v>0.44</v>
      </c>
      <c r="K618" s="144">
        <v>0.4</v>
      </c>
      <c r="L618" s="144">
        <v>0.4</v>
      </c>
      <c r="M618" s="144">
        <v>0.38500000000000001</v>
      </c>
      <c r="N618" s="144">
        <v>0.35</v>
      </c>
      <c r="O618" s="141">
        <v>0.35</v>
      </c>
      <c r="P618" s="145">
        <v>0.4</v>
      </c>
      <c r="Q618" s="144">
        <v>0.42</v>
      </c>
      <c r="R618" s="144">
        <v>0.39</v>
      </c>
      <c r="S618" s="144">
        <v>0.39500000000000002</v>
      </c>
      <c r="T618" s="144">
        <v>0.435</v>
      </c>
      <c r="U618" s="141">
        <v>0.38</v>
      </c>
      <c r="V618" s="145">
        <v>0.42</v>
      </c>
      <c r="W618" s="144">
        <v>0.44500000000000001</v>
      </c>
      <c r="X618" s="144">
        <v>0.39</v>
      </c>
      <c r="Y618" s="144">
        <v>0.34499999999999997</v>
      </c>
      <c r="Z618" s="144">
        <v>0.375</v>
      </c>
      <c r="AA618" s="144">
        <v>0.375</v>
      </c>
      <c r="AB618" s="143">
        <f>_xlfn.STDEV.P(D618:AA618)</f>
        <v>3.11909163682135E-2</v>
      </c>
      <c r="AC618" s="146"/>
    </row>
    <row r="619" spans="1:29">
      <c r="A619" s="260"/>
      <c r="B619" s="147" t="s">
        <v>1846</v>
      </c>
      <c r="D619" s="148" t="s">
        <v>1795</v>
      </c>
      <c r="E619" s="148" t="s">
        <v>1796</v>
      </c>
      <c r="F619" s="148" t="s">
        <v>1796</v>
      </c>
      <c r="G619" s="148" t="s">
        <v>1795</v>
      </c>
      <c r="H619" s="148" t="s">
        <v>1794</v>
      </c>
      <c r="I619" s="149" t="s">
        <v>1795</v>
      </c>
      <c r="J619" s="150" t="s">
        <v>1794</v>
      </c>
      <c r="K619" s="148" t="s">
        <v>1803</v>
      </c>
      <c r="L619" s="148" t="s">
        <v>1796</v>
      </c>
      <c r="M619" s="148" t="s">
        <v>1795</v>
      </c>
      <c r="N619" s="148" t="s">
        <v>1795</v>
      </c>
      <c r="O619" s="149" t="s">
        <v>1794</v>
      </c>
      <c r="P619" s="150" t="s">
        <v>1795</v>
      </c>
      <c r="Q619" s="148" t="s">
        <v>1796</v>
      </c>
      <c r="R619" s="148" t="s">
        <v>1795</v>
      </c>
      <c r="S619" s="148" t="s">
        <v>1796</v>
      </c>
      <c r="T619" s="148" t="s">
        <v>1794</v>
      </c>
      <c r="U619" s="149" t="s">
        <v>1803</v>
      </c>
      <c r="V619" s="150" t="s">
        <v>1795</v>
      </c>
      <c r="W619" s="148" t="s">
        <v>1803</v>
      </c>
      <c r="X619" s="148" t="s">
        <v>1796</v>
      </c>
      <c r="Y619" s="148" t="s">
        <v>1794</v>
      </c>
      <c r="Z619" s="148" t="s">
        <v>1794</v>
      </c>
      <c r="AA619" s="148" t="s">
        <v>1794</v>
      </c>
      <c r="AB619" s="143"/>
      <c r="AC619" s="151" t="s">
        <v>1823</v>
      </c>
    </row>
    <row r="620" spans="1:29">
      <c r="A620" s="260"/>
      <c r="B620" t="s">
        <v>1848</v>
      </c>
      <c r="C620" t="s">
        <v>40</v>
      </c>
      <c r="D620" s="141">
        <v>0.56999999999999995</v>
      </c>
      <c r="E620" s="141">
        <v>0.57999999999999996</v>
      </c>
      <c r="F620" s="141">
        <v>0.58499999999999996</v>
      </c>
      <c r="G620" s="141">
        <v>0.57999999999999996</v>
      </c>
      <c r="H620" s="141">
        <v>0.59499999999999997</v>
      </c>
      <c r="I620" s="141">
        <v>0.57499999999999996</v>
      </c>
      <c r="J620" s="142">
        <v>0.58499999999999996</v>
      </c>
      <c r="K620" s="141">
        <v>0.57499999999999996</v>
      </c>
      <c r="L620" s="141">
        <v>0.56999999999999995</v>
      </c>
      <c r="M620" s="141">
        <v>0.57999999999999996</v>
      </c>
      <c r="N620" s="141">
        <v>0.57999999999999996</v>
      </c>
      <c r="O620" s="141">
        <v>0.6</v>
      </c>
      <c r="P620" s="142">
        <v>0.60499999999999998</v>
      </c>
      <c r="Q620" s="141">
        <v>0.6</v>
      </c>
      <c r="R620" s="141">
        <v>0.625</v>
      </c>
      <c r="S620" s="141">
        <v>0.61499999999999999</v>
      </c>
      <c r="T620" s="141">
        <v>0.59</v>
      </c>
      <c r="U620" s="141">
        <v>0.55500000000000005</v>
      </c>
      <c r="V620" s="142">
        <v>0.56999999999999995</v>
      </c>
      <c r="W620" s="141">
        <v>0.57499999999999996</v>
      </c>
      <c r="X620" s="141">
        <v>0.57499999999999996</v>
      </c>
      <c r="Y620" s="141">
        <v>0.56999999999999995</v>
      </c>
      <c r="Z620" s="141">
        <v>0.56999999999999995</v>
      </c>
      <c r="AA620" s="141">
        <v>0.56999999999999995</v>
      </c>
      <c r="AB620" s="143">
        <f>_xlfn.STDEV.P(D620:AA620)</f>
        <v>1.5995604865087162E-2</v>
      </c>
      <c r="AC620" s="143"/>
    </row>
    <row r="621" spans="1:29">
      <c r="A621" s="260"/>
      <c r="C621" t="s">
        <v>220</v>
      </c>
      <c r="D621" s="141">
        <v>1.02</v>
      </c>
      <c r="E621" s="141">
        <v>1.01</v>
      </c>
      <c r="F621" s="141">
        <v>1.02</v>
      </c>
      <c r="G621" s="141">
        <v>1.0149999999999999</v>
      </c>
      <c r="H621" s="141">
        <v>1.0149999999999999</v>
      </c>
      <c r="I621" s="141">
        <v>1.02</v>
      </c>
      <c r="J621" s="142">
        <v>1.0149999999999999</v>
      </c>
      <c r="K621" s="141">
        <v>1.02</v>
      </c>
      <c r="L621" s="141">
        <v>1.0149999999999999</v>
      </c>
      <c r="M621" s="141">
        <v>1.0149999999999999</v>
      </c>
      <c r="N621" s="141">
        <v>1.01</v>
      </c>
      <c r="O621" s="141">
        <v>1.01</v>
      </c>
      <c r="P621" s="142">
        <v>1</v>
      </c>
      <c r="Q621" s="141">
        <v>0.995</v>
      </c>
      <c r="R621" s="141">
        <v>0.995</v>
      </c>
      <c r="S621" s="141">
        <v>1</v>
      </c>
      <c r="T621" s="141">
        <v>1.0149999999999999</v>
      </c>
      <c r="U621" s="141">
        <v>1.02</v>
      </c>
      <c r="V621" s="142">
        <v>1.0149999999999999</v>
      </c>
      <c r="W621" s="141">
        <v>1.0149999999999999</v>
      </c>
      <c r="X621" s="141">
        <v>1.01</v>
      </c>
      <c r="Y621" s="141">
        <v>1.0149999999999999</v>
      </c>
      <c r="Z621" s="141">
        <v>1.0149999999999999</v>
      </c>
      <c r="AA621" s="141">
        <v>1.01</v>
      </c>
      <c r="AB621" s="143">
        <f>_xlfn.STDEV.P(D621:AA621)</f>
        <v>7.3479967035618198E-3</v>
      </c>
      <c r="AC621" s="143"/>
    </row>
    <row r="622" spans="1:29">
      <c r="A622" s="260"/>
      <c r="C622" t="s">
        <v>221</v>
      </c>
      <c r="D622" s="144">
        <v>0.41499999999999998</v>
      </c>
      <c r="E622" s="144">
        <v>0.39</v>
      </c>
      <c r="F622" s="144">
        <v>0.42499999999999999</v>
      </c>
      <c r="G622" s="144">
        <v>0.41499999999999998</v>
      </c>
      <c r="H622" s="144">
        <v>0.41499999999999998</v>
      </c>
      <c r="I622" s="141">
        <v>0.42499999999999999</v>
      </c>
      <c r="J622" s="145">
        <v>0.41499999999999998</v>
      </c>
      <c r="K622" s="144">
        <v>0.40500000000000003</v>
      </c>
      <c r="L622" s="144">
        <v>0.375</v>
      </c>
      <c r="M622" s="144">
        <v>0.38500000000000001</v>
      </c>
      <c r="N622" s="144">
        <v>0.37</v>
      </c>
      <c r="O622" s="141">
        <v>0.34</v>
      </c>
      <c r="P622" s="145">
        <v>0.28000000000000003</v>
      </c>
      <c r="Q622" s="144">
        <v>0.27500000000000002</v>
      </c>
      <c r="R622" s="144">
        <v>0.27</v>
      </c>
      <c r="S622" s="144">
        <v>0.27</v>
      </c>
      <c r="T622" s="144">
        <v>0.3</v>
      </c>
      <c r="U622" s="141">
        <v>0.38500000000000001</v>
      </c>
      <c r="V622" s="145">
        <v>0.34499999999999997</v>
      </c>
      <c r="W622" s="144">
        <v>0.35499999999999998</v>
      </c>
      <c r="X622" s="144">
        <v>0.35499999999999998</v>
      </c>
      <c r="Y622" s="144">
        <v>0.35</v>
      </c>
      <c r="Z622" s="144">
        <v>0.34499999999999997</v>
      </c>
      <c r="AA622" s="144">
        <v>0.34499999999999997</v>
      </c>
      <c r="AB622" s="143">
        <f>_xlfn.STDEV.P(D622:AA622)</f>
        <v>4.9873102860047799E-2</v>
      </c>
      <c r="AC622" s="146"/>
    </row>
    <row r="623" spans="1:29">
      <c r="A623" s="260"/>
      <c r="B623" s="147" t="s">
        <v>1849</v>
      </c>
      <c r="D623" s="148" t="s">
        <v>1794</v>
      </c>
      <c r="E623" s="148" t="s">
        <v>1794</v>
      </c>
      <c r="F623" s="148" t="s">
        <v>1794</v>
      </c>
      <c r="G623" s="148" t="s">
        <v>1794</v>
      </c>
      <c r="H623" s="148" t="s">
        <v>1794</v>
      </c>
      <c r="I623" s="149" t="s">
        <v>1794</v>
      </c>
      <c r="J623" s="150" t="s">
        <v>1794</v>
      </c>
      <c r="K623" s="148" t="s">
        <v>1794</v>
      </c>
      <c r="L623" s="148" t="s">
        <v>1794</v>
      </c>
      <c r="M623" s="148" t="s">
        <v>1794</v>
      </c>
      <c r="N623" s="148" t="s">
        <v>1794</v>
      </c>
      <c r="O623" s="149" t="s">
        <v>1794</v>
      </c>
      <c r="P623" s="150" t="s">
        <v>1794</v>
      </c>
      <c r="Q623" s="148" t="s">
        <v>1794</v>
      </c>
      <c r="R623" s="148" t="s">
        <v>1794</v>
      </c>
      <c r="S623" s="148" t="s">
        <v>1794</v>
      </c>
      <c r="T623" s="148" t="s">
        <v>1794</v>
      </c>
      <c r="U623" s="149" t="s">
        <v>1794</v>
      </c>
      <c r="V623" s="150" t="s">
        <v>1794</v>
      </c>
      <c r="W623" s="148" t="s">
        <v>1794</v>
      </c>
      <c r="X623" s="148" t="s">
        <v>1794</v>
      </c>
      <c r="Y623" s="148" t="s">
        <v>1794</v>
      </c>
      <c r="Z623" s="148" t="s">
        <v>1794</v>
      </c>
      <c r="AA623" s="148" t="s">
        <v>1794</v>
      </c>
      <c r="AB623" s="143"/>
      <c r="AC623" s="151" t="s">
        <v>1800</v>
      </c>
    </row>
    <row r="624" spans="1:29">
      <c r="A624" s="260"/>
      <c r="B624" t="s">
        <v>1850</v>
      </c>
      <c r="C624" t="s">
        <v>40</v>
      </c>
      <c r="D624" s="141">
        <v>0.56000000000000005</v>
      </c>
      <c r="E624" s="141">
        <v>0.57499999999999996</v>
      </c>
      <c r="F624" s="141">
        <v>0.54500000000000004</v>
      </c>
      <c r="G624" s="141">
        <v>0.58499999999999996</v>
      </c>
      <c r="H624" s="141">
        <v>0.55000000000000004</v>
      </c>
      <c r="I624" s="141">
        <v>0.61</v>
      </c>
      <c r="J624" s="142">
        <v>0.52</v>
      </c>
      <c r="K624" s="141">
        <v>0.56000000000000005</v>
      </c>
      <c r="L624" s="141">
        <v>0.57999999999999996</v>
      </c>
      <c r="M624" s="141">
        <v>0.57999999999999996</v>
      </c>
      <c r="N624" s="141">
        <v>0.495</v>
      </c>
      <c r="O624" s="141">
        <v>0.59</v>
      </c>
      <c r="P624" s="142">
        <v>0.56999999999999995</v>
      </c>
      <c r="Q624" s="141">
        <v>0.6</v>
      </c>
      <c r="R624" s="141">
        <v>0.5</v>
      </c>
      <c r="S624" s="141">
        <v>0.55000000000000004</v>
      </c>
      <c r="T624" s="141">
        <v>0.62</v>
      </c>
      <c r="U624" s="141">
        <v>0.51500000000000001</v>
      </c>
      <c r="V624" s="142">
        <v>0.625</v>
      </c>
      <c r="W624" s="141">
        <v>0.56499999999999995</v>
      </c>
      <c r="X624" s="141">
        <v>0.5</v>
      </c>
      <c r="Y624" s="141">
        <v>0.59499999999999997</v>
      </c>
      <c r="Z624" s="141">
        <v>0.59499999999999997</v>
      </c>
      <c r="AA624" s="141">
        <v>0.56000000000000005</v>
      </c>
      <c r="AB624" s="143">
        <f>_xlfn.STDEV.P(D624:AA624)</f>
        <v>3.6552259962050665E-2</v>
      </c>
      <c r="AC624" s="143"/>
    </row>
    <row r="625" spans="1:29">
      <c r="A625" s="260"/>
      <c r="C625" t="s">
        <v>220</v>
      </c>
      <c r="D625" s="141">
        <v>1.0149999999999999</v>
      </c>
      <c r="E625" s="141">
        <v>1.0149999999999999</v>
      </c>
      <c r="F625" s="141">
        <v>1.0449999999999999</v>
      </c>
      <c r="G625" s="141">
        <v>1.02</v>
      </c>
      <c r="H625" s="141">
        <v>1.03</v>
      </c>
      <c r="I625" s="141">
        <v>1.075</v>
      </c>
      <c r="J625" s="142">
        <v>1.0549999999999999</v>
      </c>
      <c r="K625" s="141">
        <v>1.0049999999999999</v>
      </c>
      <c r="L625" s="141">
        <v>1.095</v>
      </c>
      <c r="M625" s="141">
        <v>1.075</v>
      </c>
      <c r="N625" s="141">
        <v>1.07</v>
      </c>
      <c r="O625" s="141">
        <v>1.01</v>
      </c>
      <c r="P625" s="142">
        <v>1.0049999999999999</v>
      </c>
      <c r="Q625" s="141">
        <v>0.995</v>
      </c>
      <c r="R625" s="141">
        <v>1.085</v>
      </c>
      <c r="S625" s="141">
        <v>1.0249999999999999</v>
      </c>
      <c r="T625" s="141">
        <v>1.01</v>
      </c>
      <c r="U625" s="141">
        <v>0.98</v>
      </c>
      <c r="V625" s="142">
        <v>0.99</v>
      </c>
      <c r="W625" s="141">
        <v>1.03</v>
      </c>
      <c r="X625" s="141">
        <v>1.0549999999999999</v>
      </c>
      <c r="Y625" s="141">
        <v>0.95499999999999996</v>
      </c>
      <c r="Z625" s="141">
        <v>0.95499999999999996</v>
      </c>
      <c r="AA625" s="141">
        <v>1.01</v>
      </c>
      <c r="AB625" s="143">
        <f>_xlfn.STDEV.P(D625:AA625)</f>
        <v>3.7318426153249762E-2</v>
      </c>
      <c r="AC625" s="143"/>
    </row>
    <row r="626" spans="1:29">
      <c r="A626" s="260"/>
      <c r="C626" t="s">
        <v>221</v>
      </c>
      <c r="D626" s="144">
        <v>0.42499999999999999</v>
      </c>
      <c r="E626" s="144">
        <v>0.39</v>
      </c>
      <c r="F626" s="144">
        <v>0.41</v>
      </c>
      <c r="G626" s="144">
        <v>0.43</v>
      </c>
      <c r="H626" s="144">
        <v>0.375</v>
      </c>
      <c r="I626" s="141">
        <v>0.39500000000000002</v>
      </c>
      <c r="J626" s="145">
        <v>0.39</v>
      </c>
      <c r="K626" s="144">
        <v>0.40500000000000003</v>
      </c>
      <c r="L626" s="144">
        <v>0.35499999999999998</v>
      </c>
      <c r="M626" s="144">
        <v>0.42499999999999999</v>
      </c>
      <c r="N626" s="144">
        <v>0.39</v>
      </c>
      <c r="O626" s="141">
        <v>0.375</v>
      </c>
      <c r="P626" s="145">
        <v>0.41499999999999998</v>
      </c>
      <c r="Q626" s="144">
        <v>0.42</v>
      </c>
      <c r="R626" s="144">
        <v>0.48499999999999999</v>
      </c>
      <c r="S626" s="144">
        <v>0.41</v>
      </c>
      <c r="T626" s="144">
        <v>0.38</v>
      </c>
      <c r="U626" s="141">
        <v>0.45</v>
      </c>
      <c r="V626" s="145">
        <v>0.41</v>
      </c>
      <c r="W626" s="144">
        <v>0.38</v>
      </c>
      <c r="X626" s="144">
        <v>0.35</v>
      </c>
      <c r="Y626" s="144">
        <v>0.35499999999999998</v>
      </c>
      <c r="Z626" s="144">
        <v>0.35499999999999998</v>
      </c>
      <c r="AA626" s="144">
        <v>0.38500000000000001</v>
      </c>
      <c r="AB626" s="143">
        <f>_xlfn.STDEV.P(D626:AA626)</f>
        <v>3.1578825535827366E-2</v>
      </c>
      <c r="AC626" s="146"/>
    </row>
    <row r="627" spans="1:29">
      <c r="A627" s="260"/>
      <c r="B627" s="147" t="s">
        <v>1851</v>
      </c>
      <c r="D627" s="148" t="s">
        <v>1795</v>
      </c>
      <c r="E627" s="148" t="s">
        <v>1796</v>
      </c>
      <c r="F627" s="148" t="s">
        <v>1796</v>
      </c>
      <c r="G627" s="148" t="s">
        <v>1795</v>
      </c>
      <c r="H627" s="148" t="s">
        <v>1795</v>
      </c>
      <c r="I627" s="149" t="s">
        <v>1795</v>
      </c>
      <c r="J627" s="150" t="s">
        <v>1795</v>
      </c>
      <c r="K627" s="148" t="s">
        <v>1803</v>
      </c>
      <c r="L627" s="148" t="s">
        <v>1796</v>
      </c>
      <c r="M627" s="148" t="s">
        <v>1795</v>
      </c>
      <c r="N627" s="148" t="s">
        <v>1794</v>
      </c>
      <c r="O627" s="149" t="s">
        <v>1795</v>
      </c>
      <c r="P627" s="150" t="s">
        <v>1795</v>
      </c>
      <c r="Q627" s="148" t="s">
        <v>1796</v>
      </c>
      <c r="R627" s="148" t="s">
        <v>1796</v>
      </c>
      <c r="S627" s="148" t="s">
        <v>1796</v>
      </c>
      <c r="T627" s="148" t="s">
        <v>1795</v>
      </c>
      <c r="U627" s="149" t="s">
        <v>1803</v>
      </c>
      <c r="V627" s="150" t="s">
        <v>1795</v>
      </c>
      <c r="W627" s="148" t="s">
        <v>1796</v>
      </c>
      <c r="X627" s="148" t="s">
        <v>1796</v>
      </c>
      <c r="Y627" s="148" t="s">
        <v>1803</v>
      </c>
      <c r="Z627" s="148" t="s">
        <v>1795</v>
      </c>
      <c r="AA627" s="148" t="s">
        <v>1794</v>
      </c>
      <c r="AB627" s="143"/>
      <c r="AC627" s="151" t="s">
        <v>1962</v>
      </c>
    </row>
    <row r="628" spans="1:29">
      <c r="A628" s="260"/>
      <c r="B628" t="s">
        <v>1853</v>
      </c>
      <c r="C628" t="s">
        <v>40</v>
      </c>
      <c r="D628" s="141">
        <v>0.56999999999999995</v>
      </c>
      <c r="E628" s="141">
        <v>0.57999999999999996</v>
      </c>
      <c r="F628" s="141">
        <v>0.56499999999999995</v>
      </c>
      <c r="G628" s="141">
        <v>0.56000000000000005</v>
      </c>
      <c r="H628" s="141">
        <v>0.56000000000000005</v>
      </c>
      <c r="I628" s="141">
        <v>0.58499999999999996</v>
      </c>
      <c r="J628" s="142">
        <v>0.66</v>
      </c>
      <c r="K628" s="141">
        <v>0.48499999999999999</v>
      </c>
      <c r="L628" s="141">
        <v>0.4</v>
      </c>
      <c r="M628" s="141">
        <v>0.56499999999999995</v>
      </c>
      <c r="N628" s="141">
        <v>0.56499999999999995</v>
      </c>
      <c r="O628" s="141">
        <v>0.53500000000000003</v>
      </c>
      <c r="P628" s="142">
        <v>0.56499999999999995</v>
      </c>
      <c r="Q628" s="141">
        <v>0.505</v>
      </c>
      <c r="R628" s="141">
        <v>0.6</v>
      </c>
      <c r="S628" s="141">
        <v>0.55500000000000005</v>
      </c>
      <c r="T628" s="141">
        <v>0.55500000000000005</v>
      </c>
      <c r="U628" s="141">
        <v>0.63500000000000001</v>
      </c>
      <c r="V628" s="142">
        <v>0.61</v>
      </c>
      <c r="W628" s="141">
        <v>0.5</v>
      </c>
      <c r="X628" s="141">
        <v>0.56999999999999995</v>
      </c>
      <c r="Y628" s="141">
        <v>0.54</v>
      </c>
      <c r="Z628" s="141">
        <v>0.54</v>
      </c>
      <c r="AA628" s="141">
        <v>0.53500000000000003</v>
      </c>
      <c r="AB628" s="143">
        <f>_xlfn.STDEV.P(D628:AA628)</f>
        <v>5.0242467649942862E-2</v>
      </c>
      <c r="AC628" s="143"/>
    </row>
    <row r="629" spans="1:29">
      <c r="A629" s="260"/>
      <c r="C629" t="s">
        <v>220</v>
      </c>
      <c r="D629" s="141">
        <v>1.0149999999999999</v>
      </c>
      <c r="E629" s="141">
        <v>1.0149999999999999</v>
      </c>
      <c r="F629" s="141">
        <v>1.02</v>
      </c>
      <c r="G629" s="141">
        <v>1.02</v>
      </c>
      <c r="H629" s="141">
        <v>1.02</v>
      </c>
      <c r="I629" s="141">
        <v>1.01</v>
      </c>
      <c r="J629" s="142">
        <v>1.01</v>
      </c>
      <c r="K629" s="141">
        <v>1</v>
      </c>
      <c r="L629" s="141">
        <v>1.085</v>
      </c>
      <c r="M629" s="141">
        <v>0.97499999999999998</v>
      </c>
      <c r="N629" s="141">
        <v>0.97499999999999998</v>
      </c>
      <c r="O629" s="141">
        <v>1.0149999999999999</v>
      </c>
      <c r="P629" s="142">
        <v>1.0349999999999999</v>
      </c>
      <c r="Q629" s="141">
        <v>0.995</v>
      </c>
      <c r="R629" s="141">
        <v>1.0349999999999999</v>
      </c>
      <c r="S629" s="141">
        <v>1.0149999999999999</v>
      </c>
      <c r="T629" s="141">
        <v>1.0149999999999999</v>
      </c>
      <c r="U629" s="141">
        <v>1.0249999999999999</v>
      </c>
      <c r="V629" s="142">
        <v>1.0149999999999999</v>
      </c>
      <c r="W629" s="141">
        <v>1.0049999999999999</v>
      </c>
      <c r="X629" s="141">
        <v>1.01</v>
      </c>
      <c r="Y629" s="141">
        <v>1.03</v>
      </c>
      <c r="Z629" s="141">
        <v>1.03</v>
      </c>
      <c r="AA629" s="141">
        <v>1.06</v>
      </c>
      <c r="AB629" s="143">
        <f>_xlfn.STDEV.P(D629:AA629)</f>
        <v>2.2496141644488481E-2</v>
      </c>
      <c r="AC629" s="143"/>
    </row>
    <row r="630" spans="1:29">
      <c r="A630" s="260"/>
      <c r="C630" t="s">
        <v>221</v>
      </c>
      <c r="D630" s="144">
        <v>0.40500000000000003</v>
      </c>
      <c r="E630" s="144">
        <v>0.41499999999999998</v>
      </c>
      <c r="F630" s="144">
        <v>0.45500000000000002</v>
      </c>
      <c r="G630" s="144">
        <v>0.43</v>
      </c>
      <c r="H630" s="144">
        <v>0.43</v>
      </c>
      <c r="I630" s="141">
        <v>0.44</v>
      </c>
      <c r="J630" s="145">
        <v>0.42499999999999999</v>
      </c>
      <c r="K630" s="144">
        <v>0.44</v>
      </c>
      <c r="L630" s="144">
        <v>0.41499999999999998</v>
      </c>
      <c r="M630" s="144">
        <v>0.38500000000000001</v>
      </c>
      <c r="N630" s="144">
        <v>0.38500000000000001</v>
      </c>
      <c r="O630" s="141">
        <v>0.4</v>
      </c>
      <c r="P630" s="145">
        <v>0.46500000000000002</v>
      </c>
      <c r="Q630" s="144">
        <v>0.42</v>
      </c>
      <c r="R630" s="144">
        <v>0.38500000000000001</v>
      </c>
      <c r="S630" s="144">
        <v>0.45</v>
      </c>
      <c r="T630" s="144">
        <v>0.45</v>
      </c>
      <c r="U630" s="141">
        <v>0.44</v>
      </c>
      <c r="V630" s="145">
        <v>0.41</v>
      </c>
      <c r="W630" s="144">
        <v>0.41499999999999998</v>
      </c>
      <c r="X630" s="144">
        <v>0.42</v>
      </c>
      <c r="Y630" s="144">
        <v>0.44</v>
      </c>
      <c r="Z630" s="144">
        <v>0.44</v>
      </c>
      <c r="AA630" s="144">
        <v>0.43</v>
      </c>
      <c r="AB630" s="143">
        <f>_xlfn.STDEV.P(D630:AA630)</f>
        <v>2.1742655209416255E-2</v>
      </c>
      <c r="AC630" s="146"/>
    </row>
    <row r="631" spans="1:29">
      <c r="A631" s="260"/>
      <c r="B631" s="147" t="s">
        <v>1854</v>
      </c>
      <c r="D631" s="148" t="s">
        <v>1795</v>
      </c>
      <c r="E631" s="148" t="s">
        <v>1796</v>
      </c>
      <c r="F631" s="148" t="s">
        <v>1796</v>
      </c>
      <c r="G631" s="148" t="s">
        <v>1796</v>
      </c>
      <c r="H631" s="148" t="s">
        <v>1795</v>
      </c>
      <c r="I631" s="149" t="s">
        <v>1795</v>
      </c>
      <c r="J631" s="150" t="s">
        <v>1795</v>
      </c>
      <c r="K631" s="148" t="s">
        <v>1796</v>
      </c>
      <c r="L631" s="148" t="s">
        <v>1796</v>
      </c>
      <c r="M631" s="148" t="s">
        <v>1795</v>
      </c>
      <c r="N631" s="148" t="s">
        <v>1795</v>
      </c>
      <c r="O631" s="149" t="s">
        <v>1795</v>
      </c>
      <c r="P631" s="150" t="s">
        <v>1803</v>
      </c>
      <c r="Q631" s="148" t="s">
        <v>1803</v>
      </c>
      <c r="R631" s="148" t="s">
        <v>1796</v>
      </c>
      <c r="S631" s="148" t="s">
        <v>1796</v>
      </c>
      <c r="T631" s="148" t="s">
        <v>1795</v>
      </c>
      <c r="U631" s="149" t="s">
        <v>1803</v>
      </c>
      <c r="V631" s="150" t="s">
        <v>1803</v>
      </c>
      <c r="W631" s="148" t="s">
        <v>1795</v>
      </c>
      <c r="X631" s="148" t="s">
        <v>1803</v>
      </c>
      <c r="Y631" s="148" t="s">
        <v>1795</v>
      </c>
      <c r="Z631" s="148" t="s">
        <v>1795</v>
      </c>
      <c r="AA631" s="148" t="s">
        <v>1794</v>
      </c>
      <c r="AB631" s="143"/>
      <c r="AC631" s="151" t="s">
        <v>1963</v>
      </c>
    </row>
    <row r="632" spans="1:29">
      <c r="A632" s="260"/>
      <c r="B632" t="s">
        <v>1856</v>
      </c>
      <c r="C632" t="s">
        <v>40</v>
      </c>
      <c r="D632" s="141">
        <v>0.57499999999999996</v>
      </c>
      <c r="E632" s="141">
        <v>0.59</v>
      </c>
      <c r="F632" s="141">
        <v>0.55000000000000004</v>
      </c>
      <c r="G632" s="141">
        <v>0.52500000000000002</v>
      </c>
      <c r="H632" s="141">
        <v>0.60499999999999998</v>
      </c>
      <c r="I632" s="141">
        <v>0.53</v>
      </c>
      <c r="J632" s="142">
        <v>0.62</v>
      </c>
      <c r="K632" s="141">
        <v>0.59</v>
      </c>
      <c r="L632" s="141">
        <v>0.71</v>
      </c>
      <c r="M632" s="141">
        <v>0.57499999999999996</v>
      </c>
      <c r="N632" s="141">
        <v>0.47</v>
      </c>
      <c r="O632" s="141">
        <v>0.62</v>
      </c>
      <c r="P632" s="142">
        <v>0.57999999999999996</v>
      </c>
      <c r="Q632" s="141">
        <v>0.56000000000000005</v>
      </c>
      <c r="R632" s="141">
        <v>0.53500000000000003</v>
      </c>
      <c r="S632" s="141">
        <v>0.56000000000000005</v>
      </c>
      <c r="T632" s="141">
        <v>0.58499999999999996</v>
      </c>
      <c r="U632" s="141">
        <v>0.60499999999999998</v>
      </c>
      <c r="V632" s="142">
        <v>0.65</v>
      </c>
      <c r="W632" s="141">
        <v>0.71</v>
      </c>
      <c r="X632" s="141">
        <v>0.56999999999999995</v>
      </c>
      <c r="Y632" s="141">
        <v>0.51500000000000001</v>
      </c>
      <c r="Z632" s="141">
        <v>0.625</v>
      </c>
      <c r="AA632" s="141">
        <v>0.56499999999999995</v>
      </c>
      <c r="AB632" s="143">
        <f>_xlfn.STDEV.P(D632:AA632)</f>
        <v>5.4365021434333631E-2</v>
      </c>
      <c r="AC632" s="143"/>
    </row>
    <row r="633" spans="1:29">
      <c r="A633" s="260"/>
      <c r="C633" t="s">
        <v>220</v>
      </c>
      <c r="D633" s="141">
        <v>1.0149999999999999</v>
      </c>
      <c r="E633" s="141">
        <v>1.02</v>
      </c>
      <c r="F633" s="141">
        <v>1.125</v>
      </c>
      <c r="G633" s="141">
        <v>1.0149999999999999</v>
      </c>
      <c r="H633" s="141">
        <v>1.0149999999999999</v>
      </c>
      <c r="I633" s="141">
        <v>0.97499999999999998</v>
      </c>
      <c r="J633" s="142">
        <v>1.0149999999999999</v>
      </c>
      <c r="K633" s="141">
        <v>1.0149999999999999</v>
      </c>
      <c r="L633" s="141">
        <v>0.96499999999999997</v>
      </c>
      <c r="M633" s="141">
        <v>0.96</v>
      </c>
      <c r="N633" s="141">
        <v>1.07</v>
      </c>
      <c r="O633" s="141">
        <v>1.0049999999999999</v>
      </c>
      <c r="P633" s="142">
        <v>1.01</v>
      </c>
      <c r="Q633" s="141">
        <v>1.075</v>
      </c>
      <c r="R633" s="141">
        <v>1.0249999999999999</v>
      </c>
      <c r="S633" s="141">
        <v>1</v>
      </c>
      <c r="T633" s="141">
        <v>1.02</v>
      </c>
      <c r="U633" s="141">
        <v>1.02</v>
      </c>
      <c r="V633" s="142">
        <v>1.0649999999999999</v>
      </c>
      <c r="W633" s="141">
        <v>0.89</v>
      </c>
      <c r="X633" s="141">
        <v>1.05</v>
      </c>
      <c r="Y633" s="141">
        <v>1.0149999999999999</v>
      </c>
      <c r="Z633" s="141">
        <v>0.98</v>
      </c>
      <c r="AA633" s="141">
        <v>1.0449999999999999</v>
      </c>
      <c r="AB633" s="143">
        <f>_xlfn.STDEV.P(D633:AA633)</f>
        <v>4.4633927678392818E-2</v>
      </c>
      <c r="AC633" s="143"/>
    </row>
    <row r="634" spans="1:29">
      <c r="A634" s="260"/>
      <c r="C634" t="s">
        <v>221</v>
      </c>
      <c r="D634" s="144">
        <v>0.42</v>
      </c>
      <c r="E634" s="144">
        <v>0.43</v>
      </c>
      <c r="F634" s="144">
        <v>0.33</v>
      </c>
      <c r="G634" s="144">
        <v>0.42</v>
      </c>
      <c r="H634" s="144">
        <v>0.42</v>
      </c>
      <c r="I634" s="141">
        <v>0.46500000000000002</v>
      </c>
      <c r="J634" s="145">
        <v>0.42499999999999999</v>
      </c>
      <c r="K634" s="144">
        <v>0.44</v>
      </c>
      <c r="L634" s="144">
        <v>0.4</v>
      </c>
      <c r="M634" s="144">
        <v>0.36</v>
      </c>
      <c r="N634" s="144">
        <v>0.41499999999999998</v>
      </c>
      <c r="O634" s="141">
        <v>0.4</v>
      </c>
      <c r="P634" s="145">
        <v>0.41</v>
      </c>
      <c r="Q634" s="144">
        <v>0.48</v>
      </c>
      <c r="R634" s="144">
        <v>0.36</v>
      </c>
      <c r="S634" s="144">
        <v>0.41499999999999998</v>
      </c>
      <c r="T634" s="144">
        <v>0.42499999999999999</v>
      </c>
      <c r="U634" s="141">
        <v>0.43</v>
      </c>
      <c r="V634" s="145">
        <v>0.34</v>
      </c>
      <c r="W634" s="144">
        <v>0.47499999999999998</v>
      </c>
      <c r="X634" s="144">
        <v>0.45</v>
      </c>
      <c r="Y634" s="144">
        <v>0.41499999999999998</v>
      </c>
      <c r="Z634" s="144">
        <v>0.37</v>
      </c>
      <c r="AA634" s="144">
        <v>0.40500000000000003</v>
      </c>
      <c r="AB634" s="143">
        <f>_xlfn.STDEV.P(D634:AA634)</f>
        <v>3.7776756522143788E-2</v>
      </c>
      <c r="AC634" s="146"/>
    </row>
    <row r="635" spans="1:29">
      <c r="A635" s="260"/>
      <c r="B635" s="147" t="s">
        <v>1857</v>
      </c>
      <c r="D635" s="148" t="s">
        <v>1794</v>
      </c>
      <c r="E635" s="148" t="s">
        <v>1796</v>
      </c>
      <c r="F635" s="148" t="s">
        <v>1796</v>
      </c>
      <c r="G635" s="148" t="s">
        <v>1796</v>
      </c>
      <c r="H635" s="148" t="s">
        <v>1795</v>
      </c>
      <c r="I635" s="149" t="s">
        <v>1803</v>
      </c>
      <c r="J635" s="150" t="s">
        <v>1795</v>
      </c>
      <c r="K635" s="148" t="s">
        <v>1796</v>
      </c>
      <c r="L635" s="148" t="s">
        <v>1796</v>
      </c>
      <c r="M635" s="148" t="s">
        <v>1795</v>
      </c>
      <c r="N635" s="148" t="s">
        <v>1803</v>
      </c>
      <c r="O635" s="149" t="s">
        <v>1803</v>
      </c>
      <c r="P635" s="150" t="s">
        <v>1795</v>
      </c>
      <c r="Q635" s="148" t="s">
        <v>1803</v>
      </c>
      <c r="R635" s="148" t="s">
        <v>1803</v>
      </c>
      <c r="S635" s="148" t="s">
        <v>1796</v>
      </c>
      <c r="T635" s="148" t="s">
        <v>1795</v>
      </c>
      <c r="U635" s="149" t="s">
        <v>1803</v>
      </c>
      <c r="V635" s="150" t="s">
        <v>1803</v>
      </c>
      <c r="W635" s="148" t="s">
        <v>1803</v>
      </c>
      <c r="X635" s="148" t="s">
        <v>1795</v>
      </c>
      <c r="Y635" s="148" t="s">
        <v>1803</v>
      </c>
      <c r="Z635" s="148" t="s">
        <v>1794</v>
      </c>
      <c r="AA635" s="148" t="s">
        <v>1794</v>
      </c>
      <c r="AB635" s="143"/>
      <c r="AC635" s="151" t="s">
        <v>1961</v>
      </c>
    </row>
    <row r="636" spans="1:29">
      <c r="A636" s="260"/>
      <c r="B636" t="s">
        <v>1858</v>
      </c>
      <c r="C636" t="s">
        <v>40</v>
      </c>
      <c r="D636" s="141">
        <v>0.56999999999999995</v>
      </c>
      <c r="E636" s="141">
        <v>0.57999999999999996</v>
      </c>
      <c r="F636" s="141">
        <v>0.55000000000000004</v>
      </c>
      <c r="G636" s="141">
        <v>0.51</v>
      </c>
      <c r="H636" s="141">
        <v>0.57499999999999996</v>
      </c>
      <c r="I636" s="141">
        <v>0.55500000000000005</v>
      </c>
      <c r="J636" s="142">
        <v>0.53500000000000003</v>
      </c>
      <c r="K636" s="141">
        <v>0.46500000000000002</v>
      </c>
      <c r="L636" s="141">
        <v>0.53</v>
      </c>
      <c r="M636" s="141">
        <v>0.6</v>
      </c>
      <c r="N636" s="141">
        <v>0.61499999999999999</v>
      </c>
      <c r="O636" s="141">
        <v>0.62</v>
      </c>
      <c r="P636" s="142">
        <v>0.59</v>
      </c>
      <c r="Q636" s="141">
        <v>0.55000000000000004</v>
      </c>
      <c r="R636" s="141">
        <v>0.60499999999999998</v>
      </c>
      <c r="S636" s="141">
        <v>0.56999999999999995</v>
      </c>
      <c r="T636" s="141">
        <v>0.57499999999999996</v>
      </c>
      <c r="U636" s="141">
        <v>0.57499999999999996</v>
      </c>
      <c r="V636" s="142">
        <v>0.54</v>
      </c>
      <c r="W636" s="141">
        <v>0.61</v>
      </c>
      <c r="X636" s="141">
        <v>0.55000000000000004</v>
      </c>
      <c r="Y636" s="141">
        <v>0.71499999999999997</v>
      </c>
      <c r="Z636" s="141">
        <v>0.56000000000000005</v>
      </c>
      <c r="AA636" s="141">
        <v>0.55500000000000005</v>
      </c>
      <c r="AB636" s="143">
        <f>_xlfn.STDEV.P(D636:AA636)</f>
        <v>4.5613107278013341E-2</v>
      </c>
      <c r="AC636" s="143"/>
    </row>
    <row r="637" spans="1:29">
      <c r="A637" s="260"/>
      <c r="C637" t="s">
        <v>220</v>
      </c>
      <c r="D637" s="141">
        <v>1.0149999999999999</v>
      </c>
      <c r="E637" s="141">
        <v>1.0149999999999999</v>
      </c>
      <c r="F637" s="141">
        <v>1.07</v>
      </c>
      <c r="G637" s="141">
        <v>0.94499999999999995</v>
      </c>
      <c r="H637" s="141">
        <v>1.02</v>
      </c>
      <c r="I637" s="141">
        <v>1.1200000000000001</v>
      </c>
      <c r="J637" s="142">
        <v>1.0049999999999999</v>
      </c>
      <c r="K637" s="141">
        <v>1.01</v>
      </c>
      <c r="L637" s="141">
        <v>0.99</v>
      </c>
      <c r="M637" s="141">
        <v>0.98499999999999999</v>
      </c>
      <c r="N637" s="141">
        <v>1</v>
      </c>
      <c r="O637" s="141">
        <v>1.01</v>
      </c>
      <c r="P637" s="142">
        <v>0.98499999999999999</v>
      </c>
      <c r="Q637" s="141">
        <v>1.07</v>
      </c>
      <c r="R637" s="141">
        <v>1</v>
      </c>
      <c r="S637" s="141">
        <v>1.0049999999999999</v>
      </c>
      <c r="T637" s="141">
        <v>1</v>
      </c>
      <c r="U637" s="141">
        <v>1</v>
      </c>
      <c r="V637" s="142">
        <v>1.1200000000000001</v>
      </c>
      <c r="W637" s="141">
        <v>1.0349999999999999</v>
      </c>
      <c r="X637" s="141">
        <v>1.0149999999999999</v>
      </c>
      <c r="Y637" s="141">
        <v>0.94</v>
      </c>
      <c r="Z637" s="141">
        <v>1.04</v>
      </c>
      <c r="AA637" s="141">
        <v>1.0349999999999999</v>
      </c>
      <c r="AB637" s="143">
        <f>_xlfn.STDEV.P(D637:AA637)</f>
        <v>4.2546951189897951E-2</v>
      </c>
      <c r="AC637" s="143"/>
    </row>
    <row r="638" spans="1:29">
      <c r="A638" s="260"/>
      <c r="C638" t="s">
        <v>221</v>
      </c>
      <c r="D638" s="144">
        <v>0.42</v>
      </c>
      <c r="E638" s="144">
        <v>0.41</v>
      </c>
      <c r="F638" s="144">
        <v>0.34</v>
      </c>
      <c r="G638" s="144">
        <v>0.42</v>
      </c>
      <c r="H638" s="144">
        <v>0.41</v>
      </c>
      <c r="I638" s="141">
        <v>0.34499999999999997</v>
      </c>
      <c r="J638" s="145">
        <v>0.44</v>
      </c>
      <c r="K638" s="144">
        <v>0.4</v>
      </c>
      <c r="L638" s="144">
        <v>0.48</v>
      </c>
      <c r="M638" s="144">
        <v>0.38</v>
      </c>
      <c r="N638" s="144">
        <v>0.39500000000000002</v>
      </c>
      <c r="O638" s="141">
        <v>0.42</v>
      </c>
      <c r="P638" s="145">
        <v>0.44</v>
      </c>
      <c r="Q638" s="144">
        <v>0.375</v>
      </c>
      <c r="R638" s="144">
        <v>0.4</v>
      </c>
      <c r="S638" s="144">
        <v>0.42</v>
      </c>
      <c r="T638" s="144">
        <v>0.4</v>
      </c>
      <c r="U638" s="141">
        <v>0.4</v>
      </c>
      <c r="V638" s="145">
        <v>0.31</v>
      </c>
      <c r="W638" s="144">
        <v>0.41</v>
      </c>
      <c r="X638" s="144">
        <v>0.36499999999999999</v>
      </c>
      <c r="Y638" s="144">
        <v>0.375</v>
      </c>
      <c r="Z638" s="144">
        <v>0.39500000000000002</v>
      </c>
      <c r="AA638" s="144">
        <v>0.39500000000000002</v>
      </c>
      <c r="AB638" s="143">
        <f>_xlfn.STDEV.P(D638:AA638)</f>
        <v>3.4790419139310302E-2</v>
      </c>
      <c r="AC638" s="146"/>
    </row>
    <row r="639" spans="1:29">
      <c r="A639" s="260"/>
      <c r="B639" s="147" t="s">
        <v>1859</v>
      </c>
      <c r="D639" s="148" t="s">
        <v>1795</v>
      </c>
      <c r="E639" s="148" t="s">
        <v>1796</v>
      </c>
      <c r="F639" s="148" t="s">
        <v>1796</v>
      </c>
      <c r="G639" s="148" t="s">
        <v>1803</v>
      </c>
      <c r="H639" s="148" t="s">
        <v>1795</v>
      </c>
      <c r="I639" s="149" t="s">
        <v>1795</v>
      </c>
      <c r="J639" s="150" t="s">
        <v>1795</v>
      </c>
      <c r="K639" s="148" t="s">
        <v>1803</v>
      </c>
      <c r="L639" s="148" t="s">
        <v>1796</v>
      </c>
      <c r="M639" s="148" t="s">
        <v>1803</v>
      </c>
      <c r="N639" s="148" t="s">
        <v>1795</v>
      </c>
      <c r="O639" s="149" t="s">
        <v>1796</v>
      </c>
      <c r="P639" s="150" t="s">
        <v>1796</v>
      </c>
      <c r="Q639" s="148" t="s">
        <v>1803</v>
      </c>
      <c r="R639" s="148" t="s">
        <v>1803</v>
      </c>
      <c r="S639" s="148" t="s">
        <v>1794</v>
      </c>
      <c r="T639" s="148" t="s">
        <v>1794</v>
      </c>
      <c r="U639" s="149" t="s">
        <v>1803</v>
      </c>
      <c r="V639" s="150" t="s">
        <v>1796</v>
      </c>
      <c r="W639" s="148" t="s">
        <v>1803</v>
      </c>
      <c r="X639" s="148" t="s">
        <v>1795</v>
      </c>
      <c r="Y639" s="148" t="s">
        <v>1794</v>
      </c>
      <c r="Z639" s="148" t="s">
        <v>1794</v>
      </c>
      <c r="AA639" s="148" t="s">
        <v>1794</v>
      </c>
      <c r="AB639" s="143"/>
      <c r="AC639" s="151" t="s">
        <v>1826</v>
      </c>
    </row>
    <row r="640" spans="1:29">
      <c r="A640" s="260"/>
      <c r="B640" t="s">
        <v>1861</v>
      </c>
      <c r="C640" t="s">
        <v>40</v>
      </c>
      <c r="D640" s="141">
        <v>0.57499999999999996</v>
      </c>
      <c r="E640" s="141">
        <v>0.56499999999999995</v>
      </c>
      <c r="F640" s="141">
        <v>0.56499999999999995</v>
      </c>
      <c r="G640" s="141">
        <v>0.55000000000000004</v>
      </c>
      <c r="H640" s="141">
        <v>0.56999999999999995</v>
      </c>
      <c r="I640" s="141">
        <v>0.5</v>
      </c>
      <c r="J640" s="142">
        <v>0.63</v>
      </c>
      <c r="K640" s="141">
        <v>0.63500000000000001</v>
      </c>
      <c r="L640" s="141">
        <v>0.45500000000000002</v>
      </c>
      <c r="M640" s="141">
        <v>0.44</v>
      </c>
      <c r="N640" s="141">
        <v>0.52500000000000002</v>
      </c>
      <c r="O640" s="141">
        <v>0.64</v>
      </c>
      <c r="P640" s="142">
        <v>0.57999999999999996</v>
      </c>
      <c r="Q640" s="141">
        <v>0.6</v>
      </c>
      <c r="R640" s="141">
        <v>0.505</v>
      </c>
      <c r="S640" s="141">
        <v>0.57999999999999996</v>
      </c>
      <c r="T640" s="141">
        <v>0.56499999999999995</v>
      </c>
      <c r="U640" s="141">
        <v>0.54500000000000004</v>
      </c>
      <c r="V640" s="142">
        <v>0.54500000000000004</v>
      </c>
      <c r="W640" s="141">
        <v>0.55500000000000005</v>
      </c>
      <c r="X640" s="141">
        <v>0.58499999999999996</v>
      </c>
      <c r="Y640" s="141">
        <v>0.54</v>
      </c>
      <c r="Z640" s="141">
        <v>0.56999999999999995</v>
      </c>
      <c r="AA640" s="141">
        <v>0.59</v>
      </c>
      <c r="AB640" s="143">
        <f>_xlfn.STDEV.P(D640:AA640)</f>
        <v>4.8115529371156936E-2</v>
      </c>
      <c r="AC640" s="143"/>
    </row>
    <row r="641" spans="1:29">
      <c r="A641" s="260"/>
      <c r="C641" t="s">
        <v>220</v>
      </c>
      <c r="D641" s="141">
        <v>1.0149999999999999</v>
      </c>
      <c r="E641" s="141">
        <v>1.0149999999999999</v>
      </c>
      <c r="F641" s="141">
        <v>1.0149999999999999</v>
      </c>
      <c r="G641" s="141">
        <v>1.1399999999999999</v>
      </c>
      <c r="H641" s="141">
        <v>1.0149999999999999</v>
      </c>
      <c r="I641" s="141">
        <v>1.0149999999999999</v>
      </c>
      <c r="J641" s="142">
        <v>1.02</v>
      </c>
      <c r="K641" s="141">
        <v>1.01</v>
      </c>
      <c r="L641" s="141">
        <v>1.135</v>
      </c>
      <c r="M641" s="141">
        <v>1.03</v>
      </c>
      <c r="N641" s="141">
        <v>0.99</v>
      </c>
      <c r="O641" s="141">
        <v>0.98</v>
      </c>
      <c r="P641" s="142">
        <v>1.01</v>
      </c>
      <c r="Q641" s="141">
        <v>1.01</v>
      </c>
      <c r="R641" s="141">
        <v>0.98499999999999999</v>
      </c>
      <c r="S641" s="141">
        <v>1</v>
      </c>
      <c r="T641" s="141">
        <v>1.02</v>
      </c>
      <c r="U641" s="141">
        <v>1.02</v>
      </c>
      <c r="V641" s="142">
        <v>1.0549999999999999</v>
      </c>
      <c r="W641" s="141">
        <v>1.115</v>
      </c>
      <c r="X641" s="141">
        <v>0.97</v>
      </c>
      <c r="Y641" s="141">
        <v>1.0449999999999999</v>
      </c>
      <c r="Z641" s="141">
        <v>0.995</v>
      </c>
      <c r="AA641" s="141">
        <v>1.0249999999999999</v>
      </c>
      <c r="AB641" s="143">
        <f>_xlfn.STDEV.P(D641:AA641)</f>
        <v>4.3475328252546477E-2</v>
      </c>
      <c r="AC641" s="143"/>
    </row>
    <row r="642" spans="1:29">
      <c r="A642" s="260"/>
      <c r="C642" t="s">
        <v>221</v>
      </c>
      <c r="D642" s="144">
        <v>0.41</v>
      </c>
      <c r="E642" s="144">
        <v>0.40500000000000003</v>
      </c>
      <c r="F642" s="144">
        <v>0.42</v>
      </c>
      <c r="G642" s="144">
        <v>0.32500000000000001</v>
      </c>
      <c r="H642" s="144">
        <v>0.42499999999999999</v>
      </c>
      <c r="I642" s="141">
        <v>0.41</v>
      </c>
      <c r="J642" s="145">
        <v>0.40500000000000003</v>
      </c>
      <c r="K642" s="144">
        <v>0.435</v>
      </c>
      <c r="L642" s="144">
        <v>0.32</v>
      </c>
      <c r="M642" s="144">
        <v>0.41499999999999998</v>
      </c>
      <c r="N642" s="144">
        <v>0.39500000000000002</v>
      </c>
      <c r="O642" s="141">
        <v>0.36499999999999999</v>
      </c>
      <c r="P642" s="145">
        <v>0.4</v>
      </c>
      <c r="Q642" s="144">
        <v>0.42499999999999999</v>
      </c>
      <c r="R642" s="144">
        <v>0.41</v>
      </c>
      <c r="S642" s="144">
        <v>0.41499999999999998</v>
      </c>
      <c r="T642" s="144">
        <v>0.41</v>
      </c>
      <c r="U642" s="141">
        <v>0.34</v>
      </c>
      <c r="V642" s="145">
        <v>0.45500000000000002</v>
      </c>
      <c r="W642" s="144">
        <v>0.32500000000000001</v>
      </c>
      <c r="X642" s="144">
        <v>0.38500000000000001</v>
      </c>
      <c r="Y642" s="144">
        <v>0.45</v>
      </c>
      <c r="Z642" s="144">
        <v>0.38</v>
      </c>
      <c r="AA642" s="144">
        <v>0.39500000000000002</v>
      </c>
      <c r="AB642" s="143">
        <f>_xlfn.STDEV.P(D642:AA642)</f>
        <v>3.6619287571199713E-2</v>
      </c>
      <c r="AC642" s="146"/>
    </row>
    <row r="643" spans="1:29">
      <c r="A643" s="260"/>
      <c r="B643" s="147" t="s">
        <v>1862</v>
      </c>
      <c r="D643" s="148" t="s">
        <v>1794</v>
      </c>
      <c r="E643" s="148" t="s">
        <v>1796</v>
      </c>
      <c r="F643" s="148" t="s">
        <v>1803</v>
      </c>
      <c r="G643" s="148" t="s">
        <v>1796</v>
      </c>
      <c r="H643" s="148" t="s">
        <v>1803</v>
      </c>
      <c r="I643" s="149" t="s">
        <v>1803</v>
      </c>
      <c r="J643" s="150" t="s">
        <v>1795</v>
      </c>
      <c r="K643" s="148" t="s">
        <v>1796</v>
      </c>
      <c r="L643" s="148" t="s">
        <v>1796</v>
      </c>
      <c r="M643" s="148" t="s">
        <v>1803</v>
      </c>
      <c r="N643" s="148" t="s">
        <v>1795</v>
      </c>
      <c r="O643" s="149" t="s">
        <v>1795</v>
      </c>
      <c r="P643" s="150" t="s">
        <v>1803</v>
      </c>
      <c r="Q643" s="148" t="s">
        <v>1796</v>
      </c>
      <c r="R643" s="148" t="s">
        <v>1796</v>
      </c>
      <c r="S643" s="148" t="s">
        <v>1796</v>
      </c>
      <c r="T643" s="148" t="s">
        <v>1803</v>
      </c>
      <c r="U643" s="149" t="s">
        <v>1803</v>
      </c>
      <c r="V643" s="150" t="s">
        <v>1803</v>
      </c>
      <c r="W643" s="148" t="s">
        <v>1795</v>
      </c>
      <c r="X643" s="148" t="s">
        <v>1803</v>
      </c>
      <c r="Y643" s="148" t="s">
        <v>1795</v>
      </c>
      <c r="Z643" s="148" t="s">
        <v>1794</v>
      </c>
      <c r="AA643" s="148" t="s">
        <v>1794</v>
      </c>
      <c r="AB643" s="143"/>
      <c r="AC643" s="151" t="s">
        <v>1957</v>
      </c>
    </row>
    <row r="644" spans="1:29">
      <c r="A644" s="260"/>
      <c r="B644" t="s">
        <v>1864</v>
      </c>
      <c r="C644" t="s">
        <v>40</v>
      </c>
      <c r="D644" s="141">
        <v>0.57499999999999996</v>
      </c>
      <c r="E644" s="141">
        <v>0.57499999999999996</v>
      </c>
      <c r="F644" s="141">
        <v>0.47499999999999998</v>
      </c>
      <c r="G644" s="141">
        <v>0.6</v>
      </c>
      <c r="H644" s="141">
        <v>0.42</v>
      </c>
      <c r="I644" s="141">
        <v>0.61</v>
      </c>
      <c r="J644" s="142">
        <v>0.62</v>
      </c>
      <c r="K644" s="141">
        <v>0.6</v>
      </c>
      <c r="L644" s="141">
        <v>0.58499999999999996</v>
      </c>
      <c r="M644" s="141">
        <v>0.55000000000000004</v>
      </c>
      <c r="N644" s="141">
        <v>0.49</v>
      </c>
      <c r="O644" s="141">
        <v>0.59499999999999997</v>
      </c>
      <c r="P644" s="142">
        <v>0.56000000000000005</v>
      </c>
      <c r="Q644" s="141">
        <v>0.53</v>
      </c>
      <c r="R644" s="141">
        <v>0.53500000000000003</v>
      </c>
      <c r="S644" s="141">
        <v>0.51</v>
      </c>
      <c r="T644" s="141">
        <v>0.57999999999999996</v>
      </c>
      <c r="U644" s="141">
        <v>0.6</v>
      </c>
      <c r="V644" s="142">
        <v>0.61499999999999999</v>
      </c>
      <c r="W644" s="141">
        <v>0.61</v>
      </c>
      <c r="X644" s="141">
        <v>0.61</v>
      </c>
      <c r="Y644" s="141">
        <v>0.57999999999999996</v>
      </c>
      <c r="Z644" s="141">
        <v>0.505</v>
      </c>
      <c r="AA644" s="141">
        <v>0.60499999999999998</v>
      </c>
      <c r="AB644" s="143">
        <f>_xlfn.STDEV.P(D644:AA644)</f>
        <v>5.1051019551251096E-2</v>
      </c>
      <c r="AC644" s="143"/>
    </row>
    <row r="645" spans="1:29">
      <c r="A645" s="260"/>
      <c r="C645" t="s">
        <v>220</v>
      </c>
      <c r="D645" s="141">
        <v>1.0149999999999999</v>
      </c>
      <c r="E645" s="141">
        <v>1.0149999999999999</v>
      </c>
      <c r="F645" s="141">
        <v>1.095</v>
      </c>
      <c r="G645" s="141">
        <v>1.01</v>
      </c>
      <c r="H645" s="141">
        <v>1.0249999999999999</v>
      </c>
      <c r="I645" s="141">
        <v>1.0249999999999999</v>
      </c>
      <c r="J645" s="142">
        <v>1.0249999999999999</v>
      </c>
      <c r="K645" s="141">
        <v>1.095</v>
      </c>
      <c r="L645" s="141">
        <v>0.94499999999999995</v>
      </c>
      <c r="M645" s="141">
        <v>1.06</v>
      </c>
      <c r="N645" s="141">
        <v>1.07</v>
      </c>
      <c r="O645" s="141">
        <v>1.03</v>
      </c>
      <c r="P645" s="142">
        <v>1.02</v>
      </c>
      <c r="Q645" s="141">
        <v>1.095</v>
      </c>
      <c r="R645" s="141">
        <v>1.03</v>
      </c>
      <c r="S645" s="141">
        <v>1.07</v>
      </c>
      <c r="T645" s="141">
        <v>1.0149999999999999</v>
      </c>
      <c r="U645" s="141">
        <v>1.01</v>
      </c>
      <c r="V645" s="142">
        <v>1.0349999999999999</v>
      </c>
      <c r="W645" s="141">
        <v>0.97499999999999998</v>
      </c>
      <c r="X645" s="141">
        <v>1.0549999999999999</v>
      </c>
      <c r="Y645" s="141">
        <v>1.0549999999999999</v>
      </c>
      <c r="Z645" s="141">
        <v>1.0549999999999999</v>
      </c>
      <c r="AA645" s="141">
        <v>1.0149999999999999</v>
      </c>
      <c r="AB645" s="143">
        <f>_xlfn.STDEV.P(D645:AA645)</f>
        <v>3.5472994422987951E-2</v>
      </c>
      <c r="AC645" s="143"/>
    </row>
    <row r="646" spans="1:29">
      <c r="A646" s="260"/>
      <c r="C646" t="s">
        <v>221</v>
      </c>
      <c r="D646" s="144">
        <v>0.41</v>
      </c>
      <c r="E646" s="144">
        <v>0.42499999999999999</v>
      </c>
      <c r="F646" s="144">
        <v>0.35499999999999998</v>
      </c>
      <c r="G646" s="144">
        <v>0.39</v>
      </c>
      <c r="H646" s="144">
        <v>0.42499999999999999</v>
      </c>
      <c r="I646" s="141">
        <v>0.39</v>
      </c>
      <c r="J646" s="145">
        <v>0.42</v>
      </c>
      <c r="K646" s="144">
        <v>0.375</v>
      </c>
      <c r="L646" s="144">
        <v>0.47</v>
      </c>
      <c r="M646" s="144">
        <v>0.41</v>
      </c>
      <c r="N646" s="144">
        <v>0.44500000000000001</v>
      </c>
      <c r="O646" s="141">
        <v>0.38</v>
      </c>
      <c r="P646" s="145">
        <v>0.43</v>
      </c>
      <c r="Q646" s="144">
        <v>0.48499999999999999</v>
      </c>
      <c r="R646" s="144">
        <v>0.34499999999999997</v>
      </c>
      <c r="S646" s="144">
        <v>0.42499999999999999</v>
      </c>
      <c r="T646" s="144">
        <v>0.41</v>
      </c>
      <c r="U646" s="141">
        <v>0.43</v>
      </c>
      <c r="V646" s="145">
        <v>0.435</v>
      </c>
      <c r="W646" s="144">
        <v>0.42499999999999999</v>
      </c>
      <c r="X646" s="144">
        <v>0.44500000000000001</v>
      </c>
      <c r="Y646" s="144">
        <v>0.45</v>
      </c>
      <c r="Z646" s="144">
        <v>0.42</v>
      </c>
      <c r="AA646" s="144">
        <v>0.39500000000000002</v>
      </c>
      <c r="AB646" s="143">
        <f>_xlfn.STDEV.P(D646:AA646)</f>
        <v>3.2443861771784606E-2</v>
      </c>
      <c r="AC646" s="146"/>
    </row>
    <row r="647" spans="1:29">
      <c r="A647" s="260"/>
      <c r="B647" s="147" t="s">
        <v>1865</v>
      </c>
      <c r="D647" s="148" t="s">
        <v>1795</v>
      </c>
      <c r="E647" s="148" t="s">
        <v>1796</v>
      </c>
      <c r="F647" s="148" t="s">
        <v>1796</v>
      </c>
      <c r="G647" s="148" t="s">
        <v>1795</v>
      </c>
      <c r="H647" s="148" t="s">
        <v>1795</v>
      </c>
      <c r="I647" s="149" t="s">
        <v>1803</v>
      </c>
      <c r="J647" s="150" t="s">
        <v>1795</v>
      </c>
      <c r="K647" s="148" t="s">
        <v>1803</v>
      </c>
      <c r="L647" s="148" t="s">
        <v>1796</v>
      </c>
      <c r="M647" s="148" t="s">
        <v>1795</v>
      </c>
      <c r="N647" s="148" t="s">
        <v>1803</v>
      </c>
      <c r="O647" s="149" t="s">
        <v>1803</v>
      </c>
      <c r="P647" s="150" t="s">
        <v>1795</v>
      </c>
      <c r="Q647" s="148" t="s">
        <v>1803</v>
      </c>
      <c r="R647" s="148" t="s">
        <v>1803</v>
      </c>
      <c r="S647" s="148" t="s">
        <v>1796</v>
      </c>
      <c r="T647" s="148" t="s">
        <v>1803</v>
      </c>
      <c r="U647" s="149" t="s">
        <v>1803</v>
      </c>
      <c r="V647" s="150" t="s">
        <v>1795</v>
      </c>
      <c r="W647" s="148" t="s">
        <v>1795</v>
      </c>
      <c r="X647" s="148" t="s">
        <v>1796</v>
      </c>
      <c r="Y647" s="148" t="s">
        <v>1795</v>
      </c>
      <c r="Z647" s="148" t="s">
        <v>1795</v>
      </c>
      <c r="AA647" s="148" t="s">
        <v>1794</v>
      </c>
      <c r="AB647" s="143"/>
      <c r="AC647" s="151" t="s">
        <v>1964</v>
      </c>
    </row>
    <row r="648" spans="1:29">
      <c r="A648" s="260"/>
      <c r="B648" t="s">
        <v>1867</v>
      </c>
      <c r="C648" t="s">
        <v>40</v>
      </c>
      <c r="D648" s="141">
        <v>0.57999999999999996</v>
      </c>
      <c r="E648" s="141">
        <v>0.56999999999999995</v>
      </c>
      <c r="F648" s="141">
        <v>0.54500000000000004</v>
      </c>
      <c r="G648" s="141">
        <v>0.51500000000000001</v>
      </c>
      <c r="H648" s="141">
        <v>0.58499999999999996</v>
      </c>
      <c r="I648" s="141">
        <v>0.495</v>
      </c>
      <c r="J648" s="142">
        <v>0.59</v>
      </c>
      <c r="K648" s="141">
        <v>0.63</v>
      </c>
      <c r="L648" s="141">
        <v>0.71</v>
      </c>
      <c r="M648" s="141">
        <v>0.63</v>
      </c>
      <c r="N648" s="141">
        <v>0.56999999999999995</v>
      </c>
      <c r="O648" s="141">
        <v>0.56999999999999995</v>
      </c>
      <c r="P648" s="142">
        <v>0.58499999999999996</v>
      </c>
      <c r="Q648" s="141">
        <v>0.58499999999999996</v>
      </c>
      <c r="R648" s="141">
        <v>0.56000000000000005</v>
      </c>
      <c r="S648" s="141">
        <v>0.54500000000000004</v>
      </c>
      <c r="T648" s="141">
        <v>0.57499999999999996</v>
      </c>
      <c r="U648" s="141">
        <v>0.57999999999999996</v>
      </c>
      <c r="V648" s="142">
        <v>0.53500000000000003</v>
      </c>
      <c r="W648" s="141">
        <v>0.46</v>
      </c>
      <c r="X648" s="141">
        <v>0.66500000000000004</v>
      </c>
      <c r="Y648" s="141">
        <v>0.62</v>
      </c>
      <c r="Z648" s="141">
        <v>0.64</v>
      </c>
      <c r="AA648" s="141">
        <v>0.47</v>
      </c>
      <c r="AB648" s="143">
        <f>_xlfn.STDEV.P(D648:AA648)</f>
        <v>5.6695764588037989E-2</v>
      </c>
      <c r="AC648" s="143"/>
    </row>
    <row r="649" spans="1:29">
      <c r="A649" s="260"/>
      <c r="C649" t="s">
        <v>220</v>
      </c>
      <c r="D649" s="141">
        <v>1.0149999999999999</v>
      </c>
      <c r="E649" s="141">
        <v>1.0149999999999999</v>
      </c>
      <c r="F649" s="141">
        <v>1.0149999999999999</v>
      </c>
      <c r="G649" s="141">
        <v>0.99</v>
      </c>
      <c r="H649" s="141">
        <v>1.02</v>
      </c>
      <c r="I649" s="141">
        <v>1.01</v>
      </c>
      <c r="J649" s="142">
        <v>1.0149999999999999</v>
      </c>
      <c r="K649" s="141">
        <v>1.01</v>
      </c>
      <c r="L649" s="141">
        <v>0.92500000000000004</v>
      </c>
      <c r="M649" s="141">
        <v>0.97</v>
      </c>
      <c r="N649" s="141">
        <v>1.01</v>
      </c>
      <c r="O649" s="141">
        <v>1.03</v>
      </c>
      <c r="P649" s="142">
        <v>1.0149999999999999</v>
      </c>
      <c r="Q649" s="141">
        <v>1.02</v>
      </c>
      <c r="R649" s="141">
        <v>1.04</v>
      </c>
      <c r="S649" s="141">
        <v>1.01</v>
      </c>
      <c r="T649" s="141">
        <v>1.03</v>
      </c>
      <c r="U649" s="141">
        <v>1.04</v>
      </c>
      <c r="V649" s="142">
        <v>1.04</v>
      </c>
      <c r="W649" s="141">
        <v>1.1100000000000001</v>
      </c>
      <c r="X649" s="141">
        <v>1.07</v>
      </c>
      <c r="Y649" s="141">
        <v>1.0149999999999999</v>
      </c>
      <c r="Z649" s="141">
        <v>0.97</v>
      </c>
      <c r="AA649" s="141">
        <v>1.05</v>
      </c>
      <c r="AB649" s="143">
        <f>_xlfn.STDEV.P(D649:AA649)</f>
        <v>3.4333308050152521E-2</v>
      </c>
      <c r="AC649" s="143"/>
    </row>
    <row r="650" spans="1:29">
      <c r="A650" s="260"/>
      <c r="C650" t="s">
        <v>221</v>
      </c>
      <c r="D650" s="144">
        <v>0.41499999999999998</v>
      </c>
      <c r="E650" s="144">
        <v>0.41499999999999998</v>
      </c>
      <c r="F650" s="144">
        <v>0.40500000000000003</v>
      </c>
      <c r="G650" s="144">
        <v>0.435</v>
      </c>
      <c r="H650" s="144">
        <v>0.435</v>
      </c>
      <c r="I650" s="141">
        <v>0.45500000000000002</v>
      </c>
      <c r="J650" s="145">
        <v>0.41</v>
      </c>
      <c r="K650" s="144">
        <v>0.44</v>
      </c>
      <c r="L650" s="144">
        <v>0.47</v>
      </c>
      <c r="M650" s="144">
        <v>0.40500000000000003</v>
      </c>
      <c r="N650" s="144">
        <v>0.36</v>
      </c>
      <c r="O650" s="141">
        <v>0.40500000000000003</v>
      </c>
      <c r="P650" s="145">
        <v>0.41499999999999998</v>
      </c>
      <c r="Q650" s="144">
        <v>0.42499999999999999</v>
      </c>
      <c r="R650" s="144">
        <v>0.47</v>
      </c>
      <c r="S650" s="144">
        <v>0.42499999999999999</v>
      </c>
      <c r="T650" s="144">
        <v>0.435</v>
      </c>
      <c r="U650" s="141">
        <v>0.47499999999999998</v>
      </c>
      <c r="V650" s="145">
        <v>0.45</v>
      </c>
      <c r="W650" s="144">
        <v>0.35499999999999998</v>
      </c>
      <c r="X650" s="144">
        <v>0.38500000000000001</v>
      </c>
      <c r="Y650" s="144">
        <v>0.45</v>
      </c>
      <c r="Z650" s="144">
        <v>0.38</v>
      </c>
      <c r="AA650" s="144">
        <v>0.41499999999999998</v>
      </c>
      <c r="AB650" s="143">
        <f>_xlfn.STDEV.P(D650:AA650)</f>
        <v>3.1355377883581982E-2</v>
      </c>
      <c r="AC650" s="146"/>
    </row>
    <row r="651" spans="1:29">
      <c r="A651" s="260"/>
      <c r="B651" s="147" t="s">
        <v>1868</v>
      </c>
      <c r="D651" s="148" t="s">
        <v>1794</v>
      </c>
      <c r="E651" s="148" t="s">
        <v>1796</v>
      </c>
      <c r="F651" s="148" t="s">
        <v>1796</v>
      </c>
      <c r="G651" s="148" t="s">
        <v>1796</v>
      </c>
      <c r="H651" s="148" t="s">
        <v>1795</v>
      </c>
      <c r="I651" s="149" t="s">
        <v>1803</v>
      </c>
      <c r="J651" s="150" t="s">
        <v>1795</v>
      </c>
      <c r="K651" s="148" t="s">
        <v>1803</v>
      </c>
      <c r="L651" s="148" t="s">
        <v>1796</v>
      </c>
      <c r="M651" s="148" t="s">
        <v>1795</v>
      </c>
      <c r="N651" s="148" t="s">
        <v>1795</v>
      </c>
      <c r="O651" s="149" t="s">
        <v>1795</v>
      </c>
      <c r="P651" s="150" t="s">
        <v>1795</v>
      </c>
      <c r="Q651" s="148" t="s">
        <v>1796</v>
      </c>
      <c r="R651" s="148" t="s">
        <v>1796</v>
      </c>
      <c r="S651" s="148" t="s">
        <v>1796</v>
      </c>
      <c r="T651" s="148" t="s">
        <v>1795</v>
      </c>
      <c r="U651" s="149" t="s">
        <v>1803</v>
      </c>
      <c r="V651" s="150" t="s">
        <v>1795</v>
      </c>
      <c r="W651" s="148" t="s">
        <v>1795</v>
      </c>
      <c r="X651" s="148" t="s">
        <v>1803</v>
      </c>
      <c r="Y651" s="148" t="s">
        <v>1795</v>
      </c>
      <c r="Z651" s="148" t="s">
        <v>1796</v>
      </c>
      <c r="AA651" s="148" t="s">
        <v>1794</v>
      </c>
      <c r="AB651" s="143"/>
      <c r="AC651" s="151" t="s">
        <v>1962</v>
      </c>
    </row>
    <row r="652" spans="1:29">
      <c r="A652" s="260"/>
      <c r="B652" s="153" t="s">
        <v>1869</v>
      </c>
      <c r="C652" s="153" t="s">
        <v>40</v>
      </c>
      <c r="D652" s="154">
        <v>0.57999999999999996</v>
      </c>
      <c r="E652" s="154">
        <v>0.57999999999999996</v>
      </c>
      <c r="F652" s="154">
        <v>0.40500000000000003</v>
      </c>
      <c r="G652" s="154">
        <v>0.56999999999999995</v>
      </c>
      <c r="H652" s="154">
        <v>0.435</v>
      </c>
      <c r="I652" s="154">
        <v>0.62</v>
      </c>
      <c r="J652" s="155">
        <v>0.55500000000000005</v>
      </c>
      <c r="K652" s="154">
        <v>0.48</v>
      </c>
      <c r="L652" s="154">
        <v>0.66500000000000004</v>
      </c>
      <c r="M652" s="154">
        <v>0.59</v>
      </c>
      <c r="N652" s="154">
        <v>0.42</v>
      </c>
      <c r="O652" s="154">
        <v>0.42</v>
      </c>
      <c r="P652" s="155">
        <v>0.57499999999999996</v>
      </c>
      <c r="Q652" s="154">
        <v>0.755</v>
      </c>
      <c r="R652" s="154">
        <v>0.64</v>
      </c>
      <c r="S652" s="154">
        <v>0.6</v>
      </c>
      <c r="T652" s="154">
        <v>0.59</v>
      </c>
      <c r="U652" s="154">
        <v>0.6</v>
      </c>
      <c r="V652" s="155">
        <v>0.69</v>
      </c>
      <c r="W652" s="154">
        <v>0.55500000000000005</v>
      </c>
      <c r="X652" s="154">
        <v>0.60499999999999998</v>
      </c>
      <c r="Y652" s="154">
        <v>0.57499999999999996</v>
      </c>
      <c r="Z652" s="154">
        <v>0.9</v>
      </c>
      <c r="AA652" s="154">
        <v>0.9</v>
      </c>
      <c r="AB652" s="156">
        <f>_xlfn.STDEV.P(D652:AA652)</f>
        <v>0.12410495530217847</v>
      </c>
      <c r="AC652" s="156"/>
    </row>
    <row r="653" spans="1:29">
      <c r="A653" s="260"/>
      <c r="B653" s="153"/>
      <c r="C653" s="153" t="s">
        <v>220</v>
      </c>
      <c r="D653" s="154">
        <v>1.02</v>
      </c>
      <c r="E653" s="154">
        <v>1.0149999999999999</v>
      </c>
      <c r="F653" s="154">
        <v>1.1100000000000001</v>
      </c>
      <c r="G653" s="154">
        <v>1.01</v>
      </c>
      <c r="H653" s="154">
        <v>1.08</v>
      </c>
      <c r="I653" s="154">
        <v>1.02</v>
      </c>
      <c r="J653" s="155">
        <v>1.01</v>
      </c>
      <c r="K653" s="154">
        <v>1.0549999999999999</v>
      </c>
      <c r="L653" s="154">
        <v>1.0049999999999999</v>
      </c>
      <c r="M653" s="154">
        <v>1.0449999999999999</v>
      </c>
      <c r="N653" s="154">
        <v>1.06</v>
      </c>
      <c r="O653" s="154">
        <v>1.06</v>
      </c>
      <c r="P653" s="155">
        <v>1.0149999999999999</v>
      </c>
      <c r="Q653" s="154">
        <v>0.98</v>
      </c>
      <c r="R653" s="154">
        <v>0.93</v>
      </c>
      <c r="S653" s="154">
        <v>1.03</v>
      </c>
      <c r="T653" s="154">
        <v>1.01</v>
      </c>
      <c r="U653" s="154">
        <v>0.97499999999999998</v>
      </c>
      <c r="V653" s="155">
        <v>0.94</v>
      </c>
      <c r="W653" s="154">
        <v>1.01</v>
      </c>
      <c r="X653" s="154">
        <v>1.04</v>
      </c>
      <c r="Y653" s="154">
        <v>0.98499999999999999</v>
      </c>
      <c r="Z653" s="154">
        <v>0.9</v>
      </c>
      <c r="AA653" s="154">
        <v>0.9</v>
      </c>
      <c r="AB653" s="156">
        <f>_xlfn.STDEV.P(D653:AA653)</f>
        <v>5.1203824048817126E-2</v>
      </c>
      <c r="AC653" s="156"/>
    </row>
    <row r="654" spans="1:29">
      <c r="A654" s="260"/>
      <c r="B654" s="153"/>
      <c r="C654" s="153" t="s">
        <v>221</v>
      </c>
      <c r="D654" s="157">
        <v>0.42499999999999999</v>
      </c>
      <c r="E654" s="157">
        <v>0.38500000000000001</v>
      </c>
      <c r="F654" s="157">
        <v>0.35</v>
      </c>
      <c r="G654" s="157">
        <v>0.43</v>
      </c>
      <c r="H654" s="157">
        <v>0.39</v>
      </c>
      <c r="I654" s="154">
        <v>0.39</v>
      </c>
      <c r="J654" s="158">
        <v>0.435</v>
      </c>
      <c r="K654" s="157">
        <v>0.38500000000000001</v>
      </c>
      <c r="L654" s="157">
        <v>0.435</v>
      </c>
      <c r="M654" s="157">
        <v>0.47499999999999998</v>
      </c>
      <c r="N654" s="157">
        <v>0.38</v>
      </c>
      <c r="O654" s="154">
        <v>0.38</v>
      </c>
      <c r="P654" s="158">
        <v>0.4</v>
      </c>
      <c r="Q654" s="157">
        <v>0.34</v>
      </c>
      <c r="R654" s="157">
        <v>0.43</v>
      </c>
      <c r="S654" s="157">
        <v>0.315</v>
      </c>
      <c r="T654" s="157">
        <v>0.40500000000000003</v>
      </c>
      <c r="U654" s="154">
        <v>0.38500000000000001</v>
      </c>
      <c r="V654" s="158">
        <v>0.44</v>
      </c>
      <c r="W654" s="157">
        <v>0.45</v>
      </c>
      <c r="X654" s="157">
        <v>0.44</v>
      </c>
      <c r="Y654" s="157">
        <v>0.41499999999999998</v>
      </c>
      <c r="Z654" s="157">
        <v>0.375</v>
      </c>
      <c r="AA654" s="157">
        <v>0.375</v>
      </c>
      <c r="AB654" s="156">
        <f>_xlfn.STDEV.P(D654:AA654)</f>
        <v>3.6890886408434263E-2</v>
      </c>
      <c r="AC654" s="164"/>
    </row>
    <row r="655" spans="1:29">
      <c r="A655" s="260"/>
      <c r="B655" s="159" t="s">
        <v>1870</v>
      </c>
      <c r="C655" s="153"/>
      <c r="D655" s="160" t="s">
        <v>1795</v>
      </c>
      <c r="E655" s="160" t="s">
        <v>1796</v>
      </c>
      <c r="F655" s="160" t="s">
        <v>1796</v>
      </c>
      <c r="G655" s="160" t="s">
        <v>1803</v>
      </c>
      <c r="H655" s="160" t="s">
        <v>1795</v>
      </c>
      <c r="I655" s="161" t="s">
        <v>1795</v>
      </c>
      <c r="J655" s="162" t="s">
        <v>1803</v>
      </c>
      <c r="K655" s="160" t="s">
        <v>1803</v>
      </c>
      <c r="L655" s="160" t="s">
        <v>1796</v>
      </c>
      <c r="M655" s="160" t="s">
        <v>1795</v>
      </c>
      <c r="N655" s="160" t="s">
        <v>1795</v>
      </c>
      <c r="O655" s="161" t="s">
        <v>1796</v>
      </c>
      <c r="P655" s="162" t="s">
        <v>1795</v>
      </c>
      <c r="Q655" s="160" t="s">
        <v>1795</v>
      </c>
      <c r="R655" s="160" t="s">
        <v>1803</v>
      </c>
      <c r="S655" s="160" t="s">
        <v>1796</v>
      </c>
      <c r="T655" s="160" t="s">
        <v>1795</v>
      </c>
      <c r="U655" s="161" t="s">
        <v>1803</v>
      </c>
      <c r="V655" s="162" t="s">
        <v>1795</v>
      </c>
      <c r="W655" s="160" t="s">
        <v>1795</v>
      </c>
      <c r="X655" s="160" t="s">
        <v>1796</v>
      </c>
      <c r="Y655" s="160" t="s">
        <v>1795</v>
      </c>
      <c r="Z655" s="160" t="s">
        <v>1795</v>
      </c>
      <c r="AA655" s="160" t="s">
        <v>1794</v>
      </c>
      <c r="AB655" s="156"/>
      <c r="AC655" s="165" t="s">
        <v>1965</v>
      </c>
    </row>
    <row r="656" spans="1:29">
      <c r="A656" s="260"/>
      <c r="B656" t="s">
        <v>1887</v>
      </c>
      <c r="C656" t="s">
        <v>40</v>
      </c>
      <c r="D656" s="141">
        <v>0.58499999999999996</v>
      </c>
      <c r="E656" s="141">
        <v>0.53</v>
      </c>
      <c r="F656" s="141">
        <v>0.71</v>
      </c>
      <c r="G656" s="141">
        <v>0.56999999999999995</v>
      </c>
      <c r="H656" s="141">
        <v>0.60499999999999998</v>
      </c>
      <c r="I656" s="141">
        <v>0.56000000000000005</v>
      </c>
      <c r="J656" s="142">
        <v>0.56499999999999995</v>
      </c>
      <c r="K656" s="141">
        <v>0.57499999999999996</v>
      </c>
      <c r="L656" s="141">
        <v>0.61499999999999999</v>
      </c>
      <c r="M656" s="141">
        <v>0.60499999999999998</v>
      </c>
      <c r="N656" s="141">
        <v>0.56000000000000005</v>
      </c>
      <c r="O656" s="141">
        <v>0.59</v>
      </c>
      <c r="P656" s="142">
        <v>0.55000000000000004</v>
      </c>
      <c r="Q656" s="141">
        <v>0.55500000000000005</v>
      </c>
      <c r="R656" s="141">
        <v>0.63</v>
      </c>
      <c r="S656" s="141">
        <v>0.625</v>
      </c>
      <c r="T656" s="141">
        <v>0.58499999999999996</v>
      </c>
      <c r="U656" s="141">
        <v>0.625</v>
      </c>
      <c r="V656" s="142">
        <v>0.57499999999999996</v>
      </c>
      <c r="W656" s="141">
        <v>0.49</v>
      </c>
      <c r="X656" s="141">
        <v>0.45500000000000002</v>
      </c>
      <c r="Y656" s="141">
        <v>0.57499999999999996</v>
      </c>
      <c r="Z656" s="141">
        <v>0.56999999999999995</v>
      </c>
      <c r="AA656" s="141">
        <v>0.57999999999999996</v>
      </c>
      <c r="AB656" s="143">
        <f>_xlfn.STDEV.P(D656:AA656)</f>
        <v>4.7903530808165784E-2</v>
      </c>
      <c r="AC656" s="143"/>
    </row>
    <row r="657" spans="1:29">
      <c r="A657" s="260"/>
      <c r="C657" t="s">
        <v>220</v>
      </c>
      <c r="D657" s="141">
        <v>1.0149999999999999</v>
      </c>
      <c r="E657" s="141">
        <v>1.0249999999999999</v>
      </c>
      <c r="F657" s="141">
        <v>0.90500000000000003</v>
      </c>
      <c r="G657" s="141">
        <v>1.0349999999999999</v>
      </c>
      <c r="H657" s="141">
        <v>1.01</v>
      </c>
      <c r="I657" s="141">
        <v>1.0249999999999999</v>
      </c>
      <c r="J657" s="142">
        <v>1.145</v>
      </c>
      <c r="K657" s="141">
        <v>1</v>
      </c>
      <c r="L657" s="141">
        <v>1.0149999999999999</v>
      </c>
      <c r="M657" s="141">
        <v>1.0249999999999999</v>
      </c>
      <c r="N657" s="141">
        <v>1.0349999999999999</v>
      </c>
      <c r="O657" s="141">
        <v>1.02</v>
      </c>
      <c r="P657" s="142">
        <v>1.02</v>
      </c>
      <c r="Q657" s="141">
        <v>0.97</v>
      </c>
      <c r="R657" s="141">
        <v>0.98499999999999999</v>
      </c>
      <c r="S657" s="141">
        <v>1.0449999999999999</v>
      </c>
      <c r="T657" s="141">
        <v>1.0049999999999999</v>
      </c>
      <c r="U657" s="141">
        <v>0.995</v>
      </c>
      <c r="V657" s="142">
        <v>1.04</v>
      </c>
      <c r="W657" s="141">
        <v>1.0149999999999999</v>
      </c>
      <c r="X657" s="141">
        <v>1.03</v>
      </c>
      <c r="Y657" s="141">
        <v>0.94</v>
      </c>
      <c r="Z657" s="141">
        <v>1.0149999999999999</v>
      </c>
      <c r="AA657" s="141">
        <v>1.0149999999999999</v>
      </c>
      <c r="AB657" s="143">
        <f>_xlfn.STDEV.P(D657:AA657)</f>
        <v>4.141381613262253E-2</v>
      </c>
      <c r="AC657" s="143"/>
    </row>
    <row r="658" spans="1:29">
      <c r="A658" s="260"/>
      <c r="C658" t="s">
        <v>221</v>
      </c>
      <c r="D658" s="144">
        <v>0.41499999999999998</v>
      </c>
      <c r="E658" s="144">
        <v>0.35499999999999998</v>
      </c>
      <c r="F658" s="144">
        <v>0.45500000000000002</v>
      </c>
      <c r="G658" s="144">
        <v>0.39500000000000002</v>
      </c>
      <c r="H658" s="144">
        <v>0.42499999999999999</v>
      </c>
      <c r="I658" s="141">
        <v>0.41499999999999998</v>
      </c>
      <c r="J658" s="145">
        <v>0.36</v>
      </c>
      <c r="K658" s="144">
        <v>0.4</v>
      </c>
      <c r="L658" s="144">
        <v>0.47</v>
      </c>
      <c r="M658" s="144">
        <v>0.43</v>
      </c>
      <c r="N658" s="144">
        <v>0.42</v>
      </c>
      <c r="O658" s="141">
        <v>0.39500000000000002</v>
      </c>
      <c r="P658" s="145">
        <v>0.44500000000000001</v>
      </c>
      <c r="Q658" s="144">
        <v>0.41499999999999998</v>
      </c>
      <c r="R658" s="144">
        <v>0.41</v>
      </c>
      <c r="S658" s="144">
        <v>0.44500000000000001</v>
      </c>
      <c r="T658" s="144">
        <v>0.41499999999999998</v>
      </c>
      <c r="U658" s="141">
        <v>0.39</v>
      </c>
      <c r="V658" s="145">
        <v>0.44500000000000001</v>
      </c>
      <c r="W658" s="144">
        <v>0.39</v>
      </c>
      <c r="X658" s="144">
        <v>0.42</v>
      </c>
      <c r="Y658" s="144">
        <v>0.375</v>
      </c>
      <c r="Z658" s="144">
        <v>0.46500000000000002</v>
      </c>
      <c r="AA658" s="144">
        <v>0.42</v>
      </c>
      <c r="AB658" s="143">
        <f>_xlfn.STDEV.P(D658:AA658)</f>
        <v>2.9400845603863541E-2</v>
      </c>
      <c r="AC658" s="146"/>
    </row>
    <row r="659" spans="1:29">
      <c r="A659" s="260"/>
      <c r="B659" s="147" t="s">
        <v>1888</v>
      </c>
      <c r="D659" s="148" t="s">
        <v>1794</v>
      </c>
      <c r="E659" s="148" t="s">
        <v>1794</v>
      </c>
      <c r="F659" s="148" t="s">
        <v>1794</v>
      </c>
      <c r="G659" s="148" t="s">
        <v>1794</v>
      </c>
      <c r="H659" s="148" t="s">
        <v>1794</v>
      </c>
      <c r="I659" s="149" t="s">
        <v>1794</v>
      </c>
      <c r="J659" s="150" t="s">
        <v>1794</v>
      </c>
      <c r="K659" s="148" t="s">
        <v>1794</v>
      </c>
      <c r="L659" s="148" t="s">
        <v>1794</v>
      </c>
      <c r="M659" s="148" t="s">
        <v>1794</v>
      </c>
      <c r="N659" s="148" t="s">
        <v>1794</v>
      </c>
      <c r="O659" s="149" t="s">
        <v>1794</v>
      </c>
      <c r="P659" s="150" t="s">
        <v>1794</v>
      </c>
      <c r="Q659" s="148" t="s">
        <v>1794</v>
      </c>
      <c r="R659" s="148" t="s">
        <v>1794</v>
      </c>
      <c r="S659" s="148" t="s">
        <v>1794</v>
      </c>
      <c r="T659" s="148" t="s">
        <v>1794</v>
      </c>
      <c r="U659" s="149" t="s">
        <v>1794</v>
      </c>
      <c r="V659" s="150" t="s">
        <v>1794</v>
      </c>
      <c r="W659" s="148" t="s">
        <v>1794</v>
      </c>
      <c r="X659" s="148" t="s">
        <v>1794</v>
      </c>
      <c r="Y659" s="148" t="s">
        <v>1794</v>
      </c>
      <c r="Z659" s="148" t="s">
        <v>1794</v>
      </c>
      <c r="AA659" s="148" t="s">
        <v>1794</v>
      </c>
      <c r="AB659" s="143"/>
      <c r="AC659" s="151" t="s">
        <v>1800</v>
      </c>
    </row>
    <row r="660" spans="1:29">
      <c r="A660" s="260"/>
      <c r="AB660" s="143"/>
    </row>
    <row r="661" spans="1:29">
      <c r="A661" s="260" t="s">
        <v>207</v>
      </c>
      <c r="B661" s="127" t="s">
        <v>1819</v>
      </c>
      <c r="C661" s="127" t="s">
        <v>40</v>
      </c>
      <c r="D661" s="128">
        <v>0.48499999999999999</v>
      </c>
      <c r="E661" s="128">
        <v>0.45500000000000002</v>
      </c>
      <c r="F661" s="128">
        <v>0.49</v>
      </c>
      <c r="G661" s="128">
        <v>0.51</v>
      </c>
      <c r="H661" s="128">
        <v>0.48</v>
      </c>
      <c r="I661" s="128">
        <v>0.48</v>
      </c>
      <c r="J661" s="129">
        <v>0.47499999999999998</v>
      </c>
      <c r="K661" s="128">
        <v>0.47499999999999998</v>
      </c>
      <c r="L661" s="128">
        <v>0.49</v>
      </c>
      <c r="M661" s="128">
        <v>0.48499999999999999</v>
      </c>
      <c r="N661" s="128">
        <v>0.47499999999999998</v>
      </c>
      <c r="O661" s="128">
        <v>0.47</v>
      </c>
      <c r="P661" s="129">
        <v>0.495</v>
      </c>
      <c r="Q661" s="128">
        <v>0.47499999999999998</v>
      </c>
      <c r="R661" s="128">
        <v>0.46</v>
      </c>
      <c r="S661" s="128">
        <v>0.495</v>
      </c>
      <c r="T661" s="128">
        <v>0.49</v>
      </c>
      <c r="U661" s="128">
        <v>0.47499999999999998</v>
      </c>
      <c r="V661" s="129">
        <v>0.47499999999999998</v>
      </c>
      <c r="W661" s="128">
        <v>0.47</v>
      </c>
      <c r="X661" s="128">
        <v>0.47</v>
      </c>
      <c r="Y661" s="128">
        <v>0.48</v>
      </c>
      <c r="Z661" s="128">
        <v>0.56499999999999995</v>
      </c>
      <c r="AA661" s="128">
        <v>0.495</v>
      </c>
      <c r="AB661" s="132">
        <f>_xlfn.STDEV.P(D661:AA661)</f>
        <v>2.0664944484695701E-2</v>
      </c>
      <c r="AC661" s="132"/>
    </row>
    <row r="662" spans="1:29">
      <c r="A662" s="260"/>
      <c r="B662" s="127"/>
      <c r="C662" s="127" t="s">
        <v>220</v>
      </c>
      <c r="D662" s="128">
        <v>0.995</v>
      </c>
      <c r="E662" s="128">
        <v>0.995</v>
      </c>
      <c r="F662" s="128">
        <v>1.0049999999999999</v>
      </c>
      <c r="G662" s="128">
        <v>0.99</v>
      </c>
      <c r="H662" s="128">
        <v>0.99</v>
      </c>
      <c r="I662" s="128">
        <v>1</v>
      </c>
      <c r="J662" s="129">
        <v>0.98499999999999999</v>
      </c>
      <c r="K662" s="128">
        <v>1.0049999999999999</v>
      </c>
      <c r="L662" s="128">
        <v>0.995</v>
      </c>
      <c r="M662" s="128">
        <v>0.995</v>
      </c>
      <c r="N662" s="128">
        <v>0.99</v>
      </c>
      <c r="O662" s="128">
        <v>0.99</v>
      </c>
      <c r="P662" s="129">
        <v>1.0049999999999999</v>
      </c>
      <c r="Q662" s="128">
        <v>0.98</v>
      </c>
      <c r="R662" s="128">
        <v>0.98499999999999999</v>
      </c>
      <c r="S662" s="128">
        <v>0.995</v>
      </c>
      <c r="T662" s="128">
        <v>0.99</v>
      </c>
      <c r="U662" s="128">
        <v>0.99</v>
      </c>
      <c r="V662" s="129">
        <v>0.995</v>
      </c>
      <c r="W662" s="128">
        <v>0.99</v>
      </c>
      <c r="X662" s="128">
        <v>0.98499999999999999</v>
      </c>
      <c r="Y662" s="128">
        <v>0.98499999999999999</v>
      </c>
      <c r="Z662" s="128">
        <v>0.97499999999999998</v>
      </c>
      <c r="AA662" s="128">
        <v>0.99</v>
      </c>
      <c r="AB662" s="132">
        <f>_xlfn.STDEV.P(D662:AA662)</f>
        <v>7.3124703228267503E-3</v>
      </c>
      <c r="AC662" s="132"/>
    </row>
    <row r="663" spans="1:29">
      <c r="A663" s="260"/>
      <c r="B663" s="127"/>
      <c r="C663" s="127" t="s">
        <v>221</v>
      </c>
      <c r="D663" s="133">
        <v>0.495</v>
      </c>
      <c r="E663" s="133">
        <v>0.505</v>
      </c>
      <c r="F663" s="133">
        <v>0.48</v>
      </c>
      <c r="G663" s="133">
        <v>0.49</v>
      </c>
      <c r="H663" s="133">
        <v>0.505</v>
      </c>
      <c r="I663" s="128">
        <v>0.49</v>
      </c>
      <c r="J663" s="134">
        <v>0.495</v>
      </c>
      <c r="K663" s="133">
        <v>0.47499999999999998</v>
      </c>
      <c r="L663" s="133">
        <v>0.48499999999999999</v>
      </c>
      <c r="M663" s="133">
        <v>0.47499999999999998</v>
      </c>
      <c r="N663" s="133">
        <v>0.495</v>
      </c>
      <c r="O663" s="128">
        <v>0.51500000000000001</v>
      </c>
      <c r="P663" s="134">
        <v>0.49</v>
      </c>
      <c r="Q663" s="133">
        <v>0.5</v>
      </c>
      <c r="R663" s="133">
        <v>0.47</v>
      </c>
      <c r="S663" s="133">
        <v>0.5</v>
      </c>
      <c r="T663" s="133">
        <v>0.5</v>
      </c>
      <c r="U663" s="128">
        <v>0.48</v>
      </c>
      <c r="V663" s="134">
        <v>0.5</v>
      </c>
      <c r="W663" s="133">
        <v>0.495</v>
      </c>
      <c r="X663" s="133">
        <v>0.5</v>
      </c>
      <c r="Y663" s="133">
        <v>0.49</v>
      </c>
      <c r="Z663" s="133">
        <v>0.48</v>
      </c>
      <c r="AA663" s="133">
        <v>0.48</v>
      </c>
      <c r="AB663" s="132">
        <f>_xlfn.STDEV.P(D663:AA663)</f>
        <v>1.1016086722001913E-2</v>
      </c>
      <c r="AC663" s="135"/>
    </row>
    <row r="664" spans="1:29">
      <c r="A664" s="260"/>
      <c r="B664" s="169" t="s">
        <v>1820</v>
      </c>
      <c r="C664" s="127"/>
      <c r="D664" s="137" t="s">
        <v>1794</v>
      </c>
      <c r="E664" s="137" t="s">
        <v>1794</v>
      </c>
      <c r="F664" s="137" t="s">
        <v>1794</v>
      </c>
      <c r="G664" s="137" t="s">
        <v>1794</v>
      </c>
      <c r="H664" s="137" t="s">
        <v>1794</v>
      </c>
      <c r="I664" s="138" t="s">
        <v>1794</v>
      </c>
      <c r="J664" s="139" t="s">
        <v>1794</v>
      </c>
      <c r="K664" s="137" t="s">
        <v>1794</v>
      </c>
      <c r="L664" s="137" t="s">
        <v>1794</v>
      </c>
      <c r="M664" s="137" t="s">
        <v>1794</v>
      </c>
      <c r="N664" s="137" t="s">
        <v>1794</v>
      </c>
      <c r="O664" s="138" t="s">
        <v>1794</v>
      </c>
      <c r="P664" s="139" t="s">
        <v>1794</v>
      </c>
      <c r="Q664" s="137" t="s">
        <v>1794</v>
      </c>
      <c r="R664" s="137" t="s">
        <v>1794</v>
      </c>
      <c r="S664" s="137" t="s">
        <v>1794</v>
      </c>
      <c r="T664" s="137" t="s">
        <v>1794</v>
      </c>
      <c r="U664" s="138" t="s">
        <v>1794</v>
      </c>
      <c r="V664" s="139" t="s">
        <v>1794</v>
      </c>
      <c r="W664" s="137" t="s">
        <v>1794</v>
      </c>
      <c r="X664" s="137" t="s">
        <v>1794</v>
      </c>
      <c r="Y664" s="137" t="s">
        <v>1794</v>
      </c>
      <c r="Z664" s="137" t="s">
        <v>1794</v>
      </c>
      <c r="AA664" s="137" t="s">
        <v>1794</v>
      </c>
      <c r="AB664" s="132"/>
      <c r="AC664" s="140" t="s">
        <v>1800</v>
      </c>
    </row>
    <row r="665" spans="1:29">
      <c r="A665" s="260"/>
      <c r="B665" t="s">
        <v>1798</v>
      </c>
      <c r="C665" t="s">
        <v>40</v>
      </c>
      <c r="D665" s="141">
        <v>0.495</v>
      </c>
      <c r="E665" s="141">
        <v>0.51</v>
      </c>
      <c r="F665" s="141">
        <v>0.48499999999999999</v>
      </c>
      <c r="G665" s="141">
        <v>0.51500000000000001</v>
      </c>
      <c r="H665" s="141">
        <v>0.48</v>
      </c>
      <c r="I665" s="141">
        <v>0.48</v>
      </c>
      <c r="J665" s="142">
        <v>0.49</v>
      </c>
      <c r="K665" s="141">
        <v>0.5</v>
      </c>
      <c r="L665" s="141">
        <v>0.5</v>
      </c>
      <c r="M665" s="141">
        <v>0.51</v>
      </c>
      <c r="N665" s="141">
        <v>0.56999999999999995</v>
      </c>
      <c r="O665" s="141">
        <v>0.38</v>
      </c>
      <c r="P665" s="142">
        <v>0.48</v>
      </c>
      <c r="Q665" s="141">
        <v>0.48</v>
      </c>
      <c r="R665" s="141">
        <v>0.46500000000000002</v>
      </c>
      <c r="S665" s="141">
        <v>0.495</v>
      </c>
      <c r="T665" s="141">
        <v>0.52</v>
      </c>
      <c r="U665" s="141">
        <v>0.52500000000000002</v>
      </c>
      <c r="V665" s="142">
        <v>0.52</v>
      </c>
      <c r="W665" s="141">
        <v>0.505</v>
      </c>
      <c r="X665" s="141">
        <v>0.48499999999999999</v>
      </c>
      <c r="Y665" s="141">
        <v>0.48</v>
      </c>
      <c r="Z665" s="141">
        <v>0.47499999999999998</v>
      </c>
      <c r="AA665" s="141">
        <v>0.495</v>
      </c>
      <c r="AB665" s="143">
        <f>_xlfn.STDEV.P(D665:AA665)</f>
        <v>3.2004773949452538E-2</v>
      </c>
      <c r="AC665" s="143"/>
    </row>
    <row r="666" spans="1:29">
      <c r="A666" s="260"/>
      <c r="C666" t="s">
        <v>220</v>
      </c>
      <c r="D666" s="141">
        <v>0.98499999999999999</v>
      </c>
      <c r="E666" s="141">
        <v>0.995</v>
      </c>
      <c r="F666" s="141">
        <v>0.99</v>
      </c>
      <c r="G666" s="141">
        <v>0.995</v>
      </c>
      <c r="H666" s="141">
        <v>0.98499999999999999</v>
      </c>
      <c r="I666" s="141">
        <v>0.98499999999999999</v>
      </c>
      <c r="J666" s="142">
        <v>0.99</v>
      </c>
      <c r="K666" s="141">
        <v>1.0049999999999999</v>
      </c>
      <c r="L666" s="141">
        <v>1.0149999999999999</v>
      </c>
      <c r="M666" s="141">
        <v>0.99</v>
      </c>
      <c r="N666" s="141">
        <v>0.99</v>
      </c>
      <c r="O666" s="141">
        <v>1.0249999999999999</v>
      </c>
      <c r="P666" s="142">
        <v>0.98499999999999999</v>
      </c>
      <c r="Q666" s="141">
        <v>0.99</v>
      </c>
      <c r="R666" s="141">
        <v>0.98499999999999999</v>
      </c>
      <c r="S666" s="141">
        <v>0.96</v>
      </c>
      <c r="T666" s="141">
        <v>0.995</v>
      </c>
      <c r="U666" s="141">
        <v>0.99</v>
      </c>
      <c r="V666" s="142">
        <v>1.0049999999999999</v>
      </c>
      <c r="W666" s="141">
        <v>1.0049999999999999</v>
      </c>
      <c r="X666" s="141">
        <v>0.98499999999999999</v>
      </c>
      <c r="Y666" s="141">
        <v>0.99</v>
      </c>
      <c r="Z666" s="141">
        <v>0.99</v>
      </c>
      <c r="AA666" s="141">
        <v>1</v>
      </c>
      <c r="AB666" s="143">
        <f>_xlfn.STDEV.P(D666:AA666)</f>
        <v>1.2154960121512329E-2</v>
      </c>
      <c r="AC666" s="143"/>
    </row>
    <row r="667" spans="1:29">
      <c r="A667" s="260"/>
      <c r="C667" t="s">
        <v>221</v>
      </c>
      <c r="D667" s="144">
        <v>0.495</v>
      </c>
      <c r="E667" s="144">
        <v>0.505</v>
      </c>
      <c r="F667" s="144">
        <v>0.49</v>
      </c>
      <c r="G667" s="144">
        <v>0.47499999999999998</v>
      </c>
      <c r="H667" s="144">
        <v>0.5</v>
      </c>
      <c r="I667" s="141">
        <v>0.495</v>
      </c>
      <c r="J667" s="145">
        <v>0.505</v>
      </c>
      <c r="K667" s="144">
        <v>0.48</v>
      </c>
      <c r="L667" s="144">
        <v>0.48499999999999999</v>
      </c>
      <c r="M667" s="144">
        <v>0.52500000000000002</v>
      </c>
      <c r="N667" s="144">
        <v>0.48499999999999999</v>
      </c>
      <c r="O667" s="141">
        <v>0.54</v>
      </c>
      <c r="P667" s="145">
        <v>0.47499999999999998</v>
      </c>
      <c r="Q667" s="144">
        <v>0.49</v>
      </c>
      <c r="R667" s="144">
        <v>0.505</v>
      </c>
      <c r="S667" s="144">
        <v>0.52</v>
      </c>
      <c r="T667" s="144">
        <v>0.45500000000000002</v>
      </c>
      <c r="U667" s="141">
        <v>0.51500000000000001</v>
      </c>
      <c r="V667" s="145">
        <v>0.48</v>
      </c>
      <c r="W667" s="144">
        <v>0.44500000000000001</v>
      </c>
      <c r="X667" s="144">
        <v>0.48</v>
      </c>
      <c r="Y667" s="144">
        <v>0.51</v>
      </c>
      <c r="Z667" s="144">
        <v>0.5</v>
      </c>
      <c r="AA667" s="144">
        <v>0.49</v>
      </c>
      <c r="AB667" s="143">
        <f>_xlfn.STDEV.P(D667:AA667)</f>
        <v>2.0740417800891954E-2</v>
      </c>
      <c r="AC667" s="146"/>
    </row>
    <row r="668" spans="1:29">
      <c r="A668" s="260"/>
      <c r="B668" s="147" t="s">
        <v>1799</v>
      </c>
      <c r="D668" s="148" t="s">
        <v>1794</v>
      </c>
      <c r="E668" s="148" t="s">
        <v>1794</v>
      </c>
      <c r="F668" s="148" t="s">
        <v>1794</v>
      </c>
      <c r="G668" s="148" t="s">
        <v>1794</v>
      </c>
      <c r="H668" s="148" t="s">
        <v>1794</v>
      </c>
      <c r="I668" s="149" t="s">
        <v>1794</v>
      </c>
      <c r="J668" s="150" t="s">
        <v>1794</v>
      </c>
      <c r="K668" s="148" t="s">
        <v>1794</v>
      </c>
      <c r="L668" s="148" t="s">
        <v>1794</v>
      </c>
      <c r="M668" s="148" t="s">
        <v>1794</v>
      </c>
      <c r="N668" s="148" t="s">
        <v>1794</v>
      </c>
      <c r="O668" s="149" t="s">
        <v>1794</v>
      </c>
      <c r="P668" s="150" t="s">
        <v>1794</v>
      </c>
      <c r="Q668" s="148" t="s">
        <v>1794</v>
      </c>
      <c r="R668" s="148" t="s">
        <v>1794</v>
      </c>
      <c r="S668" s="148" t="s">
        <v>1794</v>
      </c>
      <c r="T668" s="148" t="s">
        <v>1794</v>
      </c>
      <c r="U668" s="149" t="s">
        <v>1794</v>
      </c>
      <c r="V668" s="150" t="s">
        <v>1794</v>
      </c>
      <c r="W668" s="148" t="s">
        <v>1794</v>
      </c>
      <c r="X668" s="148" t="s">
        <v>1794</v>
      </c>
      <c r="Y668" s="148" t="s">
        <v>1794</v>
      </c>
      <c r="Z668" s="148" t="s">
        <v>1794</v>
      </c>
      <c r="AA668" s="148" t="s">
        <v>1794</v>
      </c>
      <c r="AB668" s="143"/>
      <c r="AC668" s="151" t="s">
        <v>1800</v>
      </c>
    </row>
    <row r="669" spans="1:29">
      <c r="A669" s="260"/>
      <c r="B669" t="s">
        <v>1801</v>
      </c>
      <c r="C669" t="s">
        <v>40</v>
      </c>
      <c r="D669" s="141">
        <v>0.48</v>
      </c>
      <c r="E669" s="141">
        <v>0.48499999999999999</v>
      </c>
      <c r="F669" s="141">
        <v>0.5</v>
      </c>
      <c r="G669" s="141">
        <v>0.49</v>
      </c>
      <c r="H669" s="141">
        <v>0.48499999999999999</v>
      </c>
      <c r="I669" s="141">
        <v>0.49</v>
      </c>
      <c r="J669" s="142">
        <v>0.48</v>
      </c>
      <c r="K669" s="141">
        <v>0.495</v>
      </c>
      <c r="L669" s="141">
        <v>0.47499999999999998</v>
      </c>
      <c r="M669" s="141">
        <v>0.48</v>
      </c>
      <c r="N669" s="141">
        <v>0.53500000000000003</v>
      </c>
      <c r="O669" s="141">
        <v>0.53500000000000003</v>
      </c>
      <c r="P669" s="142">
        <v>0.49</v>
      </c>
      <c r="Q669" s="141">
        <v>0.46500000000000002</v>
      </c>
      <c r="R669" s="141">
        <v>0.49</v>
      </c>
      <c r="S669" s="141">
        <v>0.46500000000000002</v>
      </c>
      <c r="T669" s="141">
        <v>0.495</v>
      </c>
      <c r="U669" s="141">
        <v>0.48</v>
      </c>
      <c r="V669" s="142">
        <v>0.48499999999999999</v>
      </c>
      <c r="W669" s="141">
        <v>0.5</v>
      </c>
      <c r="X669" s="141">
        <v>0.48</v>
      </c>
      <c r="Y669" s="141">
        <v>0.49</v>
      </c>
      <c r="Z669" s="141">
        <v>0.51</v>
      </c>
      <c r="AA669" s="141">
        <v>0.495</v>
      </c>
      <c r="AB669" s="143">
        <f>_xlfn.STDEV.P(D669:AA669)</f>
        <v>1.6789908923715666E-2</v>
      </c>
      <c r="AC669" s="143"/>
    </row>
    <row r="670" spans="1:29">
      <c r="A670" s="260"/>
      <c r="C670" t="s">
        <v>220</v>
      </c>
      <c r="D670" s="141">
        <v>0.995</v>
      </c>
      <c r="E670" s="141">
        <v>0.995</v>
      </c>
      <c r="F670" s="141">
        <v>0.99</v>
      </c>
      <c r="G670" s="141">
        <v>0.99</v>
      </c>
      <c r="H670" s="141">
        <v>0.995</v>
      </c>
      <c r="I670" s="141">
        <v>0.995</v>
      </c>
      <c r="J670" s="142">
        <v>0.995</v>
      </c>
      <c r="K670" s="141">
        <v>1</v>
      </c>
      <c r="L670" s="141">
        <v>0.97499999999999998</v>
      </c>
      <c r="M670" s="141">
        <v>1.0049999999999999</v>
      </c>
      <c r="N670" s="141">
        <v>0.97499999999999998</v>
      </c>
      <c r="O670" s="141">
        <v>0.99</v>
      </c>
      <c r="P670" s="142">
        <v>0.995</v>
      </c>
      <c r="Q670" s="141">
        <v>0.97</v>
      </c>
      <c r="R670" s="141">
        <v>1.04</v>
      </c>
      <c r="S670" s="141">
        <v>0.98499999999999999</v>
      </c>
      <c r="T670" s="141">
        <v>0.98499999999999999</v>
      </c>
      <c r="U670" s="141">
        <v>0.99</v>
      </c>
      <c r="V670" s="142">
        <v>0.995</v>
      </c>
      <c r="W670" s="141">
        <v>0.995</v>
      </c>
      <c r="X670" s="141">
        <v>1.0149999999999999</v>
      </c>
      <c r="Y670" s="141">
        <v>0.99</v>
      </c>
      <c r="Z670" s="141">
        <v>0.995</v>
      </c>
      <c r="AA670" s="141">
        <v>1</v>
      </c>
      <c r="AB670" s="143">
        <f>_xlfn.STDEV.P(D670:AA670)</f>
        <v>1.3383693955290852E-2</v>
      </c>
      <c r="AC670" s="143"/>
    </row>
    <row r="671" spans="1:29">
      <c r="A671" s="260"/>
      <c r="C671" t="s">
        <v>221</v>
      </c>
      <c r="D671" s="144">
        <v>0.49</v>
      </c>
      <c r="E671" s="144">
        <v>0.495</v>
      </c>
      <c r="F671" s="144">
        <v>0.48499999999999999</v>
      </c>
      <c r="G671" s="144">
        <v>0.46500000000000002</v>
      </c>
      <c r="H671" s="144">
        <v>0.5</v>
      </c>
      <c r="I671" s="141">
        <v>0.495</v>
      </c>
      <c r="J671" s="145">
        <v>0.495</v>
      </c>
      <c r="K671" s="144">
        <v>0.48</v>
      </c>
      <c r="L671" s="144">
        <v>0.54500000000000004</v>
      </c>
      <c r="M671" s="144">
        <v>0.505</v>
      </c>
      <c r="N671" s="144">
        <v>0.505</v>
      </c>
      <c r="O671" s="141">
        <v>0.52</v>
      </c>
      <c r="P671" s="145">
        <v>0.52</v>
      </c>
      <c r="Q671" s="144">
        <v>0.505</v>
      </c>
      <c r="R671" s="144">
        <v>0.54500000000000004</v>
      </c>
      <c r="S671" s="144">
        <v>0.54500000000000004</v>
      </c>
      <c r="T671" s="144">
        <v>0.51</v>
      </c>
      <c r="U671" s="141">
        <v>0.495</v>
      </c>
      <c r="V671" s="145">
        <v>0.505</v>
      </c>
      <c r="W671" s="144">
        <v>0.52500000000000002</v>
      </c>
      <c r="X671" s="144">
        <v>0.48499999999999999</v>
      </c>
      <c r="Y671" s="144">
        <v>0.51</v>
      </c>
      <c r="Z671" s="144">
        <v>0.48499999999999999</v>
      </c>
      <c r="AA671" s="144">
        <v>0.495</v>
      </c>
      <c r="AB671" s="143">
        <f>_xlfn.STDEV.P(D671:AA671)</f>
        <v>2.0274804766836445E-2</v>
      </c>
      <c r="AC671" s="146"/>
    </row>
    <row r="672" spans="1:29">
      <c r="A672" s="260"/>
      <c r="B672" s="147" t="s">
        <v>1802</v>
      </c>
      <c r="D672" s="148" t="s">
        <v>1794</v>
      </c>
      <c r="E672" s="148" t="s">
        <v>1794</v>
      </c>
      <c r="F672" s="148" t="s">
        <v>1794</v>
      </c>
      <c r="G672" s="148" t="s">
        <v>1794</v>
      </c>
      <c r="H672" s="148" t="s">
        <v>1794</v>
      </c>
      <c r="I672" s="149" t="s">
        <v>1794</v>
      </c>
      <c r="J672" s="150" t="s">
        <v>1803</v>
      </c>
      <c r="K672" s="148" t="s">
        <v>1796</v>
      </c>
      <c r="L672" s="148" t="s">
        <v>1796</v>
      </c>
      <c r="M672" s="148" t="s">
        <v>1794</v>
      </c>
      <c r="N672" s="148" t="s">
        <v>1796</v>
      </c>
      <c r="O672" s="149" t="s">
        <v>1796</v>
      </c>
      <c r="P672" s="150" t="s">
        <v>1796</v>
      </c>
      <c r="Q672" s="148" t="s">
        <v>1796</v>
      </c>
      <c r="R672" s="148" t="s">
        <v>1796</v>
      </c>
      <c r="S672" s="148" t="s">
        <v>1796</v>
      </c>
      <c r="T672" s="148" t="s">
        <v>1794</v>
      </c>
      <c r="U672" s="149" t="s">
        <v>1794</v>
      </c>
      <c r="V672" s="150" t="s">
        <v>1794</v>
      </c>
      <c r="W672" s="148" t="s">
        <v>1796</v>
      </c>
      <c r="X672" s="148" t="s">
        <v>1796</v>
      </c>
      <c r="Y672" s="148" t="s">
        <v>1794</v>
      </c>
      <c r="Z672" s="148" t="s">
        <v>1794</v>
      </c>
      <c r="AA672" s="148" t="s">
        <v>1794</v>
      </c>
      <c r="AB672" s="143"/>
      <c r="AC672" s="151" t="s">
        <v>1966</v>
      </c>
    </row>
    <row r="673" spans="1:29">
      <c r="A673" s="260"/>
      <c r="B673" t="s">
        <v>1805</v>
      </c>
      <c r="C673" t="s">
        <v>40</v>
      </c>
      <c r="D673" s="141">
        <v>0.495</v>
      </c>
      <c r="E673" s="141">
        <v>0.54</v>
      </c>
      <c r="F673" s="141">
        <v>0.52500000000000002</v>
      </c>
      <c r="G673" s="141">
        <v>0.55000000000000004</v>
      </c>
      <c r="H673" s="141">
        <v>0.47499999999999998</v>
      </c>
      <c r="I673" s="141">
        <v>0.49</v>
      </c>
      <c r="J673" s="142">
        <v>0.47499999999999998</v>
      </c>
      <c r="K673" s="141">
        <v>0.5</v>
      </c>
      <c r="L673" s="141">
        <v>0.53500000000000003</v>
      </c>
      <c r="M673" s="141">
        <v>0.45</v>
      </c>
      <c r="N673" s="141">
        <v>0.48499999999999999</v>
      </c>
      <c r="O673" s="141">
        <v>0.495</v>
      </c>
      <c r="P673" s="142">
        <v>0.49</v>
      </c>
      <c r="Q673" s="141">
        <v>0.505</v>
      </c>
      <c r="R673" s="141">
        <v>0.48499999999999999</v>
      </c>
      <c r="S673" s="141">
        <v>0.495</v>
      </c>
      <c r="T673" s="141">
        <v>0.495</v>
      </c>
      <c r="U673" s="141">
        <v>0.495</v>
      </c>
      <c r="V673" s="142">
        <v>0.5</v>
      </c>
      <c r="W673" s="141">
        <v>0.49</v>
      </c>
      <c r="X673" s="141">
        <v>0.48</v>
      </c>
      <c r="Y673" s="141">
        <v>0.56000000000000005</v>
      </c>
      <c r="Z673" s="141">
        <v>0.47</v>
      </c>
      <c r="AA673" s="141">
        <v>0.495</v>
      </c>
      <c r="AB673" s="143">
        <f>_xlfn.STDEV.P(D673:AA673)</f>
        <v>2.5412397182390262E-2</v>
      </c>
      <c r="AC673" s="143"/>
    </row>
    <row r="674" spans="1:29">
      <c r="A674" s="260"/>
      <c r="C674" t="s">
        <v>220</v>
      </c>
      <c r="D674" s="141">
        <v>0.995</v>
      </c>
      <c r="E674" s="141">
        <v>0.97499999999999998</v>
      </c>
      <c r="F674" s="141">
        <v>0.995</v>
      </c>
      <c r="G674" s="141">
        <v>1.0049999999999999</v>
      </c>
      <c r="H674" s="141">
        <v>1.0049999999999999</v>
      </c>
      <c r="I674" s="141">
        <v>0.98499999999999999</v>
      </c>
      <c r="J674" s="142">
        <v>0.99</v>
      </c>
      <c r="K674" s="141">
        <v>0.995</v>
      </c>
      <c r="L674" s="141">
        <v>0.995</v>
      </c>
      <c r="M674" s="141">
        <v>0.98</v>
      </c>
      <c r="N674" s="141">
        <v>1.01</v>
      </c>
      <c r="O674" s="141">
        <v>0.98</v>
      </c>
      <c r="P674" s="142">
        <v>0.99</v>
      </c>
      <c r="Q674" s="141">
        <v>0.97</v>
      </c>
      <c r="R674" s="141">
        <v>0.995</v>
      </c>
      <c r="S674" s="141">
        <v>0.995</v>
      </c>
      <c r="T674" s="141">
        <v>1.0049999999999999</v>
      </c>
      <c r="U674" s="141">
        <v>1.0149999999999999</v>
      </c>
      <c r="V674" s="142">
        <v>0.98</v>
      </c>
      <c r="W674" s="141">
        <v>0.98499999999999999</v>
      </c>
      <c r="X674" s="141">
        <v>1.01</v>
      </c>
      <c r="Y674" s="141">
        <v>1</v>
      </c>
      <c r="Z674" s="141">
        <v>0.99</v>
      </c>
      <c r="AA674" s="141">
        <v>0.98499999999999999</v>
      </c>
      <c r="AB674" s="143">
        <f>_xlfn.STDEV.P(D674:AA674)</f>
        <v>1.1448859720028393E-2</v>
      </c>
      <c r="AC674" s="143"/>
    </row>
    <row r="675" spans="1:29">
      <c r="A675" s="260"/>
      <c r="C675" t="s">
        <v>221</v>
      </c>
      <c r="D675" s="144">
        <v>0.495</v>
      </c>
      <c r="E675" s="144">
        <v>0.46500000000000002</v>
      </c>
      <c r="F675" s="144">
        <v>0.53500000000000003</v>
      </c>
      <c r="G675" s="144">
        <v>0.5</v>
      </c>
      <c r="H675" s="144">
        <v>0.51</v>
      </c>
      <c r="I675" s="141">
        <v>0.5</v>
      </c>
      <c r="J675" s="145">
        <v>0.5</v>
      </c>
      <c r="K675" s="144">
        <v>0.5</v>
      </c>
      <c r="L675" s="144">
        <v>0.51</v>
      </c>
      <c r="M675" s="144">
        <v>0.46500000000000002</v>
      </c>
      <c r="N675" s="144">
        <v>0.51</v>
      </c>
      <c r="O675" s="141">
        <v>0.495</v>
      </c>
      <c r="P675" s="145">
        <v>0.505</v>
      </c>
      <c r="Q675" s="144">
        <v>0.48</v>
      </c>
      <c r="R675" s="144">
        <v>0.505</v>
      </c>
      <c r="S675" s="144">
        <v>0.495</v>
      </c>
      <c r="T675" s="144">
        <v>0.47</v>
      </c>
      <c r="U675" s="141">
        <v>0.48</v>
      </c>
      <c r="V675" s="145">
        <v>0.53</v>
      </c>
      <c r="W675" s="144">
        <v>0.505</v>
      </c>
      <c r="X675" s="144">
        <v>0.49</v>
      </c>
      <c r="Y675" s="144">
        <v>0.51500000000000001</v>
      </c>
      <c r="Z675" s="144">
        <v>0.45</v>
      </c>
      <c r="AA675" s="144">
        <v>0.48</v>
      </c>
      <c r="AB675" s="143">
        <f>_xlfn.STDEV.P(D675:AA675)</f>
        <v>1.9838759761862362E-2</v>
      </c>
      <c r="AC675" s="146"/>
    </row>
    <row r="676" spans="1:29">
      <c r="A676" s="260"/>
      <c r="B676" s="147" t="s">
        <v>1806</v>
      </c>
      <c r="D676" s="148" t="s">
        <v>1796</v>
      </c>
      <c r="E676" s="148" t="s">
        <v>1796</v>
      </c>
      <c r="F676" s="148" t="s">
        <v>1796</v>
      </c>
      <c r="G676" s="148" t="s">
        <v>1794</v>
      </c>
      <c r="H676" s="148" t="s">
        <v>1794</v>
      </c>
      <c r="I676" s="149" t="s">
        <v>1794</v>
      </c>
      <c r="J676" s="150" t="s">
        <v>1794</v>
      </c>
      <c r="K676" s="148" t="s">
        <v>1796</v>
      </c>
      <c r="L676" s="148" t="s">
        <v>1796</v>
      </c>
      <c r="M676" s="148" t="s">
        <v>1796</v>
      </c>
      <c r="N676" s="148" t="s">
        <v>1796</v>
      </c>
      <c r="O676" s="149" t="s">
        <v>1794</v>
      </c>
      <c r="P676" s="150" t="s">
        <v>1803</v>
      </c>
      <c r="Q676" s="148" t="s">
        <v>1794</v>
      </c>
      <c r="R676" s="148" t="s">
        <v>1796</v>
      </c>
      <c r="S676" s="148" t="s">
        <v>1794</v>
      </c>
      <c r="T676" s="148" t="s">
        <v>1794</v>
      </c>
      <c r="U676" s="149" t="s">
        <v>1794</v>
      </c>
      <c r="V676" s="150" t="s">
        <v>1796</v>
      </c>
      <c r="W676" s="148" t="s">
        <v>1796</v>
      </c>
      <c r="X676" s="148" t="s">
        <v>1794</v>
      </c>
      <c r="Y676" s="148" t="s">
        <v>1794</v>
      </c>
      <c r="Z676" s="148" t="s">
        <v>1794</v>
      </c>
      <c r="AA676" s="148" t="s">
        <v>1794</v>
      </c>
      <c r="AB676" s="143"/>
      <c r="AC676" s="151" t="s">
        <v>1966</v>
      </c>
    </row>
    <row r="677" spans="1:29">
      <c r="A677" s="260"/>
      <c r="B677" t="s">
        <v>1807</v>
      </c>
      <c r="C677" t="s">
        <v>40</v>
      </c>
      <c r="D677" s="141">
        <v>0.48</v>
      </c>
      <c r="E677" s="141">
        <v>0.495</v>
      </c>
      <c r="F677" s="141">
        <v>0.505</v>
      </c>
      <c r="G677" s="141">
        <v>0.49</v>
      </c>
      <c r="H677" s="141">
        <v>0.48499999999999999</v>
      </c>
      <c r="I677" s="141">
        <v>0.48</v>
      </c>
      <c r="J677" s="142">
        <v>0.47</v>
      </c>
      <c r="K677" s="141">
        <v>0.47499999999999998</v>
      </c>
      <c r="L677" s="141">
        <v>0.51</v>
      </c>
      <c r="M677" s="141">
        <v>0.505</v>
      </c>
      <c r="N677" s="141">
        <v>0.5</v>
      </c>
      <c r="O677" s="141">
        <v>0.52500000000000002</v>
      </c>
      <c r="P677" s="142">
        <v>0.51500000000000001</v>
      </c>
      <c r="Q677" s="141">
        <v>0.48</v>
      </c>
      <c r="R677" s="141">
        <v>0.37</v>
      </c>
      <c r="S677" s="141">
        <v>0.48</v>
      </c>
      <c r="T677" s="141">
        <v>0.47499999999999998</v>
      </c>
      <c r="U677" s="141">
        <v>0.48</v>
      </c>
      <c r="V677" s="142">
        <v>0.5</v>
      </c>
      <c r="W677" s="141">
        <v>0.45</v>
      </c>
      <c r="X677" s="141">
        <v>0.48499999999999999</v>
      </c>
      <c r="Y677" s="141">
        <v>0.44</v>
      </c>
      <c r="Z677" s="141">
        <v>0.505</v>
      </c>
      <c r="AA677" s="141">
        <v>0.505</v>
      </c>
      <c r="AB677" s="143">
        <f>_xlfn.STDEV.P(D677:AA677)</f>
        <v>3.0464431674039522E-2</v>
      </c>
      <c r="AC677" s="143"/>
    </row>
    <row r="678" spans="1:29">
      <c r="A678" s="260"/>
      <c r="C678" t="s">
        <v>220</v>
      </c>
      <c r="D678" s="141">
        <v>1</v>
      </c>
      <c r="E678" s="141">
        <v>1.01</v>
      </c>
      <c r="F678" s="141">
        <v>1</v>
      </c>
      <c r="G678" s="141">
        <v>0.995</v>
      </c>
      <c r="H678" s="141">
        <v>0.99</v>
      </c>
      <c r="I678" s="141">
        <v>0.99</v>
      </c>
      <c r="J678" s="142">
        <v>0.98499999999999999</v>
      </c>
      <c r="K678" s="141">
        <v>0.995</v>
      </c>
      <c r="L678" s="141">
        <v>1.0349999999999999</v>
      </c>
      <c r="M678" s="141">
        <v>1.0049999999999999</v>
      </c>
      <c r="N678" s="141">
        <v>0.995</v>
      </c>
      <c r="O678" s="141">
        <v>0.995</v>
      </c>
      <c r="P678" s="142">
        <v>1</v>
      </c>
      <c r="Q678" s="141">
        <v>1.02</v>
      </c>
      <c r="R678" s="141">
        <v>0.98499999999999999</v>
      </c>
      <c r="S678" s="141">
        <v>0.99</v>
      </c>
      <c r="T678" s="141">
        <v>1</v>
      </c>
      <c r="U678" s="141">
        <v>0.995</v>
      </c>
      <c r="V678" s="142">
        <v>0.99</v>
      </c>
      <c r="W678" s="141">
        <v>0.995</v>
      </c>
      <c r="X678" s="141">
        <v>0.99</v>
      </c>
      <c r="Y678" s="141">
        <v>1.02</v>
      </c>
      <c r="Z678" s="141">
        <v>0.96</v>
      </c>
      <c r="AA678" s="141">
        <v>0.99</v>
      </c>
      <c r="AB678" s="143">
        <f>_xlfn.STDEV.P(D678:AA678)</f>
        <v>1.4062114192238502E-2</v>
      </c>
      <c r="AC678" s="143"/>
    </row>
    <row r="679" spans="1:29">
      <c r="A679" s="260"/>
      <c r="C679" t="s">
        <v>221</v>
      </c>
      <c r="D679" s="144">
        <v>0.44</v>
      </c>
      <c r="E679" s="144">
        <v>0.47499999999999998</v>
      </c>
      <c r="F679" s="144">
        <v>0.48</v>
      </c>
      <c r="G679" s="144">
        <v>0.495</v>
      </c>
      <c r="H679" s="144">
        <v>0.51</v>
      </c>
      <c r="I679" s="141">
        <v>0.505</v>
      </c>
      <c r="J679" s="145">
        <v>0.505</v>
      </c>
      <c r="K679" s="144">
        <v>0.53</v>
      </c>
      <c r="L679" s="144">
        <v>0.45500000000000002</v>
      </c>
      <c r="M679" s="144">
        <v>0.53</v>
      </c>
      <c r="N679" s="144">
        <v>0.61499999999999999</v>
      </c>
      <c r="O679" s="141">
        <v>0.51500000000000001</v>
      </c>
      <c r="P679" s="145">
        <v>0.46500000000000002</v>
      </c>
      <c r="Q679" s="144">
        <v>0.44</v>
      </c>
      <c r="R679" s="144">
        <v>0.47499999999999998</v>
      </c>
      <c r="S679" s="144">
        <v>0.495</v>
      </c>
      <c r="T679" s="144">
        <v>0.47499999999999998</v>
      </c>
      <c r="U679" s="141">
        <v>0.47499999999999998</v>
      </c>
      <c r="V679" s="145">
        <v>0.48</v>
      </c>
      <c r="W679" s="144">
        <v>0.46</v>
      </c>
      <c r="X679" s="144">
        <v>0.48499999999999999</v>
      </c>
      <c r="Y679" s="144">
        <v>0.55000000000000004</v>
      </c>
      <c r="Z679" s="144">
        <v>0.44</v>
      </c>
      <c r="AA679" s="144">
        <v>0.5</v>
      </c>
      <c r="AB679" s="143">
        <f>_xlfn.STDEV.P(D679:AA679)</f>
        <v>3.8391599739468471E-2</v>
      </c>
      <c r="AC679" s="146"/>
    </row>
    <row r="680" spans="1:29">
      <c r="A680" s="260"/>
      <c r="B680" s="147" t="s">
        <v>1808</v>
      </c>
      <c r="D680" s="148" t="s">
        <v>1796</v>
      </c>
      <c r="E680" s="148" t="s">
        <v>1796</v>
      </c>
      <c r="F680" s="148" t="s">
        <v>1794</v>
      </c>
      <c r="G680" s="148" t="s">
        <v>1794</v>
      </c>
      <c r="H680" s="148" t="s">
        <v>1794</v>
      </c>
      <c r="I680" s="149" t="s">
        <v>1794</v>
      </c>
      <c r="J680" s="150" t="s">
        <v>1794</v>
      </c>
      <c r="K680" s="148" t="s">
        <v>1796</v>
      </c>
      <c r="L680" s="148" t="s">
        <v>1796</v>
      </c>
      <c r="M680" s="148" t="s">
        <v>1796</v>
      </c>
      <c r="N680" s="148" t="s">
        <v>1796</v>
      </c>
      <c r="O680" s="149" t="s">
        <v>1796</v>
      </c>
      <c r="P680" s="150" t="s">
        <v>1796</v>
      </c>
      <c r="Q680" s="148" t="s">
        <v>1796</v>
      </c>
      <c r="R680" s="148" t="s">
        <v>1796</v>
      </c>
      <c r="S680" s="148" t="s">
        <v>1796</v>
      </c>
      <c r="T680" s="148" t="s">
        <v>1794</v>
      </c>
      <c r="U680" s="149" t="s">
        <v>1796</v>
      </c>
      <c r="V680" s="150" t="s">
        <v>1803</v>
      </c>
      <c r="W680" s="148" t="s">
        <v>1794</v>
      </c>
      <c r="X680" s="148" t="s">
        <v>1796</v>
      </c>
      <c r="Y680" s="148" t="s">
        <v>1796</v>
      </c>
      <c r="Z680" s="148" t="s">
        <v>1796</v>
      </c>
      <c r="AA680" s="148" t="s">
        <v>1794</v>
      </c>
      <c r="AB680" s="143"/>
      <c r="AC680" s="151" t="s">
        <v>1967</v>
      </c>
    </row>
    <row r="681" spans="1:29">
      <c r="A681" s="260"/>
      <c r="B681" t="s">
        <v>1809</v>
      </c>
      <c r="C681" t="s">
        <v>40</v>
      </c>
      <c r="D681" s="141">
        <v>0.47499999999999998</v>
      </c>
      <c r="E681" s="141">
        <v>0.46500000000000002</v>
      </c>
      <c r="F681" s="141">
        <v>0.48</v>
      </c>
      <c r="G681" s="141">
        <v>0.49</v>
      </c>
      <c r="H681" s="141">
        <v>0.48</v>
      </c>
      <c r="I681" s="141">
        <v>0.49</v>
      </c>
      <c r="J681" s="142">
        <v>0.47499999999999998</v>
      </c>
      <c r="K681" s="141">
        <v>0.48</v>
      </c>
      <c r="L681" s="141">
        <v>0.49</v>
      </c>
      <c r="M681" s="141">
        <v>0.57999999999999996</v>
      </c>
      <c r="N681" s="141">
        <v>0.34499999999999997</v>
      </c>
      <c r="O681" s="141">
        <v>0.36499999999999999</v>
      </c>
      <c r="P681" s="142">
        <v>0.5</v>
      </c>
      <c r="Q681" s="141">
        <v>0.49</v>
      </c>
      <c r="R681" s="141">
        <v>0.49</v>
      </c>
      <c r="S681" s="141">
        <v>0.505</v>
      </c>
      <c r="T681" s="141">
        <v>0.46500000000000002</v>
      </c>
      <c r="U681" s="141">
        <v>0.49</v>
      </c>
      <c r="V681" s="142">
        <v>0.48499999999999999</v>
      </c>
      <c r="W681" s="141">
        <v>0.44500000000000001</v>
      </c>
      <c r="X681" s="141">
        <v>0.46500000000000002</v>
      </c>
      <c r="Y681" s="141">
        <v>0.40500000000000003</v>
      </c>
      <c r="Z681" s="141">
        <v>0.435</v>
      </c>
      <c r="AA681" s="141">
        <v>0.44500000000000001</v>
      </c>
      <c r="AB681" s="143">
        <f>_xlfn.STDEV.P(D681:AA681)</f>
        <v>4.5889643439451559E-2</v>
      </c>
      <c r="AC681" s="143"/>
    </row>
    <row r="682" spans="1:29">
      <c r="A682" s="260"/>
      <c r="C682" t="s">
        <v>220</v>
      </c>
      <c r="D682" s="141">
        <v>0.99</v>
      </c>
      <c r="E682" s="141">
        <v>1.0049999999999999</v>
      </c>
      <c r="F682" s="141">
        <v>1</v>
      </c>
      <c r="G682" s="141">
        <v>0.99</v>
      </c>
      <c r="H682" s="141">
        <v>0.99</v>
      </c>
      <c r="I682" s="141">
        <v>0.99</v>
      </c>
      <c r="J682" s="142">
        <v>0.995</v>
      </c>
      <c r="K682" s="141">
        <v>1</v>
      </c>
      <c r="L682" s="141">
        <v>0.95</v>
      </c>
      <c r="M682" s="141">
        <v>1.0049999999999999</v>
      </c>
      <c r="N682" s="141">
        <v>1.0249999999999999</v>
      </c>
      <c r="O682" s="141">
        <v>1.03</v>
      </c>
      <c r="P682" s="142">
        <v>1.0249999999999999</v>
      </c>
      <c r="Q682" s="141">
        <v>1.0149999999999999</v>
      </c>
      <c r="R682" s="141">
        <v>1.01</v>
      </c>
      <c r="S682" s="141">
        <v>1</v>
      </c>
      <c r="T682" s="141">
        <v>0.99</v>
      </c>
      <c r="U682" s="141">
        <v>1.0449999999999999</v>
      </c>
      <c r="V682" s="142">
        <v>0.995</v>
      </c>
      <c r="W682" s="141">
        <v>0.995</v>
      </c>
      <c r="X682" s="141">
        <v>0.99</v>
      </c>
      <c r="Y682" s="141">
        <v>0.995</v>
      </c>
      <c r="Z682" s="141">
        <v>0.98499999999999999</v>
      </c>
      <c r="AA682" s="141">
        <v>1.0049999999999999</v>
      </c>
      <c r="AB682" s="143">
        <f>_xlfn.STDEV.P(D682:AA682)</f>
        <v>1.8238390523532728E-2</v>
      </c>
      <c r="AC682" s="143"/>
    </row>
    <row r="683" spans="1:29">
      <c r="A683" s="260"/>
      <c r="C683" t="s">
        <v>221</v>
      </c>
      <c r="D683" s="144">
        <v>0.495</v>
      </c>
      <c r="E683" s="144">
        <v>0.5</v>
      </c>
      <c r="F683" s="144">
        <v>0.49</v>
      </c>
      <c r="G683" s="144">
        <v>0.47499999999999998</v>
      </c>
      <c r="H683" s="144">
        <v>0.495</v>
      </c>
      <c r="I683" s="141">
        <v>0.5</v>
      </c>
      <c r="J683" s="145">
        <v>0.51500000000000001</v>
      </c>
      <c r="K683" s="144">
        <v>0.53</v>
      </c>
      <c r="L683" s="144">
        <v>0.51500000000000001</v>
      </c>
      <c r="M683" s="144">
        <v>0.52</v>
      </c>
      <c r="N683" s="144">
        <v>0.53500000000000003</v>
      </c>
      <c r="O683" s="141">
        <v>0.52</v>
      </c>
      <c r="P683" s="145">
        <v>0.43</v>
      </c>
      <c r="Q683" s="144">
        <v>0.47</v>
      </c>
      <c r="R683" s="144">
        <v>0.48</v>
      </c>
      <c r="S683" s="144">
        <v>0.495</v>
      </c>
      <c r="T683" s="144">
        <v>0.51</v>
      </c>
      <c r="U683" s="141">
        <v>0.44500000000000001</v>
      </c>
      <c r="V683" s="145">
        <v>0.52</v>
      </c>
      <c r="W683" s="144">
        <v>0.49</v>
      </c>
      <c r="X683" s="144">
        <v>0.54</v>
      </c>
      <c r="Y683" s="144">
        <v>0.46500000000000002</v>
      </c>
      <c r="Z683" s="144">
        <v>0.46500000000000002</v>
      </c>
      <c r="AA683" s="144">
        <v>0.52500000000000002</v>
      </c>
      <c r="AB683" s="143">
        <f>_xlfn.STDEV.P(D683:AA683)</f>
        <v>2.7719296076920863E-2</v>
      </c>
      <c r="AC683" s="146"/>
    </row>
    <row r="684" spans="1:29">
      <c r="A684" s="260"/>
      <c r="B684" s="147" t="s">
        <v>1810</v>
      </c>
      <c r="D684" s="148" t="s">
        <v>1794</v>
      </c>
      <c r="E684" s="148" t="s">
        <v>1803</v>
      </c>
      <c r="F684" s="148" t="s">
        <v>1794</v>
      </c>
      <c r="G684" s="148" t="s">
        <v>1794</v>
      </c>
      <c r="H684" s="148" t="s">
        <v>1794</v>
      </c>
      <c r="I684" s="149" t="s">
        <v>1794</v>
      </c>
      <c r="J684" s="150" t="s">
        <v>1796</v>
      </c>
      <c r="K684" s="148" t="s">
        <v>1796</v>
      </c>
      <c r="L684" s="148" t="s">
        <v>1796</v>
      </c>
      <c r="M684" s="148" t="s">
        <v>1803</v>
      </c>
      <c r="N684" s="148" t="s">
        <v>1794</v>
      </c>
      <c r="O684" s="149" t="s">
        <v>1796</v>
      </c>
      <c r="P684" s="150" t="s">
        <v>1796</v>
      </c>
      <c r="Q684" s="148" t="s">
        <v>1794</v>
      </c>
      <c r="R684" s="148" t="s">
        <v>1796</v>
      </c>
      <c r="S684" s="148" t="s">
        <v>1796</v>
      </c>
      <c r="T684" s="148" t="s">
        <v>1796</v>
      </c>
      <c r="U684" s="149" t="s">
        <v>1794</v>
      </c>
      <c r="V684" s="150" t="s">
        <v>1796</v>
      </c>
      <c r="W684" s="148" t="s">
        <v>1795</v>
      </c>
      <c r="X684" s="148" t="s">
        <v>1796</v>
      </c>
      <c r="Y684" s="148" t="s">
        <v>1794</v>
      </c>
      <c r="Z684" s="148" t="s">
        <v>1794</v>
      </c>
      <c r="AA684" s="148" t="s">
        <v>1794</v>
      </c>
      <c r="AB684" s="143"/>
      <c r="AC684" s="151" t="s">
        <v>1913</v>
      </c>
    </row>
    <row r="685" spans="1:29">
      <c r="A685" s="260"/>
      <c r="B685" t="s">
        <v>1811</v>
      </c>
      <c r="C685" t="s">
        <v>40</v>
      </c>
      <c r="D685" s="141">
        <v>0.48499999999999999</v>
      </c>
      <c r="E685" s="141">
        <v>0.47499999999999998</v>
      </c>
      <c r="F685" s="141">
        <v>0.47499999999999998</v>
      </c>
      <c r="G685" s="141">
        <v>0.48</v>
      </c>
      <c r="H685" s="141">
        <v>0.47499999999999998</v>
      </c>
      <c r="I685" s="141">
        <v>0.47</v>
      </c>
      <c r="J685" s="142">
        <v>0.46500000000000002</v>
      </c>
      <c r="K685" s="141">
        <v>0.45500000000000002</v>
      </c>
      <c r="L685" s="141">
        <v>0.46500000000000002</v>
      </c>
      <c r="M685" s="141">
        <v>0.47</v>
      </c>
      <c r="N685" s="141">
        <v>0.44500000000000001</v>
      </c>
      <c r="O685" s="141">
        <v>0.53</v>
      </c>
      <c r="P685" s="142">
        <v>0.53</v>
      </c>
      <c r="Q685" s="141">
        <v>0.495</v>
      </c>
      <c r="R685" s="141">
        <v>0.505</v>
      </c>
      <c r="S685" s="141">
        <v>0.5</v>
      </c>
      <c r="T685" s="141">
        <v>0.51</v>
      </c>
      <c r="U685" s="141">
        <v>0.5</v>
      </c>
      <c r="V685" s="142">
        <v>0.5</v>
      </c>
      <c r="W685" s="141">
        <v>0.495</v>
      </c>
      <c r="X685" s="141">
        <v>0.48499999999999999</v>
      </c>
      <c r="Y685" s="141">
        <v>0.48499999999999999</v>
      </c>
      <c r="Z685" s="141">
        <v>0.49</v>
      </c>
      <c r="AA685" s="141">
        <v>0.48499999999999999</v>
      </c>
      <c r="AB685" s="143">
        <f>_xlfn.STDEV.P(D685:AA685)</f>
        <v>2.0425168297960247E-2</v>
      </c>
      <c r="AC685" s="143"/>
    </row>
    <row r="686" spans="1:29">
      <c r="A686" s="260"/>
      <c r="C686" t="s">
        <v>220</v>
      </c>
      <c r="D686" s="141">
        <v>0.99</v>
      </c>
      <c r="E686" s="141">
        <v>0.995</v>
      </c>
      <c r="F686" s="141">
        <v>0.99</v>
      </c>
      <c r="G686" s="141">
        <v>0.99</v>
      </c>
      <c r="H686" s="141">
        <v>0.995</v>
      </c>
      <c r="I686" s="141">
        <v>0.995</v>
      </c>
      <c r="J686" s="142">
        <v>0.995</v>
      </c>
      <c r="K686" s="141">
        <v>0.995</v>
      </c>
      <c r="L686" s="141">
        <v>0.995</v>
      </c>
      <c r="M686" s="141">
        <v>0.99</v>
      </c>
      <c r="N686" s="141">
        <v>0.99</v>
      </c>
      <c r="O686" s="141">
        <v>0.99</v>
      </c>
      <c r="P686" s="142">
        <v>0.995</v>
      </c>
      <c r="Q686" s="141">
        <v>0.99</v>
      </c>
      <c r="R686" s="141">
        <v>0.995</v>
      </c>
      <c r="S686" s="141">
        <v>0.99</v>
      </c>
      <c r="T686" s="141">
        <v>0.99</v>
      </c>
      <c r="U686" s="141">
        <v>0.99</v>
      </c>
      <c r="V686" s="142">
        <v>0.995</v>
      </c>
      <c r="W686" s="141">
        <v>0.995</v>
      </c>
      <c r="X686" s="141">
        <v>0.995</v>
      </c>
      <c r="Y686" s="141">
        <v>0.99</v>
      </c>
      <c r="Z686" s="141">
        <v>0.99</v>
      </c>
      <c r="AA686" s="141">
        <v>0.995</v>
      </c>
      <c r="AB686" s="143">
        <f>_xlfn.STDEV.P(D686:AA686)</f>
        <v>2.5000000000000022E-3</v>
      </c>
      <c r="AC686" s="143"/>
    </row>
    <row r="687" spans="1:29">
      <c r="A687" s="260"/>
      <c r="C687" t="s">
        <v>221</v>
      </c>
      <c r="D687" s="144">
        <v>0.495</v>
      </c>
      <c r="E687" s="144">
        <v>0.5</v>
      </c>
      <c r="F687" s="144">
        <v>0.5</v>
      </c>
      <c r="G687" s="144">
        <v>0.5</v>
      </c>
      <c r="H687" s="144">
        <v>0.5</v>
      </c>
      <c r="I687" s="141">
        <v>0.5</v>
      </c>
      <c r="J687" s="145">
        <v>0.49</v>
      </c>
      <c r="K687" s="144">
        <v>0.505</v>
      </c>
      <c r="L687" s="144">
        <v>0.48499999999999999</v>
      </c>
      <c r="M687" s="144">
        <v>0.46500000000000002</v>
      </c>
      <c r="N687" s="144">
        <v>0.47499999999999998</v>
      </c>
      <c r="O687" s="141">
        <v>0.495</v>
      </c>
      <c r="P687" s="145">
        <v>0.495</v>
      </c>
      <c r="Q687" s="144">
        <v>0.495</v>
      </c>
      <c r="R687" s="144">
        <v>0.5</v>
      </c>
      <c r="S687" s="144">
        <v>0.51</v>
      </c>
      <c r="T687" s="144">
        <v>0.495</v>
      </c>
      <c r="U687" s="141">
        <v>0.49</v>
      </c>
      <c r="V687" s="145">
        <v>0.5</v>
      </c>
      <c r="W687" s="144">
        <v>0.5</v>
      </c>
      <c r="X687" s="144">
        <v>0.5</v>
      </c>
      <c r="Y687" s="144">
        <v>0.5</v>
      </c>
      <c r="Z687" s="144">
        <v>0.495</v>
      </c>
      <c r="AA687" s="144">
        <v>0.505</v>
      </c>
      <c r="AB687" s="143">
        <f>_xlfn.STDEV.P(D687:AA687)</f>
        <v>9.3888786160364578E-3</v>
      </c>
      <c r="AC687" s="146"/>
    </row>
    <row r="688" spans="1:29">
      <c r="A688" s="260"/>
      <c r="B688" s="147" t="s">
        <v>1812</v>
      </c>
      <c r="D688" s="148" t="s">
        <v>1794</v>
      </c>
      <c r="E688" s="148" t="s">
        <v>1794</v>
      </c>
      <c r="F688" s="148" t="s">
        <v>1794</v>
      </c>
      <c r="G688" s="148" t="s">
        <v>1794</v>
      </c>
      <c r="H688" s="148" t="s">
        <v>1794</v>
      </c>
      <c r="I688" s="149" t="s">
        <v>1794</v>
      </c>
      <c r="J688" s="150" t="s">
        <v>1794</v>
      </c>
      <c r="K688" s="148" t="s">
        <v>1794</v>
      </c>
      <c r="L688" s="148" t="s">
        <v>1794</v>
      </c>
      <c r="M688" s="148" t="s">
        <v>1794</v>
      </c>
      <c r="N688" s="148" t="s">
        <v>1794</v>
      </c>
      <c r="O688" s="149" t="s">
        <v>1794</v>
      </c>
      <c r="P688" s="150" t="s">
        <v>1794</v>
      </c>
      <c r="Q688" s="148" t="s">
        <v>1794</v>
      </c>
      <c r="R688" s="148" t="s">
        <v>1794</v>
      </c>
      <c r="S688" s="148" t="s">
        <v>1794</v>
      </c>
      <c r="T688" s="148" t="s">
        <v>1794</v>
      </c>
      <c r="U688" s="149" t="s">
        <v>1794</v>
      </c>
      <c r="V688" s="150" t="s">
        <v>1794</v>
      </c>
      <c r="W688" s="148" t="s">
        <v>1794</v>
      </c>
      <c r="X688" s="148" t="s">
        <v>1794</v>
      </c>
      <c r="Y688" s="148" t="s">
        <v>1794</v>
      </c>
      <c r="Z688" s="148" t="s">
        <v>1794</v>
      </c>
      <c r="AA688" s="148" t="s">
        <v>1794</v>
      </c>
      <c r="AB688" s="143"/>
      <c r="AC688" s="151" t="s">
        <v>1800</v>
      </c>
    </row>
    <row r="689" spans="1:29">
      <c r="A689" s="260"/>
      <c r="B689" t="s">
        <v>1813</v>
      </c>
      <c r="C689" t="s">
        <v>40</v>
      </c>
      <c r="D689" s="141">
        <v>0.5</v>
      </c>
      <c r="E689" s="141">
        <v>0.505</v>
      </c>
      <c r="F689" s="141">
        <v>0.45</v>
      </c>
      <c r="G689" s="141">
        <v>0.495</v>
      </c>
      <c r="H689" s="141">
        <v>0.46500000000000002</v>
      </c>
      <c r="I689" s="141">
        <v>0.47499999999999998</v>
      </c>
      <c r="J689" s="142">
        <v>0.49</v>
      </c>
      <c r="K689" s="141">
        <v>0.48499999999999999</v>
      </c>
      <c r="L689" s="141">
        <v>0.48499999999999999</v>
      </c>
      <c r="M689" s="141">
        <v>0.47</v>
      </c>
      <c r="N689" s="141">
        <v>0.58499999999999996</v>
      </c>
      <c r="O689" s="141">
        <v>0.54500000000000004</v>
      </c>
      <c r="P689" s="142">
        <v>0.435</v>
      </c>
      <c r="Q689" s="141">
        <v>0.49</v>
      </c>
      <c r="R689" s="141">
        <v>0.40500000000000003</v>
      </c>
      <c r="S689" s="141">
        <v>0.48</v>
      </c>
      <c r="T689" s="141">
        <v>0.49</v>
      </c>
      <c r="U689" s="141">
        <v>0.48</v>
      </c>
      <c r="V689" s="142">
        <v>0.505</v>
      </c>
      <c r="W689" s="141">
        <v>0.49</v>
      </c>
      <c r="X689" s="141">
        <v>0.45500000000000002</v>
      </c>
      <c r="Y689" s="141">
        <v>0.51</v>
      </c>
      <c r="Z689" s="141">
        <v>0.54</v>
      </c>
      <c r="AA689" s="141">
        <v>0.46500000000000002</v>
      </c>
      <c r="AB689" s="143">
        <f>_xlfn.STDEV.P(D689:AA689)</f>
        <v>3.5677349451562243E-2</v>
      </c>
      <c r="AC689" s="143"/>
    </row>
    <row r="690" spans="1:29">
      <c r="A690" s="260"/>
      <c r="C690" t="s">
        <v>220</v>
      </c>
      <c r="D690" s="141">
        <v>0.995</v>
      </c>
      <c r="E690" s="141">
        <v>0.995</v>
      </c>
      <c r="F690" s="141">
        <v>0.995</v>
      </c>
      <c r="G690" s="141">
        <v>0.98499999999999999</v>
      </c>
      <c r="H690" s="141">
        <v>1.0049999999999999</v>
      </c>
      <c r="I690" s="141">
        <v>1</v>
      </c>
      <c r="J690" s="142">
        <v>0.99</v>
      </c>
      <c r="K690" s="141">
        <v>0.99</v>
      </c>
      <c r="L690" s="141">
        <v>1.0049999999999999</v>
      </c>
      <c r="M690" s="141">
        <v>1</v>
      </c>
      <c r="N690" s="141">
        <v>0.97</v>
      </c>
      <c r="O690" s="141">
        <v>1.0049999999999999</v>
      </c>
      <c r="P690" s="142">
        <v>0.995</v>
      </c>
      <c r="Q690" s="141">
        <v>0.995</v>
      </c>
      <c r="R690" s="141">
        <v>0.98</v>
      </c>
      <c r="S690" s="141">
        <v>0.99</v>
      </c>
      <c r="T690" s="141">
        <v>0.95</v>
      </c>
      <c r="U690" s="141">
        <v>0.97499999999999998</v>
      </c>
      <c r="V690" s="142">
        <v>1.0049999999999999</v>
      </c>
      <c r="W690" s="141">
        <v>0.99</v>
      </c>
      <c r="X690" s="141">
        <v>0.95</v>
      </c>
      <c r="Y690" s="141">
        <v>1</v>
      </c>
      <c r="Z690" s="141">
        <v>1</v>
      </c>
      <c r="AA690" s="141">
        <v>1</v>
      </c>
      <c r="AB690" s="143">
        <f>_xlfn.STDEV.P(D690:AA690)</f>
        <v>1.510237058286619E-2</v>
      </c>
      <c r="AC690" s="143"/>
    </row>
    <row r="691" spans="1:29">
      <c r="A691" s="260"/>
      <c r="C691" t="s">
        <v>221</v>
      </c>
      <c r="D691" s="144">
        <v>0.505</v>
      </c>
      <c r="E691" s="144">
        <v>0.48</v>
      </c>
      <c r="F691" s="144">
        <v>0.5</v>
      </c>
      <c r="G691" s="144">
        <v>0.53</v>
      </c>
      <c r="H691" s="144">
        <v>0.5</v>
      </c>
      <c r="I691" s="141">
        <v>0.46500000000000002</v>
      </c>
      <c r="J691" s="145">
        <v>0.5</v>
      </c>
      <c r="K691" s="144">
        <v>0.5</v>
      </c>
      <c r="L691" s="144">
        <v>0.5</v>
      </c>
      <c r="M691" s="144">
        <v>0.48499999999999999</v>
      </c>
      <c r="N691" s="144">
        <v>0.51500000000000001</v>
      </c>
      <c r="O691" s="141">
        <v>0.53</v>
      </c>
      <c r="P691" s="145">
        <v>0.51500000000000001</v>
      </c>
      <c r="Q691" s="144">
        <v>0.5</v>
      </c>
      <c r="R691" s="144">
        <v>0.505</v>
      </c>
      <c r="S691" s="144">
        <v>0.49</v>
      </c>
      <c r="T691" s="144">
        <v>0.48499999999999999</v>
      </c>
      <c r="U691" s="141">
        <v>0.51</v>
      </c>
      <c r="V691" s="145">
        <v>0.48499999999999999</v>
      </c>
      <c r="W691" s="144">
        <v>0.51</v>
      </c>
      <c r="X691" s="144">
        <v>0.52500000000000002</v>
      </c>
      <c r="Y691" s="144">
        <v>0.51</v>
      </c>
      <c r="Z691" s="144">
        <v>0.51</v>
      </c>
      <c r="AA691" s="144">
        <v>0.51500000000000001</v>
      </c>
      <c r="AB691" s="143">
        <f>_xlfn.STDEV.P(D691:AA691)</f>
        <v>1.5472870523022627E-2</v>
      </c>
      <c r="AC691" s="146"/>
    </row>
    <row r="692" spans="1:29">
      <c r="A692" s="260"/>
      <c r="B692" s="147" t="s">
        <v>1814</v>
      </c>
      <c r="D692" s="148" t="s">
        <v>1795</v>
      </c>
      <c r="E692" s="148" t="s">
        <v>1803</v>
      </c>
      <c r="F692" s="148" t="s">
        <v>1796</v>
      </c>
      <c r="G692" s="148" t="s">
        <v>1795</v>
      </c>
      <c r="H692" s="148" t="s">
        <v>1794</v>
      </c>
      <c r="I692" s="149" t="s">
        <v>1794</v>
      </c>
      <c r="J692" s="150" t="s">
        <v>1794</v>
      </c>
      <c r="K692" s="148" t="s">
        <v>1796</v>
      </c>
      <c r="L692" s="148" t="s">
        <v>1796</v>
      </c>
      <c r="M692" s="148" t="s">
        <v>1796</v>
      </c>
      <c r="N692" s="148" t="s">
        <v>1794</v>
      </c>
      <c r="O692" s="149" t="s">
        <v>1794</v>
      </c>
      <c r="P692" s="150" t="s">
        <v>1803</v>
      </c>
      <c r="Q692" s="148" t="s">
        <v>1796</v>
      </c>
      <c r="R692" s="148" t="s">
        <v>1803</v>
      </c>
      <c r="S692" s="148" t="s">
        <v>1796</v>
      </c>
      <c r="T692" s="148" t="s">
        <v>1796</v>
      </c>
      <c r="U692" s="149" t="s">
        <v>1796</v>
      </c>
      <c r="V692" s="150" t="s">
        <v>1794</v>
      </c>
      <c r="W692" s="148" t="s">
        <v>1796</v>
      </c>
      <c r="X692" s="148" t="s">
        <v>1796</v>
      </c>
      <c r="Y692" s="148" t="s">
        <v>1794</v>
      </c>
      <c r="Z692" s="148" t="s">
        <v>1794</v>
      </c>
      <c r="AA692" s="148" t="s">
        <v>1794</v>
      </c>
      <c r="AB692" s="143"/>
      <c r="AC692" s="151" t="s">
        <v>1919</v>
      </c>
    </row>
    <row r="693" spans="1:29">
      <c r="A693" s="260"/>
      <c r="B693" t="s">
        <v>1815</v>
      </c>
      <c r="C693" t="s">
        <v>40</v>
      </c>
      <c r="D693" s="141">
        <v>0.48</v>
      </c>
      <c r="E693" s="141">
        <v>0.52500000000000002</v>
      </c>
      <c r="F693" s="141">
        <v>0.48499999999999999</v>
      </c>
      <c r="G693" s="141">
        <v>0.47</v>
      </c>
      <c r="H693" s="141">
        <v>0.53</v>
      </c>
      <c r="I693" s="141">
        <v>0.51500000000000001</v>
      </c>
      <c r="J693" s="142">
        <v>0.495</v>
      </c>
      <c r="K693" s="141">
        <v>0.52</v>
      </c>
      <c r="L693" s="141">
        <v>0.505</v>
      </c>
      <c r="M693" s="141">
        <v>0.48</v>
      </c>
      <c r="N693" s="141">
        <v>0.56499999999999995</v>
      </c>
      <c r="O693" s="141">
        <v>0.56999999999999995</v>
      </c>
      <c r="P693" s="142">
        <v>0.5</v>
      </c>
      <c r="Q693" s="141">
        <v>0.45500000000000002</v>
      </c>
      <c r="R693" s="141">
        <v>0.59</v>
      </c>
      <c r="S693" s="141">
        <v>0.51</v>
      </c>
      <c r="T693" s="141">
        <v>0.51</v>
      </c>
      <c r="U693" s="141">
        <v>0.52</v>
      </c>
      <c r="V693" s="142">
        <v>0.48499999999999999</v>
      </c>
      <c r="W693" s="141">
        <v>0.47</v>
      </c>
      <c r="X693" s="141">
        <v>0.46500000000000002</v>
      </c>
      <c r="Y693" s="141">
        <v>0.48499999999999999</v>
      </c>
      <c r="Z693" s="141">
        <v>0.495</v>
      </c>
      <c r="AA693" s="141">
        <v>0.46500000000000002</v>
      </c>
      <c r="AB693" s="143">
        <f>_xlfn.STDEV.P(D693:AA693)</f>
        <v>3.3827072491324647E-2</v>
      </c>
      <c r="AC693" s="143"/>
    </row>
    <row r="694" spans="1:29">
      <c r="A694" s="260"/>
      <c r="C694" t="s">
        <v>220</v>
      </c>
      <c r="D694" s="141">
        <v>0.99</v>
      </c>
      <c r="E694" s="141">
        <v>0.98</v>
      </c>
      <c r="F694" s="141">
        <v>0.98499999999999999</v>
      </c>
      <c r="G694" s="141">
        <v>1</v>
      </c>
      <c r="H694" s="141">
        <v>0.99</v>
      </c>
      <c r="I694" s="141">
        <v>0.99</v>
      </c>
      <c r="J694" s="142">
        <v>0.98499999999999999</v>
      </c>
      <c r="K694" s="141">
        <v>0.99</v>
      </c>
      <c r="L694" s="141">
        <v>1.01</v>
      </c>
      <c r="M694" s="141">
        <v>0.99</v>
      </c>
      <c r="N694" s="141">
        <v>0.97</v>
      </c>
      <c r="O694" s="141">
        <v>0.96499999999999997</v>
      </c>
      <c r="P694" s="142">
        <v>0.995</v>
      </c>
      <c r="Q694" s="141">
        <v>0.98499999999999999</v>
      </c>
      <c r="R694" s="141">
        <v>0.94499999999999995</v>
      </c>
      <c r="S694" s="141">
        <v>0.99</v>
      </c>
      <c r="T694" s="141">
        <v>0.995</v>
      </c>
      <c r="U694" s="141">
        <v>0.97499999999999998</v>
      </c>
      <c r="V694" s="142">
        <v>0.98499999999999999</v>
      </c>
      <c r="W694" s="141">
        <v>0.98499999999999999</v>
      </c>
      <c r="X694" s="141">
        <v>1.0049999999999999</v>
      </c>
      <c r="Y694" s="141">
        <v>0.98499999999999999</v>
      </c>
      <c r="Z694" s="141">
        <v>0.99</v>
      </c>
      <c r="AA694" s="141">
        <v>0.98</v>
      </c>
      <c r="AB694" s="143">
        <f>_xlfn.STDEV.P(D694:AA694)</f>
        <v>1.2883020694783594E-2</v>
      </c>
      <c r="AC694" s="143"/>
    </row>
    <row r="695" spans="1:29">
      <c r="A695" s="260"/>
      <c r="C695" t="s">
        <v>221</v>
      </c>
      <c r="D695" s="144">
        <v>0.53500000000000003</v>
      </c>
      <c r="E695" s="144">
        <v>0.52</v>
      </c>
      <c r="F695" s="144">
        <v>0.54</v>
      </c>
      <c r="G695" s="144">
        <v>0.51500000000000001</v>
      </c>
      <c r="H695" s="144">
        <v>0.46500000000000002</v>
      </c>
      <c r="I695" s="141">
        <v>0.53500000000000003</v>
      </c>
      <c r="J695" s="145">
        <v>0.54500000000000004</v>
      </c>
      <c r="K695" s="144">
        <v>0.53500000000000003</v>
      </c>
      <c r="L695" s="144">
        <v>0.51500000000000001</v>
      </c>
      <c r="M695" s="144">
        <v>0.56499999999999995</v>
      </c>
      <c r="N695" s="144">
        <v>0.49</v>
      </c>
      <c r="O695" s="141">
        <v>0.52500000000000002</v>
      </c>
      <c r="P695" s="145">
        <v>0.54500000000000004</v>
      </c>
      <c r="Q695" s="144">
        <v>0.55500000000000005</v>
      </c>
      <c r="R695" s="144">
        <v>0.48</v>
      </c>
      <c r="S695" s="144">
        <v>0.505</v>
      </c>
      <c r="T695" s="144">
        <v>0.52</v>
      </c>
      <c r="U695" s="141">
        <v>0.495</v>
      </c>
      <c r="V695" s="145">
        <v>0.52500000000000002</v>
      </c>
      <c r="W695" s="144">
        <v>0.55500000000000005</v>
      </c>
      <c r="X695" s="144">
        <v>0.51500000000000001</v>
      </c>
      <c r="Y695" s="144">
        <v>0.53500000000000003</v>
      </c>
      <c r="Z695" s="144">
        <v>0.54500000000000004</v>
      </c>
      <c r="AA695" s="144">
        <v>0.56000000000000005</v>
      </c>
      <c r="AB695" s="143">
        <f>_xlfn.STDEV.P(D695:AA695)</f>
        <v>2.4944382578492953E-2</v>
      </c>
      <c r="AC695" s="146"/>
    </row>
    <row r="696" spans="1:29">
      <c r="A696" s="260"/>
      <c r="B696" s="147" t="s">
        <v>1816</v>
      </c>
      <c r="D696" s="148" t="s">
        <v>1795</v>
      </c>
      <c r="E696" s="148" t="s">
        <v>1803</v>
      </c>
      <c r="F696" s="148" t="s">
        <v>1796</v>
      </c>
      <c r="G696" s="148" t="s">
        <v>1794</v>
      </c>
      <c r="H696" s="148" t="s">
        <v>1794</v>
      </c>
      <c r="I696" s="149" t="s">
        <v>1794</v>
      </c>
      <c r="J696" s="150" t="s">
        <v>1794</v>
      </c>
      <c r="K696" s="148" t="s">
        <v>1796</v>
      </c>
      <c r="L696" s="148" t="s">
        <v>1796</v>
      </c>
      <c r="M696" s="148" t="s">
        <v>1794</v>
      </c>
      <c r="N696" s="148" t="s">
        <v>1794</v>
      </c>
      <c r="O696" s="149" t="s">
        <v>1794</v>
      </c>
      <c r="P696" s="150" t="s">
        <v>1795</v>
      </c>
      <c r="Q696" s="148" t="s">
        <v>1796</v>
      </c>
      <c r="R696" s="148" t="s">
        <v>1794</v>
      </c>
      <c r="S696" s="148" t="s">
        <v>1796</v>
      </c>
      <c r="T696" s="148" t="s">
        <v>1796</v>
      </c>
      <c r="U696" s="149" t="s">
        <v>1794</v>
      </c>
      <c r="V696" s="150" t="s">
        <v>1794</v>
      </c>
      <c r="W696" s="148" t="s">
        <v>1794</v>
      </c>
      <c r="X696" s="148" t="s">
        <v>1794</v>
      </c>
      <c r="Y696" s="148" t="s">
        <v>1794</v>
      </c>
      <c r="Z696" s="148" t="s">
        <v>1794</v>
      </c>
      <c r="AA696" s="148" t="s">
        <v>1794</v>
      </c>
      <c r="AB696" s="143"/>
      <c r="AC696" s="151" t="s">
        <v>1896</v>
      </c>
    </row>
    <row r="697" spans="1:29">
      <c r="A697" s="260"/>
      <c r="B697" t="s">
        <v>1899</v>
      </c>
      <c r="C697" t="s">
        <v>40</v>
      </c>
      <c r="D697" s="141">
        <v>0.505</v>
      </c>
      <c r="E697" s="141">
        <v>0.48499999999999999</v>
      </c>
      <c r="F697" s="141">
        <v>0.52</v>
      </c>
      <c r="G697" s="141">
        <v>0.55500000000000005</v>
      </c>
      <c r="H697" s="141">
        <v>0.52</v>
      </c>
      <c r="I697" s="141">
        <v>0.48</v>
      </c>
      <c r="J697" s="142">
        <v>0.49</v>
      </c>
      <c r="K697" s="141">
        <v>0.49</v>
      </c>
      <c r="L697" s="141">
        <v>0.52500000000000002</v>
      </c>
      <c r="M697" s="141">
        <v>0.51500000000000001</v>
      </c>
      <c r="N697" s="141">
        <v>0.48</v>
      </c>
      <c r="O697" s="141">
        <v>0.38500000000000001</v>
      </c>
      <c r="P697" s="142">
        <v>0.495</v>
      </c>
      <c r="Q697" s="141">
        <v>0.53500000000000003</v>
      </c>
      <c r="R697" s="141">
        <v>0.375</v>
      </c>
      <c r="S697" s="141">
        <v>0.5</v>
      </c>
      <c r="T697" s="141">
        <v>0.51</v>
      </c>
      <c r="U697" s="141">
        <v>0.46500000000000002</v>
      </c>
      <c r="V697" s="142">
        <v>0.49</v>
      </c>
      <c r="W697" s="141">
        <v>0.49</v>
      </c>
      <c r="X697" s="141">
        <v>0.49</v>
      </c>
      <c r="Y697" s="141">
        <v>0.48</v>
      </c>
      <c r="Z697" s="141">
        <v>0.48</v>
      </c>
      <c r="AA697" s="141">
        <v>0.44500000000000001</v>
      </c>
      <c r="AB697" s="143">
        <f>_xlfn.STDEV.P(D697:AA697)</f>
        <v>3.9711962058749453E-2</v>
      </c>
      <c r="AC697" s="143"/>
    </row>
    <row r="698" spans="1:29">
      <c r="A698" s="260"/>
      <c r="C698" t="s">
        <v>220</v>
      </c>
      <c r="D698" s="141">
        <v>0.99</v>
      </c>
      <c r="E698" s="141">
        <v>0.97</v>
      </c>
      <c r="F698" s="141">
        <v>0.98499999999999999</v>
      </c>
      <c r="G698" s="141">
        <v>1</v>
      </c>
      <c r="H698" s="141">
        <v>1.04</v>
      </c>
      <c r="I698" s="141">
        <v>0.94499999999999995</v>
      </c>
      <c r="J698" s="142">
        <v>0.995</v>
      </c>
      <c r="K698" s="141">
        <v>1.0049999999999999</v>
      </c>
      <c r="L698" s="141">
        <v>1.04</v>
      </c>
      <c r="M698" s="141">
        <v>0.97499999999999998</v>
      </c>
      <c r="N698" s="141">
        <v>1</v>
      </c>
      <c r="O698" s="141">
        <v>1.01</v>
      </c>
      <c r="P698" s="142">
        <v>0.99</v>
      </c>
      <c r="Q698" s="141">
        <v>1.0349999999999999</v>
      </c>
      <c r="R698" s="141">
        <v>1.0149999999999999</v>
      </c>
      <c r="S698" s="141">
        <v>0.99</v>
      </c>
      <c r="T698" s="141">
        <v>0.99</v>
      </c>
      <c r="U698" s="141">
        <v>0.97</v>
      </c>
      <c r="V698" s="142">
        <v>0.995</v>
      </c>
      <c r="W698" s="141">
        <v>0.95499999999999996</v>
      </c>
      <c r="X698" s="141">
        <v>0.96</v>
      </c>
      <c r="Y698" s="141">
        <v>0.98499999999999999</v>
      </c>
      <c r="Z698" s="141">
        <v>0.995</v>
      </c>
      <c r="AA698" s="141">
        <v>1.0149999999999999</v>
      </c>
      <c r="AB698" s="143">
        <f>_xlfn.STDEV.P(D698:AA698)</f>
        <v>2.420614591379636E-2</v>
      </c>
      <c r="AC698" s="143"/>
    </row>
    <row r="699" spans="1:29">
      <c r="A699" s="260"/>
      <c r="C699" t="s">
        <v>221</v>
      </c>
      <c r="D699" s="144">
        <v>0.55000000000000004</v>
      </c>
      <c r="E699" s="144">
        <v>0.57999999999999996</v>
      </c>
      <c r="F699" s="144">
        <v>0.54</v>
      </c>
      <c r="G699" s="144">
        <v>0.56499999999999995</v>
      </c>
      <c r="H699" s="144">
        <v>0.47499999999999998</v>
      </c>
      <c r="I699" s="141">
        <v>0.57499999999999996</v>
      </c>
      <c r="J699" s="145">
        <v>0.54500000000000004</v>
      </c>
      <c r="K699" s="144">
        <v>0.54</v>
      </c>
      <c r="L699" s="144">
        <v>0.47</v>
      </c>
      <c r="M699" s="144">
        <v>0.52500000000000002</v>
      </c>
      <c r="N699" s="144">
        <v>0.53500000000000003</v>
      </c>
      <c r="O699" s="141">
        <v>0.53500000000000003</v>
      </c>
      <c r="P699" s="145">
        <v>0.54</v>
      </c>
      <c r="Q699" s="144">
        <v>0.48499999999999999</v>
      </c>
      <c r="R699" s="144">
        <v>0.54</v>
      </c>
      <c r="S699" s="144">
        <v>0.57499999999999996</v>
      </c>
      <c r="T699" s="144">
        <v>0.53500000000000003</v>
      </c>
      <c r="U699" s="141">
        <v>0.54</v>
      </c>
      <c r="V699" s="145">
        <v>0.54</v>
      </c>
      <c r="W699" s="144">
        <v>0.54</v>
      </c>
      <c r="X699" s="144">
        <v>0.55000000000000004</v>
      </c>
      <c r="Y699" s="144">
        <v>0.56499999999999995</v>
      </c>
      <c r="Z699" s="144">
        <v>0.55000000000000004</v>
      </c>
      <c r="AA699" s="144">
        <v>0.56999999999999995</v>
      </c>
      <c r="AB699" s="143">
        <f>_xlfn.STDEV.P(D699:AA699)</f>
        <v>2.8117282891883803E-2</v>
      </c>
      <c r="AC699" s="146"/>
    </row>
    <row r="700" spans="1:29">
      <c r="A700" s="260"/>
      <c r="B700" s="147" t="s">
        <v>1900</v>
      </c>
      <c r="D700" s="148" t="s">
        <v>1794</v>
      </c>
      <c r="E700" s="148" t="s">
        <v>1796</v>
      </c>
      <c r="F700" s="148" t="s">
        <v>1796</v>
      </c>
      <c r="G700" s="148" t="s">
        <v>1795</v>
      </c>
      <c r="H700" s="148" t="s">
        <v>1794</v>
      </c>
      <c r="I700" s="149" t="s">
        <v>1794</v>
      </c>
      <c r="J700" s="150" t="s">
        <v>1794</v>
      </c>
      <c r="K700" s="148" t="s">
        <v>1796</v>
      </c>
      <c r="L700" s="148" t="s">
        <v>1796</v>
      </c>
      <c r="M700" s="148" t="s">
        <v>1795</v>
      </c>
      <c r="N700" s="148" t="s">
        <v>1794</v>
      </c>
      <c r="O700" s="149" t="s">
        <v>1794</v>
      </c>
      <c r="P700" s="150" t="s">
        <v>1803</v>
      </c>
      <c r="Q700" s="148" t="s">
        <v>1794</v>
      </c>
      <c r="R700" s="148" t="s">
        <v>1796</v>
      </c>
      <c r="S700" s="148" t="s">
        <v>1796</v>
      </c>
      <c r="T700" s="148" t="s">
        <v>1803</v>
      </c>
      <c r="U700" s="149" t="s">
        <v>1803</v>
      </c>
      <c r="V700" s="150" t="s">
        <v>1794</v>
      </c>
      <c r="W700" s="148" t="s">
        <v>1796</v>
      </c>
      <c r="X700" s="148" t="s">
        <v>1796</v>
      </c>
      <c r="Y700" s="148" t="s">
        <v>1794</v>
      </c>
      <c r="Z700" s="148" t="s">
        <v>1794</v>
      </c>
      <c r="AA700" s="148" t="s">
        <v>1794</v>
      </c>
      <c r="AB700" s="143"/>
      <c r="AC700" s="151" t="s">
        <v>1920</v>
      </c>
    </row>
    <row r="701" spans="1:29">
      <c r="A701" s="260"/>
      <c r="B701" t="s">
        <v>1835</v>
      </c>
      <c r="C701" t="s">
        <v>40</v>
      </c>
      <c r="D701" s="141">
        <v>0.48499999999999999</v>
      </c>
      <c r="E701" s="141">
        <v>0.49</v>
      </c>
      <c r="F701" s="141">
        <v>0.49</v>
      </c>
      <c r="G701" s="141">
        <v>0.51500000000000001</v>
      </c>
      <c r="H701" s="141">
        <v>0.505</v>
      </c>
      <c r="I701" s="141">
        <v>0.48499999999999999</v>
      </c>
      <c r="J701" s="142">
        <v>0.5</v>
      </c>
      <c r="K701" s="141">
        <v>0.5</v>
      </c>
      <c r="L701" s="141">
        <v>0.54</v>
      </c>
      <c r="M701" s="141">
        <v>0.51500000000000001</v>
      </c>
      <c r="N701" s="141">
        <v>0.495</v>
      </c>
      <c r="O701" s="141">
        <v>0.49</v>
      </c>
      <c r="P701" s="142">
        <v>0.495</v>
      </c>
      <c r="Q701" s="141">
        <v>0.505</v>
      </c>
      <c r="R701" s="141">
        <v>0.375</v>
      </c>
      <c r="S701" s="141">
        <v>0.495</v>
      </c>
      <c r="T701" s="141">
        <v>0.495</v>
      </c>
      <c r="U701" s="141">
        <v>0.495</v>
      </c>
      <c r="V701" s="142">
        <v>0.47499999999999998</v>
      </c>
      <c r="W701" s="141">
        <v>0.5</v>
      </c>
      <c r="X701" s="141">
        <v>0.44500000000000001</v>
      </c>
      <c r="Y701" s="141">
        <v>0.48</v>
      </c>
      <c r="Z701" s="141">
        <v>0.47499999999999998</v>
      </c>
      <c r="AA701" s="141">
        <v>0.495</v>
      </c>
      <c r="AB701" s="143">
        <f>_xlfn.STDEV.P(D701:AA701)</f>
        <v>2.9214246904930179E-2</v>
      </c>
      <c r="AC701" s="143"/>
    </row>
    <row r="702" spans="1:29">
      <c r="A702" s="260"/>
      <c r="C702" t="s">
        <v>220</v>
      </c>
      <c r="D702" s="141">
        <v>0.95</v>
      </c>
      <c r="E702" s="141">
        <v>0.99</v>
      </c>
      <c r="F702" s="141">
        <v>0.98499999999999999</v>
      </c>
      <c r="G702" s="141">
        <v>1.0049999999999999</v>
      </c>
      <c r="H702" s="141">
        <v>1.02</v>
      </c>
      <c r="I702" s="141">
        <v>1.02</v>
      </c>
      <c r="J702" s="142">
        <v>0.95</v>
      </c>
      <c r="K702" s="141">
        <v>0.98499999999999999</v>
      </c>
      <c r="L702" s="141">
        <v>1.04</v>
      </c>
      <c r="M702" s="141">
        <v>0.96499999999999997</v>
      </c>
      <c r="N702" s="141">
        <v>1.0049999999999999</v>
      </c>
      <c r="O702" s="141">
        <v>0.99</v>
      </c>
      <c r="P702" s="142">
        <v>0.99</v>
      </c>
      <c r="Q702" s="141">
        <v>0.99</v>
      </c>
      <c r="R702" s="141">
        <v>1.0349999999999999</v>
      </c>
      <c r="S702" s="141">
        <v>0.995</v>
      </c>
      <c r="T702" s="141">
        <v>0.98499999999999999</v>
      </c>
      <c r="U702" s="141">
        <v>1.0049999999999999</v>
      </c>
      <c r="V702" s="142">
        <v>0.98499999999999999</v>
      </c>
      <c r="W702" s="141">
        <v>0.99</v>
      </c>
      <c r="X702" s="141">
        <v>0.97</v>
      </c>
      <c r="Y702" s="141">
        <v>0.99</v>
      </c>
      <c r="Z702" s="141">
        <v>0.92500000000000004</v>
      </c>
      <c r="AA702" s="141">
        <v>0.98499999999999999</v>
      </c>
      <c r="AB702" s="143">
        <f>_xlfn.STDEV.P(D702:AA702)</f>
        <v>2.5491692546570705E-2</v>
      </c>
      <c r="AC702" s="143"/>
    </row>
    <row r="703" spans="1:29">
      <c r="A703" s="260"/>
      <c r="C703" t="s">
        <v>221</v>
      </c>
      <c r="D703" s="144">
        <v>0.56499999999999995</v>
      </c>
      <c r="E703" s="144">
        <v>0.53500000000000003</v>
      </c>
      <c r="F703" s="144">
        <v>0.51500000000000001</v>
      </c>
      <c r="G703" s="144">
        <v>0.58499999999999996</v>
      </c>
      <c r="H703" s="144">
        <v>0.52500000000000002</v>
      </c>
      <c r="I703" s="141">
        <v>0.51500000000000001</v>
      </c>
      <c r="J703" s="145">
        <v>0.56999999999999995</v>
      </c>
      <c r="K703" s="144">
        <v>0.53500000000000003</v>
      </c>
      <c r="L703" s="144">
        <v>0.49</v>
      </c>
      <c r="M703" s="144">
        <v>0.52</v>
      </c>
      <c r="N703" s="144">
        <v>0.48</v>
      </c>
      <c r="O703" s="141">
        <v>0.55500000000000005</v>
      </c>
      <c r="P703" s="145">
        <v>0.53</v>
      </c>
      <c r="Q703" s="144">
        <v>0.54500000000000004</v>
      </c>
      <c r="R703" s="144">
        <v>0.57499999999999996</v>
      </c>
      <c r="S703" s="144">
        <v>0.54</v>
      </c>
      <c r="T703" s="144">
        <v>0.52500000000000002</v>
      </c>
      <c r="U703" s="141">
        <v>0.51</v>
      </c>
      <c r="V703" s="145">
        <v>0.52</v>
      </c>
      <c r="W703" s="144">
        <v>0.53</v>
      </c>
      <c r="X703" s="144">
        <v>0.54500000000000004</v>
      </c>
      <c r="Y703" s="144">
        <v>0.53</v>
      </c>
      <c r="Z703" s="144">
        <v>0.51</v>
      </c>
      <c r="AA703" s="144">
        <v>0.53500000000000003</v>
      </c>
      <c r="AB703" s="143">
        <f>_xlfn.STDEV.P(D703:AA703)</f>
        <v>2.4621263111835299E-2</v>
      </c>
      <c r="AC703" s="146"/>
    </row>
    <row r="704" spans="1:29">
      <c r="A704" s="260"/>
      <c r="B704" s="147" t="s">
        <v>1836</v>
      </c>
      <c r="D704" s="148" t="s">
        <v>1794</v>
      </c>
      <c r="E704" s="148" t="s">
        <v>1796</v>
      </c>
      <c r="F704" s="148" t="s">
        <v>1796</v>
      </c>
      <c r="G704" s="148" t="s">
        <v>1803</v>
      </c>
      <c r="H704" s="148" t="s">
        <v>1803</v>
      </c>
      <c r="I704" s="149" t="s">
        <v>1794</v>
      </c>
      <c r="J704" s="150" t="s">
        <v>1803</v>
      </c>
      <c r="K704" s="148" t="s">
        <v>1796</v>
      </c>
      <c r="L704" s="148" t="s">
        <v>1794</v>
      </c>
      <c r="M704" s="148" t="s">
        <v>1796</v>
      </c>
      <c r="N704" s="148" t="s">
        <v>1794</v>
      </c>
      <c r="O704" s="149" t="s">
        <v>1794</v>
      </c>
      <c r="P704" s="150" t="s">
        <v>1796</v>
      </c>
      <c r="Q704" s="148" t="s">
        <v>1796</v>
      </c>
      <c r="R704" s="148" t="s">
        <v>1796</v>
      </c>
      <c r="S704" s="148" t="s">
        <v>1796</v>
      </c>
      <c r="T704" s="148" t="s">
        <v>1794</v>
      </c>
      <c r="U704" s="149" t="s">
        <v>1796</v>
      </c>
      <c r="V704" s="150" t="s">
        <v>1796</v>
      </c>
      <c r="W704" s="148" t="s">
        <v>1796</v>
      </c>
      <c r="X704" s="148" t="s">
        <v>1794</v>
      </c>
      <c r="Y704" s="148" t="s">
        <v>1796</v>
      </c>
      <c r="Z704" s="148" t="s">
        <v>1794</v>
      </c>
      <c r="AA704" s="148" t="s">
        <v>1794</v>
      </c>
      <c r="AB704" s="143"/>
      <c r="AC704" s="151" t="s">
        <v>1936</v>
      </c>
    </row>
    <row r="705" spans="1:29">
      <c r="A705" s="260"/>
      <c r="B705" t="s">
        <v>1902</v>
      </c>
      <c r="C705" t="s">
        <v>40</v>
      </c>
      <c r="D705" s="141">
        <v>0.47499999999999998</v>
      </c>
      <c r="E705" s="141">
        <v>0.47</v>
      </c>
      <c r="F705" s="141">
        <v>0.48</v>
      </c>
      <c r="G705" s="141">
        <v>0.47</v>
      </c>
      <c r="H705" s="141">
        <v>0.47</v>
      </c>
      <c r="I705" s="141">
        <v>0.46500000000000002</v>
      </c>
      <c r="J705" s="142">
        <v>0.51</v>
      </c>
      <c r="K705" s="141">
        <v>0.49</v>
      </c>
      <c r="L705" s="141">
        <v>0.505</v>
      </c>
      <c r="M705" s="141">
        <v>0.505</v>
      </c>
      <c r="N705" s="141">
        <v>0.48</v>
      </c>
      <c r="O705" s="141">
        <v>0.48</v>
      </c>
      <c r="P705" s="142">
        <v>0.52500000000000002</v>
      </c>
      <c r="Q705" s="141">
        <v>0.46500000000000002</v>
      </c>
      <c r="R705" s="141">
        <v>0.48</v>
      </c>
      <c r="S705" s="141">
        <v>0.51500000000000001</v>
      </c>
      <c r="T705" s="141">
        <v>0.49</v>
      </c>
      <c r="U705" s="141">
        <v>0.48</v>
      </c>
      <c r="V705" s="142">
        <v>0.42</v>
      </c>
      <c r="W705" s="141">
        <v>0.48</v>
      </c>
      <c r="X705" s="141">
        <v>0.505</v>
      </c>
      <c r="Y705" s="141">
        <v>0.5</v>
      </c>
      <c r="Z705" s="141">
        <v>0.46500000000000002</v>
      </c>
      <c r="AA705" s="141">
        <v>0.48</v>
      </c>
      <c r="AB705" s="143">
        <f>_xlfn.STDEV.P(D705:AA705)</f>
        <v>2.1334594689273002E-2</v>
      </c>
      <c r="AC705" s="143"/>
    </row>
    <row r="706" spans="1:29">
      <c r="A706" s="260"/>
      <c r="C706" t="s">
        <v>220</v>
      </c>
      <c r="D706" s="141">
        <v>0.98</v>
      </c>
      <c r="E706" s="141">
        <v>0.99</v>
      </c>
      <c r="F706" s="141">
        <v>0.99</v>
      </c>
      <c r="G706" s="141">
        <v>0.99</v>
      </c>
      <c r="H706" s="141">
        <v>0.98499999999999999</v>
      </c>
      <c r="I706" s="141">
        <v>0.99</v>
      </c>
      <c r="J706" s="142">
        <v>0.98</v>
      </c>
      <c r="K706" s="141">
        <v>0.995</v>
      </c>
      <c r="L706" s="141">
        <v>0.99</v>
      </c>
      <c r="M706" s="141">
        <v>0.98</v>
      </c>
      <c r="N706" s="141">
        <v>0.99</v>
      </c>
      <c r="O706" s="141">
        <v>0.99</v>
      </c>
      <c r="P706" s="142">
        <v>0.99</v>
      </c>
      <c r="Q706" s="141">
        <v>0.99</v>
      </c>
      <c r="R706" s="141">
        <v>0.98499999999999999</v>
      </c>
      <c r="S706" s="141">
        <v>0.995</v>
      </c>
      <c r="T706" s="141">
        <v>0.995</v>
      </c>
      <c r="U706" s="141">
        <v>0.97499999999999998</v>
      </c>
      <c r="V706" s="142">
        <v>0.98</v>
      </c>
      <c r="W706" s="141">
        <v>0.99</v>
      </c>
      <c r="X706" s="141">
        <v>0.98499999999999999</v>
      </c>
      <c r="Y706" s="141">
        <v>0.99</v>
      </c>
      <c r="Z706" s="141">
        <v>0.98</v>
      </c>
      <c r="AA706" s="141">
        <v>0.99</v>
      </c>
      <c r="AB706" s="143">
        <f>_xlfn.STDEV.P(D706:AA706)</f>
        <v>5.3965974362452616E-3</v>
      </c>
      <c r="AC706" s="143"/>
    </row>
    <row r="707" spans="1:29">
      <c r="A707" s="260"/>
      <c r="C707" t="s">
        <v>221</v>
      </c>
      <c r="D707" s="144">
        <v>0.56499999999999995</v>
      </c>
      <c r="E707" s="144">
        <v>0.5</v>
      </c>
      <c r="F707" s="144">
        <v>0.53</v>
      </c>
      <c r="G707" s="144">
        <v>0.52500000000000002</v>
      </c>
      <c r="H707" s="144">
        <v>0.51500000000000001</v>
      </c>
      <c r="I707" s="141">
        <v>0.51500000000000001</v>
      </c>
      <c r="J707" s="145">
        <v>0.52</v>
      </c>
      <c r="K707" s="144">
        <v>0.51</v>
      </c>
      <c r="L707" s="144">
        <v>0.54</v>
      </c>
      <c r="M707" s="144">
        <v>0.53</v>
      </c>
      <c r="N707" s="144">
        <v>0.53500000000000003</v>
      </c>
      <c r="O707" s="141">
        <v>0.53500000000000003</v>
      </c>
      <c r="P707" s="145">
        <v>0.43</v>
      </c>
      <c r="Q707" s="144">
        <v>0.495</v>
      </c>
      <c r="R707" s="144">
        <v>0.47</v>
      </c>
      <c r="S707" s="144">
        <v>0.46</v>
      </c>
      <c r="T707" s="144">
        <v>0.47</v>
      </c>
      <c r="U707" s="141">
        <v>0.42499999999999999</v>
      </c>
      <c r="V707" s="145">
        <v>0.48499999999999999</v>
      </c>
      <c r="W707" s="144">
        <v>0.51</v>
      </c>
      <c r="X707" s="144">
        <v>0.53</v>
      </c>
      <c r="Y707" s="144">
        <v>0.54</v>
      </c>
      <c r="Z707" s="144">
        <v>0.56499999999999995</v>
      </c>
      <c r="AA707" s="144">
        <v>0.54500000000000004</v>
      </c>
      <c r="AB707" s="143">
        <f>_xlfn.STDEV.P(D707:AA707)</f>
        <v>3.6613953586334028E-2</v>
      </c>
      <c r="AC707" s="146"/>
    </row>
    <row r="708" spans="1:29">
      <c r="A708" s="260"/>
      <c r="B708" s="147" t="s">
        <v>1903</v>
      </c>
      <c r="D708" s="148" t="s">
        <v>1794</v>
      </c>
      <c r="E708" s="148" t="s">
        <v>1794</v>
      </c>
      <c r="F708" s="148" t="s">
        <v>1794</v>
      </c>
      <c r="G708" s="148" t="s">
        <v>1794</v>
      </c>
      <c r="H708" s="148" t="s">
        <v>1794</v>
      </c>
      <c r="I708" s="149" t="s">
        <v>1796</v>
      </c>
      <c r="J708" s="150" t="s">
        <v>1796</v>
      </c>
      <c r="K708" s="148" t="s">
        <v>1794</v>
      </c>
      <c r="L708" s="148" t="s">
        <v>1794</v>
      </c>
      <c r="M708" s="148" t="s">
        <v>1794</v>
      </c>
      <c r="N708" s="148" t="s">
        <v>1794</v>
      </c>
      <c r="O708" s="149" t="s">
        <v>1794</v>
      </c>
      <c r="P708" s="150" t="s">
        <v>1794</v>
      </c>
      <c r="Q708" s="148" t="s">
        <v>1794</v>
      </c>
      <c r="R708" s="148" t="s">
        <v>1794</v>
      </c>
      <c r="S708" s="148" t="s">
        <v>1794</v>
      </c>
      <c r="T708" s="148" t="s">
        <v>1794</v>
      </c>
      <c r="U708" s="149" t="s">
        <v>1794</v>
      </c>
      <c r="V708" s="150" t="s">
        <v>1794</v>
      </c>
      <c r="W708" s="148" t="s">
        <v>1794</v>
      </c>
      <c r="X708" s="148" t="s">
        <v>1794</v>
      </c>
      <c r="Y708" s="148" t="s">
        <v>1794</v>
      </c>
      <c r="Z708" s="148" t="s">
        <v>1794</v>
      </c>
      <c r="AA708" s="148" t="s">
        <v>1794</v>
      </c>
      <c r="AB708" s="143"/>
      <c r="AC708" s="151" t="s">
        <v>1901</v>
      </c>
    </row>
    <row r="709" spans="1:29">
      <c r="A709" s="260"/>
      <c r="B709" t="s">
        <v>1837</v>
      </c>
      <c r="C709" t="s">
        <v>40</v>
      </c>
      <c r="D709" s="141">
        <v>0.51</v>
      </c>
      <c r="E709" s="141">
        <v>0.46</v>
      </c>
      <c r="F709" s="141">
        <v>0.52</v>
      </c>
      <c r="G709" s="141">
        <v>0.51</v>
      </c>
      <c r="H709" s="141">
        <v>0.51</v>
      </c>
      <c r="I709" s="141">
        <v>0.46</v>
      </c>
      <c r="J709" s="142">
        <v>0.5</v>
      </c>
      <c r="K709" s="141">
        <v>0.52500000000000002</v>
      </c>
      <c r="L709" s="141">
        <v>0.44500000000000001</v>
      </c>
      <c r="M709" s="141">
        <v>0.55000000000000004</v>
      </c>
      <c r="N709" s="141">
        <v>0.5</v>
      </c>
      <c r="O709" s="141">
        <v>0.47</v>
      </c>
      <c r="P709" s="142">
        <v>0.47</v>
      </c>
      <c r="Q709" s="141">
        <v>0.48499999999999999</v>
      </c>
      <c r="R709" s="141">
        <v>0.48499999999999999</v>
      </c>
      <c r="S709" s="141">
        <v>0.505</v>
      </c>
      <c r="T709" s="141">
        <v>0.51500000000000001</v>
      </c>
      <c r="U709" s="141">
        <v>0.54500000000000004</v>
      </c>
      <c r="V709" s="142">
        <v>0.46</v>
      </c>
      <c r="W709" s="141">
        <v>0.48499999999999999</v>
      </c>
      <c r="X709" s="141">
        <v>0.495</v>
      </c>
      <c r="Y709" s="141">
        <v>0.46</v>
      </c>
      <c r="Z709" s="141">
        <v>0.505</v>
      </c>
      <c r="AA709" s="141">
        <v>0.48</v>
      </c>
      <c r="AB709" s="143">
        <f>_xlfn.STDEV.P(D709:AA709)</f>
        <v>2.7012728481217899E-2</v>
      </c>
      <c r="AC709" s="143"/>
    </row>
    <row r="710" spans="1:29">
      <c r="A710" s="260"/>
      <c r="C710" t="s">
        <v>220</v>
      </c>
      <c r="D710" s="141">
        <v>0.98</v>
      </c>
      <c r="E710" s="141">
        <v>0.95499999999999996</v>
      </c>
      <c r="F710" s="141">
        <v>1.0249999999999999</v>
      </c>
      <c r="G710" s="141">
        <v>1.0049999999999999</v>
      </c>
      <c r="H710" s="141">
        <v>0.97499999999999998</v>
      </c>
      <c r="I710" s="141">
        <v>1</v>
      </c>
      <c r="J710" s="142">
        <v>0.99</v>
      </c>
      <c r="K710" s="141">
        <v>1.01</v>
      </c>
      <c r="L710" s="141">
        <v>0.99</v>
      </c>
      <c r="M710" s="141">
        <v>0.99</v>
      </c>
      <c r="N710" s="141">
        <v>0.98</v>
      </c>
      <c r="O710" s="141">
        <v>0.995</v>
      </c>
      <c r="P710" s="142">
        <v>0.99</v>
      </c>
      <c r="Q710" s="141">
        <v>0.99</v>
      </c>
      <c r="R710" s="141">
        <v>1.01</v>
      </c>
      <c r="S710" s="141">
        <v>0.98499999999999999</v>
      </c>
      <c r="T710" s="141">
        <v>1</v>
      </c>
      <c r="U710" s="141">
        <v>0.99</v>
      </c>
      <c r="V710" s="142">
        <v>0.97499999999999998</v>
      </c>
      <c r="W710" s="141">
        <v>0.995</v>
      </c>
      <c r="X710" s="141">
        <v>0.995</v>
      </c>
      <c r="Y710" s="141">
        <v>0.96</v>
      </c>
      <c r="Z710" s="141">
        <v>1</v>
      </c>
      <c r="AA710" s="141">
        <v>0.995</v>
      </c>
      <c r="AB710" s="143">
        <f>_xlfn.STDEV.P(D710:AA710)</f>
        <v>1.504622507105649E-2</v>
      </c>
      <c r="AC710" s="143"/>
    </row>
    <row r="711" spans="1:29">
      <c r="A711" s="260"/>
      <c r="C711" t="s">
        <v>221</v>
      </c>
      <c r="D711" s="144">
        <v>0.51500000000000001</v>
      </c>
      <c r="E711" s="144">
        <v>0.52</v>
      </c>
      <c r="F711" s="144">
        <v>0.46</v>
      </c>
      <c r="G711" s="144">
        <v>0.54</v>
      </c>
      <c r="H711" s="144">
        <v>0.505</v>
      </c>
      <c r="I711" s="141">
        <v>0.495</v>
      </c>
      <c r="J711" s="145">
        <v>0.495</v>
      </c>
      <c r="K711" s="144">
        <v>0.47499999999999998</v>
      </c>
      <c r="L711" s="144">
        <v>0.51</v>
      </c>
      <c r="M711" s="144">
        <v>0.48499999999999999</v>
      </c>
      <c r="N711" s="144">
        <v>0.5</v>
      </c>
      <c r="O711" s="141">
        <v>0.48499999999999999</v>
      </c>
      <c r="P711" s="145">
        <v>0.53</v>
      </c>
      <c r="Q711" s="144">
        <v>0.51</v>
      </c>
      <c r="R711" s="144">
        <v>0.49</v>
      </c>
      <c r="S711" s="144">
        <v>0.51500000000000001</v>
      </c>
      <c r="T711" s="144">
        <v>0.505</v>
      </c>
      <c r="U711" s="141">
        <v>0.48499999999999999</v>
      </c>
      <c r="V711" s="145">
        <v>0.55000000000000004</v>
      </c>
      <c r="W711" s="144">
        <v>0.49</v>
      </c>
      <c r="X711" s="144">
        <v>0.48</v>
      </c>
      <c r="Y711" s="144">
        <v>0.53</v>
      </c>
      <c r="Z711" s="144">
        <v>0.47499999999999998</v>
      </c>
      <c r="AA711" s="144">
        <v>0.51</v>
      </c>
      <c r="AB711" s="143">
        <f>_xlfn.STDEV.P(D711:AA711)</f>
        <v>2.1553188408111598E-2</v>
      </c>
      <c r="AC711" s="146"/>
    </row>
    <row r="712" spans="1:29">
      <c r="A712" s="260"/>
      <c r="B712" s="147" t="s">
        <v>1838</v>
      </c>
      <c r="D712" s="148" t="s">
        <v>1796</v>
      </c>
      <c r="E712" s="148" t="s">
        <v>1796</v>
      </c>
      <c r="F712" s="148" t="s">
        <v>1796</v>
      </c>
      <c r="G712" s="148" t="s">
        <v>1796</v>
      </c>
      <c r="H712" s="148" t="s">
        <v>1796</v>
      </c>
      <c r="I712" s="149" t="s">
        <v>1796</v>
      </c>
      <c r="J712" s="150" t="s">
        <v>1796</v>
      </c>
      <c r="K712" s="148" t="s">
        <v>1803</v>
      </c>
      <c r="L712" s="148" t="s">
        <v>1796</v>
      </c>
      <c r="M712" s="148" t="s">
        <v>1796</v>
      </c>
      <c r="N712" s="148" t="s">
        <v>1796</v>
      </c>
      <c r="O712" s="149" t="s">
        <v>1796</v>
      </c>
      <c r="P712" s="150" t="s">
        <v>1794</v>
      </c>
      <c r="Q712" s="148" t="s">
        <v>1794</v>
      </c>
      <c r="R712" s="148" t="s">
        <v>1796</v>
      </c>
      <c r="S712" s="148" t="s">
        <v>1794</v>
      </c>
      <c r="T712" s="148" t="s">
        <v>1794</v>
      </c>
      <c r="U712" s="149" t="s">
        <v>1796</v>
      </c>
      <c r="V712" s="150" t="s">
        <v>1794</v>
      </c>
      <c r="W712" s="148" t="s">
        <v>1794</v>
      </c>
      <c r="X712" s="148" t="s">
        <v>1794</v>
      </c>
      <c r="Y712" s="148" t="s">
        <v>1794</v>
      </c>
      <c r="Z712" s="148" t="s">
        <v>1794</v>
      </c>
      <c r="AA712" s="148" t="s">
        <v>1794</v>
      </c>
      <c r="AB712" s="143"/>
      <c r="AC712" s="151" t="s">
        <v>1968</v>
      </c>
    </row>
    <row r="713" spans="1:29">
      <c r="A713" s="260"/>
      <c r="B713" t="s">
        <v>1839</v>
      </c>
      <c r="C713" t="s">
        <v>40</v>
      </c>
      <c r="D713" s="141">
        <v>0.44500000000000001</v>
      </c>
      <c r="E713" s="141">
        <v>0.55500000000000005</v>
      </c>
      <c r="F713" s="141">
        <v>0.47499999999999998</v>
      </c>
      <c r="G713" s="141">
        <v>0.51</v>
      </c>
      <c r="H713" s="141">
        <v>0.47</v>
      </c>
      <c r="I713" s="141">
        <v>0.48</v>
      </c>
      <c r="J713" s="142">
        <v>0.5</v>
      </c>
      <c r="K713" s="141">
        <v>0.49</v>
      </c>
      <c r="L713" s="141">
        <v>0.48499999999999999</v>
      </c>
      <c r="M713" s="141">
        <v>0.45500000000000002</v>
      </c>
      <c r="N713" s="141">
        <v>0.57499999999999996</v>
      </c>
      <c r="O713" s="141">
        <v>0.5</v>
      </c>
      <c r="P713" s="142">
        <v>0.51</v>
      </c>
      <c r="Q713" s="141">
        <v>0.49</v>
      </c>
      <c r="R713" s="141">
        <v>0.45</v>
      </c>
      <c r="S713" s="141">
        <v>0.51500000000000001</v>
      </c>
      <c r="T713" s="141">
        <v>0.48</v>
      </c>
      <c r="U713" s="141">
        <v>0.495</v>
      </c>
      <c r="V713" s="142">
        <v>0.51</v>
      </c>
      <c r="W713" s="141">
        <v>0.47</v>
      </c>
      <c r="X713" s="141">
        <v>0.47</v>
      </c>
      <c r="Y713" s="141">
        <v>0.495</v>
      </c>
      <c r="Z713" s="141">
        <v>0.435</v>
      </c>
      <c r="AA713" s="141">
        <v>0.47499999999999998</v>
      </c>
      <c r="AB713" s="143">
        <f>_xlfn.STDEV.P(D713:AA713)</f>
        <v>3.11240517481613E-2</v>
      </c>
      <c r="AC713" s="143"/>
    </row>
    <row r="714" spans="1:29">
      <c r="A714" s="260"/>
      <c r="C714" t="s">
        <v>220</v>
      </c>
      <c r="D714" s="141">
        <v>0.96</v>
      </c>
      <c r="E714" s="141">
        <v>0.95499999999999996</v>
      </c>
      <c r="F714" s="141">
        <v>1.02</v>
      </c>
      <c r="G714" s="141">
        <v>1.0249999999999999</v>
      </c>
      <c r="H714" s="141">
        <v>0.97499999999999998</v>
      </c>
      <c r="I714" s="141">
        <v>0.98</v>
      </c>
      <c r="J714" s="142">
        <v>0.99</v>
      </c>
      <c r="K714" s="141">
        <v>1.0049999999999999</v>
      </c>
      <c r="L714" s="141">
        <v>0.99</v>
      </c>
      <c r="M714" s="141">
        <v>0.995</v>
      </c>
      <c r="N714" s="141">
        <v>0.98499999999999999</v>
      </c>
      <c r="O714" s="141">
        <v>1</v>
      </c>
      <c r="P714" s="142">
        <v>1.0249999999999999</v>
      </c>
      <c r="Q714" s="141">
        <v>1</v>
      </c>
      <c r="R714" s="141">
        <v>1.0149999999999999</v>
      </c>
      <c r="S714" s="141">
        <v>0.995</v>
      </c>
      <c r="T714" s="141">
        <v>0.995</v>
      </c>
      <c r="U714" s="141">
        <v>1.0049999999999999</v>
      </c>
      <c r="V714" s="142">
        <v>1</v>
      </c>
      <c r="W714" s="141">
        <v>1.0149999999999999</v>
      </c>
      <c r="X714" s="141">
        <v>0.98</v>
      </c>
      <c r="Y714" s="141">
        <v>0.98499999999999999</v>
      </c>
      <c r="Z714" s="141">
        <v>0.98</v>
      </c>
      <c r="AA714" s="141">
        <v>0.98</v>
      </c>
      <c r="AB714" s="143">
        <f>_xlfn.STDEV.P(D714:AA714)</f>
        <v>1.8084245368705742E-2</v>
      </c>
      <c r="AC714" s="143"/>
    </row>
    <row r="715" spans="1:29">
      <c r="A715" s="260"/>
      <c r="C715" t="s">
        <v>221</v>
      </c>
      <c r="D715" s="144">
        <v>0.42</v>
      </c>
      <c r="E715" s="144">
        <v>0.51</v>
      </c>
      <c r="F715" s="144">
        <v>0.56000000000000005</v>
      </c>
      <c r="G715" s="144">
        <v>0.505</v>
      </c>
      <c r="H715" s="144">
        <v>0.56499999999999995</v>
      </c>
      <c r="I715" s="141">
        <v>0.53</v>
      </c>
      <c r="J715" s="145">
        <v>0.52</v>
      </c>
      <c r="K715" s="144">
        <v>0.505</v>
      </c>
      <c r="L715" s="144">
        <v>0.53</v>
      </c>
      <c r="M715" s="144">
        <v>0.54500000000000004</v>
      </c>
      <c r="N715" s="144">
        <v>0.53500000000000003</v>
      </c>
      <c r="O715" s="141">
        <v>0.505</v>
      </c>
      <c r="P715" s="145">
        <v>0.48</v>
      </c>
      <c r="Q715" s="144">
        <v>0.52</v>
      </c>
      <c r="R715" s="144">
        <v>0.59</v>
      </c>
      <c r="S715" s="144">
        <v>0.51</v>
      </c>
      <c r="T715" s="144">
        <v>0.59</v>
      </c>
      <c r="U715" s="141">
        <v>0.5</v>
      </c>
      <c r="V715" s="145">
        <v>0.51</v>
      </c>
      <c r="W715" s="144">
        <v>0.505</v>
      </c>
      <c r="X715" s="144">
        <v>0.51500000000000001</v>
      </c>
      <c r="Y715" s="144">
        <v>0.55500000000000005</v>
      </c>
      <c r="Z715" s="144">
        <v>0.495</v>
      </c>
      <c r="AA715" s="144">
        <v>0.505</v>
      </c>
      <c r="AB715" s="143">
        <f>_xlfn.STDEV.P(D715:AA715)</f>
        <v>3.5207100570134368E-2</v>
      </c>
      <c r="AC715" s="146"/>
    </row>
    <row r="716" spans="1:29">
      <c r="A716" s="260"/>
      <c r="B716" s="147" t="s">
        <v>1840</v>
      </c>
      <c r="D716" s="148" t="s">
        <v>1796</v>
      </c>
      <c r="E716" s="148" t="s">
        <v>1796</v>
      </c>
      <c r="F716" s="148" t="s">
        <v>1796</v>
      </c>
      <c r="G716" s="148" t="s">
        <v>1796</v>
      </c>
      <c r="H716" s="148" t="s">
        <v>1794</v>
      </c>
      <c r="I716" s="149" t="s">
        <v>1795</v>
      </c>
      <c r="J716" s="150" t="s">
        <v>1796</v>
      </c>
      <c r="K716" s="148" t="s">
        <v>1803</v>
      </c>
      <c r="L716" s="148" t="s">
        <v>1796</v>
      </c>
      <c r="M716" s="148" t="s">
        <v>1794</v>
      </c>
      <c r="N716" s="148" t="s">
        <v>1794</v>
      </c>
      <c r="O716" s="149" t="s">
        <v>1796</v>
      </c>
      <c r="P716" s="150" t="s">
        <v>1796</v>
      </c>
      <c r="Q716" s="148" t="s">
        <v>1796</v>
      </c>
      <c r="R716" s="148" t="s">
        <v>1796</v>
      </c>
      <c r="S716" s="148" t="s">
        <v>1796</v>
      </c>
      <c r="T716" s="148" t="s">
        <v>1794</v>
      </c>
      <c r="U716" s="149" t="s">
        <v>1803</v>
      </c>
      <c r="V716" s="150" t="s">
        <v>1794</v>
      </c>
      <c r="W716" s="148" t="s">
        <v>1803</v>
      </c>
      <c r="X716" s="148" t="s">
        <v>1796</v>
      </c>
      <c r="Y716" s="148" t="s">
        <v>1794</v>
      </c>
      <c r="Z716" s="148" t="s">
        <v>1794</v>
      </c>
      <c r="AA716" s="148" t="s">
        <v>1794</v>
      </c>
      <c r="AB716" s="143"/>
      <c r="AC716" s="151" t="s">
        <v>1969</v>
      </c>
    </row>
    <row r="717" spans="1:29">
      <c r="A717" s="260"/>
      <c r="B717" s="153" t="s">
        <v>1842</v>
      </c>
      <c r="C717" s="153" t="s">
        <v>40</v>
      </c>
      <c r="D717" s="154">
        <v>0.495</v>
      </c>
      <c r="E717" s="154">
        <v>0.49</v>
      </c>
      <c r="F717" s="154">
        <v>0.46</v>
      </c>
      <c r="G717" s="154">
        <v>0.48499999999999999</v>
      </c>
      <c r="H717" s="154">
        <v>0.51500000000000001</v>
      </c>
      <c r="I717" s="154">
        <v>0.53</v>
      </c>
      <c r="J717" s="155">
        <v>0.5</v>
      </c>
      <c r="K717" s="154">
        <v>0.47</v>
      </c>
      <c r="L717" s="154">
        <v>0.46</v>
      </c>
      <c r="M717" s="154">
        <v>0.47</v>
      </c>
      <c r="N717" s="154">
        <v>0.47</v>
      </c>
      <c r="O717" s="154">
        <v>0.47499999999999998</v>
      </c>
      <c r="P717" s="155">
        <v>0.48499999999999999</v>
      </c>
      <c r="Q717" s="154">
        <v>0.49</v>
      </c>
      <c r="R717" s="154">
        <v>0.53500000000000003</v>
      </c>
      <c r="S717" s="154">
        <v>0.52</v>
      </c>
      <c r="T717" s="154">
        <v>0.5</v>
      </c>
      <c r="U717" s="154">
        <v>0.5</v>
      </c>
      <c r="V717" s="155">
        <v>0.48</v>
      </c>
      <c r="W717" s="154">
        <v>0.48499999999999999</v>
      </c>
      <c r="X717" s="154">
        <v>0.495</v>
      </c>
      <c r="Y717" s="154">
        <v>0.55500000000000005</v>
      </c>
      <c r="Z717" s="154">
        <v>0.56499999999999995</v>
      </c>
      <c r="AA717" s="154">
        <v>0.48499999999999999</v>
      </c>
      <c r="AB717" s="156">
        <f>_xlfn.STDEV.P(D717:AA717)</f>
        <v>2.721362888742004E-2</v>
      </c>
      <c r="AC717" s="156"/>
    </row>
    <row r="718" spans="1:29">
      <c r="A718" s="260"/>
      <c r="B718" s="153"/>
      <c r="C718" s="153" t="s">
        <v>220</v>
      </c>
      <c r="D718" s="154">
        <v>0.995</v>
      </c>
      <c r="E718" s="154">
        <v>0.99</v>
      </c>
      <c r="F718" s="154">
        <v>0.98499999999999999</v>
      </c>
      <c r="G718" s="154">
        <v>1.0149999999999999</v>
      </c>
      <c r="H718" s="154">
        <v>1</v>
      </c>
      <c r="I718" s="154">
        <v>0.98</v>
      </c>
      <c r="J718" s="155">
        <v>0.99</v>
      </c>
      <c r="K718" s="154">
        <v>0.98499999999999999</v>
      </c>
      <c r="L718" s="154">
        <v>0.98</v>
      </c>
      <c r="M718" s="154">
        <v>1.01</v>
      </c>
      <c r="N718" s="154">
        <v>1.0049999999999999</v>
      </c>
      <c r="O718" s="154">
        <v>0.98</v>
      </c>
      <c r="P718" s="155">
        <v>0.98499999999999999</v>
      </c>
      <c r="Q718" s="154">
        <v>1.0549999999999999</v>
      </c>
      <c r="R718" s="154">
        <v>0.995</v>
      </c>
      <c r="S718" s="154">
        <v>0.99</v>
      </c>
      <c r="T718" s="154">
        <v>0.995</v>
      </c>
      <c r="U718" s="154">
        <v>1.0049999999999999</v>
      </c>
      <c r="V718" s="155">
        <v>0.995</v>
      </c>
      <c r="W718" s="154">
        <v>0.99</v>
      </c>
      <c r="X718" s="154">
        <v>1</v>
      </c>
      <c r="Y718" s="154">
        <v>0.98</v>
      </c>
      <c r="Z718" s="154">
        <v>0.995</v>
      </c>
      <c r="AA718" s="154">
        <v>0.98</v>
      </c>
      <c r="AB718" s="156">
        <f>_xlfn.STDEV.P(D718:AA718)</f>
        <v>1.5811388300841878E-2</v>
      </c>
      <c r="AC718" s="156"/>
    </row>
    <row r="719" spans="1:29">
      <c r="A719" s="260"/>
      <c r="B719" s="153"/>
      <c r="C719" s="153" t="s">
        <v>221</v>
      </c>
      <c r="D719" s="157">
        <v>0.51500000000000001</v>
      </c>
      <c r="E719" s="157">
        <v>0.52500000000000002</v>
      </c>
      <c r="F719" s="157">
        <v>0.56999999999999995</v>
      </c>
      <c r="G719" s="157">
        <v>0.49</v>
      </c>
      <c r="H719" s="157">
        <v>0.52</v>
      </c>
      <c r="I719" s="154">
        <v>0.54</v>
      </c>
      <c r="J719" s="158">
        <v>0.54</v>
      </c>
      <c r="K719" s="157">
        <v>0.56499999999999995</v>
      </c>
      <c r="L719" s="157">
        <v>0.54500000000000004</v>
      </c>
      <c r="M719" s="157">
        <v>0.52500000000000002</v>
      </c>
      <c r="N719" s="157">
        <v>0.52</v>
      </c>
      <c r="O719" s="154">
        <v>0.51500000000000001</v>
      </c>
      <c r="P719" s="158">
        <v>0.51500000000000001</v>
      </c>
      <c r="Q719" s="157">
        <v>0.47499999999999998</v>
      </c>
      <c r="R719" s="157">
        <v>0.55500000000000005</v>
      </c>
      <c r="S719" s="157">
        <v>0.51500000000000001</v>
      </c>
      <c r="T719" s="157">
        <v>0.495</v>
      </c>
      <c r="U719" s="154">
        <v>0.5</v>
      </c>
      <c r="V719" s="158">
        <v>0.505</v>
      </c>
      <c r="W719" s="157">
        <v>0.56000000000000005</v>
      </c>
      <c r="X719" s="157">
        <v>0.51500000000000001</v>
      </c>
      <c r="Y719" s="157">
        <v>0.495</v>
      </c>
      <c r="Z719" s="157">
        <v>0.56499999999999995</v>
      </c>
      <c r="AA719" s="157">
        <v>0.51</v>
      </c>
      <c r="AB719" s="156">
        <f>_xlfn.STDEV.P(D719:AA719)</f>
        <v>2.5412397182390242E-2</v>
      </c>
      <c r="AC719" s="164"/>
    </row>
    <row r="720" spans="1:29">
      <c r="A720" s="260"/>
      <c r="B720" s="159" t="s">
        <v>1843</v>
      </c>
      <c r="C720" s="153"/>
      <c r="D720" s="160" t="s">
        <v>1795</v>
      </c>
      <c r="E720" s="160" t="s">
        <v>1803</v>
      </c>
      <c r="F720" s="160" t="s">
        <v>1796</v>
      </c>
      <c r="G720" s="160" t="s">
        <v>1794</v>
      </c>
      <c r="H720" s="160" t="s">
        <v>1796</v>
      </c>
      <c r="I720" s="161" t="s">
        <v>1796</v>
      </c>
      <c r="J720" s="162" t="s">
        <v>1796</v>
      </c>
      <c r="K720" s="160" t="s">
        <v>1795</v>
      </c>
      <c r="L720" s="160" t="s">
        <v>1794</v>
      </c>
      <c r="M720" s="160" t="s">
        <v>1794</v>
      </c>
      <c r="N720" s="160" t="s">
        <v>1794</v>
      </c>
      <c r="O720" s="161" t="s">
        <v>1796</v>
      </c>
      <c r="P720" s="162" t="s">
        <v>1796</v>
      </c>
      <c r="Q720" s="160" t="s">
        <v>1794</v>
      </c>
      <c r="R720" s="160" t="s">
        <v>1803</v>
      </c>
      <c r="S720" s="160" t="s">
        <v>1796</v>
      </c>
      <c r="T720" s="160" t="s">
        <v>1794</v>
      </c>
      <c r="U720" s="161" t="s">
        <v>1794</v>
      </c>
      <c r="V720" s="162" t="s">
        <v>1795</v>
      </c>
      <c r="W720" s="160" t="s">
        <v>1795</v>
      </c>
      <c r="X720" s="160" t="s">
        <v>1794</v>
      </c>
      <c r="Y720" s="160" t="s">
        <v>1796</v>
      </c>
      <c r="Z720" s="160" t="s">
        <v>1794</v>
      </c>
      <c r="AA720" s="160" t="s">
        <v>1796</v>
      </c>
      <c r="AB720" s="156"/>
      <c r="AC720" s="165" t="s">
        <v>1917</v>
      </c>
    </row>
    <row r="721" spans="1:29">
      <c r="A721" s="260"/>
      <c r="B721" t="s">
        <v>1845</v>
      </c>
      <c r="C721" t="s">
        <v>40</v>
      </c>
      <c r="D721" s="141">
        <v>0.495</v>
      </c>
      <c r="E721" s="141">
        <v>0.49</v>
      </c>
      <c r="F721" s="141">
        <v>0.48499999999999999</v>
      </c>
      <c r="G721" s="141">
        <v>0.48</v>
      </c>
      <c r="H721" s="141">
        <v>0.51</v>
      </c>
      <c r="I721" s="141">
        <v>0.5</v>
      </c>
      <c r="J721" s="142">
        <v>0.5</v>
      </c>
      <c r="K721" s="141">
        <v>0.5</v>
      </c>
      <c r="L721" s="141">
        <v>0.495</v>
      </c>
      <c r="M721" s="141">
        <v>0.495</v>
      </c>
      <c r="N721" s="141">
        <v>0.495</v>
      </c>
      <c r="O721" s="141">
        <v>0.495</v>
      </c>
      <c r="P721" s="142">
        <v>0.495</v>
      </c>
      <c r="Q721" s="141">
        <v>0.48</v>
      </c>
      <c r="R721" s="141">
        <v>0.52500000000000002</v>
      </c>
      <c r="S721" s="141">
        <v>0.51500000000000001</v>
      </c>
      <c r="T721" s="141">
        <v>0.55000000000000004</v>
      </c>
      <c r="U721" s="141">
        <v>0.48</v>
      </c>
      <c r="V721" s="142">
        <v>0.55500000000000005</v>
      </c>
      <c r="W721" s="141">
        <v>0.47</v>
      </c>
      <c r="X721" s="141">
        <v>0.48</v>
      </c>
      <c r="Y721" s="141">
        <v>0.47</v>
      </c>
      <c r="Z721" s="141">
        <v>0.46</v>
      </c>
      <c r="AA721" s="141">
        <v>0.51</v>
      </c>
      <c r="AB721" s="143">
        <f>_xlfn.STDEV.P(D721:AA721)</f>
        <v>2.2216579144613818E-2</v>
      </c>
      <c r="AC721" s="143"/>
    </row>
    <row r="722" spans="1:29">
      <c r="A722" s="260"/>
      <c r="C722" t="s">
        <v>220</v>
      </c>
      <c r="D722" s="141">
        <v>0.995</v>
      </c>
      <c r="E722" s="141">
        <v>0.98499999999999999</v>
      </c>
      <c r="F722" s="141">
        <v>1</v>
      </c>
      <c r="G722" s="141">
        <v>1.01</v>
      </c>
      <c r="H722" s="141">
        <v>1</v>
      </c>
      <c r="I722" s="141">
        <v>1</v>
      </c>
      <c r="J722" s="142">
        <v>0.995</v>
      </c>
      <c r="K722" s="141">
        <v>0.99</v>
      </c>
      <c r="L722" s="141">
        <v>0.99</v>
      </c>
      <c r="M722" s="141">
        <v>0.99</v>
      </c>
      <c r="N722" s="141">
        <v>0.99</v>
      </c>
      <c r="O722" s="141">
        <v>0.99</v>
      </c>
      <c r="P722" s="142">
        <v>0.99</v>
      </c>
      <c r="Q722" s="141">
        <v>0.99</v>
      </c>
      <c r="R722" s="141">
        <v>0.98</v>
      </c>
      <c r="S722" s="141">
        <v>0.98499999999999999</v>
      </c>
      <c r="T722" s="141">
        <v>0.95</v>
      </c>
      <c r="U722" s="141">
        <v>0.97499999999999998</v>
      </c>
      <c r="V722" s="142">
        <v>1.01</v>
      </c>
      <c r="W722" s="141">
        <v>0.99</v>
      </c>
      <c r="X722" s="141">
        <v>0.99</v>
      </c>
      <c r="Y722" s="141">
        <v>0.97</v>
      </c>
      <c r="Z722" s="141">
        <v>0.97499999999999998</v>
      </c>
      <c r="AA722" s="141">
        <v>1</v>
      </c>
      <c r="AB722" s="143">
        <f>_xlfn.STDEV.P(D722:AA722)</f>
        <v>1.263812574008593E-2</v>
      </c>
      <c r="AC722" s="143"/>
    </row>
    <row r="723" spans="1:29">
      <c r="A723" s="260"/>
      <c r="C723" t="s">
        <v>221</v>
      </c>
      <c r="D723" s="144">
        <v>0.52500000000000002</v>
      </c>
      <c r="E723" s="144">
        <v>0.505</v>
      </c>
      <c r="F723" s="144">
        <v>0.55500000000000005</v>
      </c>
      <c r="G723" s="144">
        <v>0.48499999999999999</v>
      </c>
      <c r="H723" s="144">
        <v>0.495</v>
      </c>
      <c r="I723" s="141">
        <v>0.52500000000000002</v>
      </c>
      <c r="J723" s="145">
        <v>0.53</v>
      </c>
      <c r="K723" s="144">
        <v>0.52500000000000002</v>
      </c>
      <c r="L723" s="144">
        <v>0.53</v>
      </c>
      <c r="M723" s="144">
        <v>0.53</v>
      </c>
      <c r="N723" s="144">
        <v>0.53</v>
      </c>
      <c r="O723" s="141">
        <v>0.53</v>
      </c>
      <c r="P723" s="145">
        <v>0.53</v>
      </c>
      <c r="Q723" s="144">
        <v>0.51500000000000001</v>
      </c>
      <c r="R723" s="144">
        <v>0.65500000000000003</v>
      </c>
      <c r="S723" s="144">
        <v>0.53500000000000003</v>
      </c>
      <c r="T723" s="144">
        <v>0.69</v>
      </c>
      <c r="U723" s="141">
        <v>0.54</v>
      </c>
      <c r="V723" s="145">
        <v>0.51500000000000001</v>
      </c>
      <c r="W723" s="144">
        <v>0.44</v>
      </c>
      <c r="X723" s="144">
        <v>0.57499999999999996</v>
      </c>
      <c r="Y723" s="144">
        <v>0.56000000000000005</v>
      </c>
      <c r="Z723" s="144">
        <v>0.51</v>
      </c>
      <c r="AA723" s="144">
        <v>0.5</v>
      </c>
      <c r="AB723" s="143">
        <f>_xlfn.STDEV.P(D723:AA723)</f>
        <v>4.9242526223670618E-2</v>
      </c>
      <c r="AC723" s="146"/>
    </row>
    <row r="724" spans="1:29">
      <c r="A724" s="260"/>
      <c r="B724" s="147" t="s">
        <v>1846</v>
      </c>
      <c r="D724" s="148" t="s">
        <v>1794</v>
      </c>
      <c r="E724" s="148" t="s">
        <v>1796</v>
      </c>
      <c r="F724" s="148" t="s">
        <v>1796</v>
      </c>
      <c r="G724" s="148" t="s">
        <v>1794</v>
      </c>
      <c r="H724" s="148" t="s">
        <v>1794</v>
      </c>
      <c r="I724" s="149" t="s">
        <v>1794</v>
      </c>
      <c r="J724" s="150" t="s">
        <v>1794</v>
      </c>
      <c r="K724" s="148" t="s">
        <v>1794</v>
      </c>
      <c r="L724" s="148" t="s">
        <v>1794</v>
      </c>
      <c r="M724" s="148" t="s">
        <v>1794</v>
      </c>
      <c r="N724" s="148" t="s">
        <v>1794</v>
      </c>
      <c r="O724" s="149" t="s">
        <v>1794</v>
      </c>
      <c r="P724" s="150" t="s">
        <v>1794</v>
      </c>
      <c r="Q724" s="148" t="s">
        <v>1794</v>
      </c>
      <c r="R724" s="148" t="s">
        <v>1794</v>
      </c>
      <c r="S724" s="148" t="s">
        <v>1794</v>
      </c>
      <c r="T724" s="148" t="s">
        <v>1794</v>
      </c>
      <c r="U724" s="149" t="s">
        <v>1794</v>
      </c>
      <c r="V724" s="150" t="s">
        <v>1794</v>
      </c>
      <c r="W724" s="148" t="s">
        <v>1794</v>
      </c>
      <c r="X724" s="148" t="s">
        <v>1794</v>
      </c>
      <c r="Y724" s="148" t="s">
        <v>1794</v>
      </c>
      <c r="Z724" s="148" t="s">
        <v>1794</v>
      </c>
      <c r="AA724" s="148" t="s">
        <v>1794</v>
      </c>
      <c r="AB724" s="143"/>
      <c r="AC724" s="151" t="s">
        <v>1901</v>
      </c>
    </row>
    <row r="725" spans="1:29">
      <c r="A725" s="260"/>
      <c r="B725" t="s">
        <v>1853</v>
      </c>
      <c r="C725" t="s">
        <v>40</v>
      </c>
      <c r="D725" s="141">
        <v>0.49</v>
      </c>
      <c r="E725" s="141">
        <v>0.48499999999999999</v>
      </c>
      <c r="F725" s="141">
        <v>0.505</v>
      </c>
      <c r="G725" s="141">
        <v>0.49</v>
      </c>
      <c r="H725" s="141">
        <v>0.5</v>
      </c>
      <c r="I725" s="141">
        <v>0.505</v>
      </c>
      <c r="J725" s="142">
        <v>0.47499999999999998</v>
      </c>
      <c r="K725" s="141">
        <v>0.47</v>
      </c>
      <c r="L725" s="141">
        <v>0.46500000000000002</v>
      </c>
      <c r="M725" s="141">
        <v>0.625</v>
      </c>
      <c r="N725" s="141">
        <v>0.51500000000000001</v>
      </c>
      <c r="O725" s="141">
        <v>0.49</v>
      </c>
      <c r="P725" s="142">
        <v>0.495</v>
      </c>
      <c r="Q725" s="141">
        <v>0.505</v>
      </c>
      <c r="R725" s="141">
        <v>0.46</v>
      </c>
      <c r="S725" s="141">
        <v>0.505</v>
      </c>
      <c r="T725" s="141">
        <v>0.495</v>
      </c>
      <c r="U725" s="141">
        <v>0.5</v>
      </c>
      <c r="V725" s="142">
        <v>0.5</v>
      </c>
      <c r="W725" s="141">
        <v>0.51</v>
      </c>
      <c r="X725" s="141">
        <v>0.49</v>
      </c>
      <c r="Y725" s="141">
        <v>0.47499999999999998</v>
      </c>
      <c r="Z725" s="141">
        <v>0.47</v>
      </c>
      <c r="AA725" s="141">
        <v>0.51500000000000001</v>
      </c>
      <c r="AB725" s="143">
        <f>_xlfn.STDEV.P(D725:AA725)</f>
        <v>3.0719807896896465E-2</v>
      </c>
      <c r="AC725" s="143"/>
    </row>
    <row r="726" spans="1:29">
      <c r="A726" s="260"/>
      <c r="C726" t="s">
        <v>220</v>
      </c>
      <c r="D726" s="141">
        <v>0.995</v>
      </c>
      <c r="E726" s="141">
        <v>0.995</v>
      </c>
      <c r="F726" s="141">
        <v>1</v>
      </c>
      <c r="G726" s="141">
        <v>1</v>
      </c>
      <c r="H726" s="141">
        <v>1.03</v>
      </c>
      <c r="I726" s="141">
        <v>0.98</v>
      </c>
      <c r="J726" s="142">
        <v>0.995</v>
      </c>
      <c r="K726" s="141">
        <v>0.96499999999999997</v>
      </c>
      <c r="L726" s="141">
        <v>0.99</v>
      </c>
      <c r="M726" s="141">
        <v>0.98</v>
      </c>
      <c r="N726" s="141">
        <v>1.0049999999999999</v>
      </c>
      <c r="O726" s="141">
        <v>0.995</v>
      </c>
      <c r="P726" s="142">
        <v>0.98</v>
      </c>
      <c r="Q726" s="141">
        <v>0.99</v>
      </c>
      <c r="R726" s="141">
        <v>0.96499999999999997</v>
      </c>
      <c r="S726" s="141">
        <v>0.99</v>
      </c>
      <c r="T726" s="141">
        <v>0.98499999999999999</v>
      </c>
      <c r="U726" s="141">
        <v>1</v>
      </c>
      <c r="V726" s="142">
        <v>0.99</v>
      </c>
      <c r="W726" s="141">
        <v>1.0049999999999999</v>
      </c>
      <c r="X726" s="141">
        <v>0.98</v>
      </c>
      <c r="Y726" s="141">
        <v>0.99</v>
      </c>
      <c r="Z726" s="141">
        <v>0.995</v>
      </c>
      <c r="AA726" s="141">
        <v>0.99</v>
      </c>
      <c r="AB726" s="143">
        <f>_xlfn.STDEV.P(D726:AA726)</f>
        <v>1.3090231727004178E-2</v>
      </c>
      <c r="AC726" s="143"/>
    </row>
    <row r="727" spans="1:29">
      <c r="A727" s="260"/>
      <c r="C727" t="s">
        <v>221</v>
      </c>
      <c r="D727" s="144">
        <v>0.48</v>
      </c>
      <c r="E727" s="144">
        <v>0.49</v>
      </c>
      <c r="F727" s="144">
        <v>0.49</v>
      </c>
      <c r="G727" s="144">
        <v>0.51</v>
      </c>
      <c r="H727" s="144">
        <v>0.49</v>
      </c>
      <c r="I727" s="141">
        <v>0.505</v>
      </c>
      <c r="J727" s="145">
        <v>0.495</v>
      </c>
      <c r="K727" s="144">
        <v>0.54</v>
      </c>
      <c r="L727" s="144">
        <v>0.51</v>
      </c>
      <c r="M727" s="144">
        <v>0.49</v>
      </c>
      <c r="N727" s="144">
        <v>0.51</v>
      </c>
      <c r="O727" s="141">
        <v>0.49</v>
      </c>
      <c r="P727" s="145">
        <v>0.495</v>
      </c>
      <c r="Q727" s="144">
        <v>0.51500000000000001</v>
      </c>
      <c r="R727" s="144">
        <v>0.48499999999999999</v>
      </c>
      <c r="S727" s="144">
        <v>0.505</v>
      </c>
      <c r="T727" s="144">
        <v>0.47</v>
      </c>
      <c r="U727" s="141">
        <v>0.495</v>
      </c>
      <c r="V727" s="145">
        <v>0.505</v>
      </c>
      <c r="W727" s="144">
        <v>0.48499999999999999</v>
      </c>
      <c r="X727" s="144">
        <v>0.5</v>
      </c>
      <c r="Y727" s="144">
        <v>0.505</v>
      </c>
      <c r="Z727" s="144">
        <v>0.495</v>
      </c>
      <c r="AA727" s="144">
        <v>0.47499999999999998</v>
      </c>
      <c r="AB727" s="143">
        <f>_xlfn.STDEV.P(D727:AA727)</f>
        <v>1.4427741410983999E-2</v>
      </c>
      <c r="AC727" s="146"/>
    </row>
    <row r="728" spans="1:29">
      <c r="A728" s="260"/>
      <c r="B728" s="147" t="s">
        <v>1854</v>
      </c>
      <c r="D728" s="148" t="s">
        <v>1794</v>
      </c>
      <c r="E728" s="148" t="s">
        <v>1796</v>
      </c>
      <c r="F728" s="148" t="s">
        <v>1796</v>
      </c>
      <c r="G728" s="148" t="s">
        <v>1795</v>
      </c>
      <c r="H728" s="148" t="s">
        <v>1803</v>
      </c>
      <c r="I728" s="149" t="s">
        <v>1796</v>
      </c>
      <c r="J728" s="150" t="s">
        <v>1803</v>
      </c>
      <c r="K728" s="148" t="s">
        <v>1796</v>
      </c>
      <c r="L728" s="148" t="s">
        <v>1796</v>
      </c>
      <c r="M728" s="148" t="s">
        <v>1794</v>
      </c>
      <c r="N728" s="148" t="s">
        <v>1794</v>
      </c>
      <c r="O728" s="149" t="s">
        <v>1796</v>
      </c>
      <c r="P728" s="150" t="s">
        <v>1803</v>
      </c>
      <c r="Q728" s="148" t="s">
        <v>1795</v>
      </c>
      <c r="R728" s="148" t="s">
        <v>1796</v>
      </c>
      <c r="S728" s="148" t="s">
        <v>1796</v>
      </c>
      <c r="T728" s="148" t="s">
        <v>1796</v>
      </c>
      <c r="U728" s="149" t="s">
        <v>1796</v>
      </c>
      <c r="V728" s="150" t="s">
        <v>1794</v>
      </c>
      <c r="W728" s="148" t="s">
        <v>1796</v>
      </c>
      <c r="X728" s="148" t="s">
        <v>1796</v>
      </c>
      <c r="Y728" s="148" t="s">
        <v>1794</v>
      </c>
      <c r="Z728" s="148" t="s">
        <v>1794</v>
      </c>
      <c r="AA728" s="148" t="s">
        <v>1794</v>
      </c>
      <c r="AB728" s="143"/>
      <c r="AC728" s="151" t="s">
        <v>1931</v>
      </c>
    </row>
    <row r="729" spans="1:29">
      <c r="A729" s="260"/>
      <c r="B729" t="s">
        <v>1856</v>
      </c>
      <c r="C729" t="s">
        <v>40</v>
      </c>
      <c r="D729" s="141">
        <v>0.49</v>
      </c>
      <c r="E729" s="141">
        <v>0.47499999999999998</v>
      </c>
      <c r="F729" s="141">
        <v>0.46500000000000002</v>
      </c>
      <c r="G729" s="141">
        <v>0.46500000000000002</v>
      </c>
      <c r="H729" s="141">
        <v>0.5</v>
      </c>
      <c r="I729" s="141">
        <v>0.495</v>
      </c>
      <c r="J729" s="142">
        <v>0.49</v>
      </c>
      <c r="K729" s="141">
        <v>0.47499999999999998</v>
      </c>
      <c r="L729" s="141">
        <v>0.48</v>
      </c>
      <c r="M729" s="141">
        <v>0.47499999999999998</v>
      </c>
      <c r="N729" s="141">
        <v>0.495</v>
      </c>
      <c r="O729" s="141">
        <v>0.46500000000000002</v>
      </c>
      <c r="P729" s="142">
        <v>0.5</v>
      </c>
      <c r="Q729" s="141">
        <v>0.47499999999999998</v>
      </c>
      <c r="R729" s="141">
        <v>0.62</v>
      </c>
      <c r="S729" s="141">
        <v>0.495</v>
      </c>
      <c r="T729" s="141">
        <v>0.48499999999999999</v>
      </c>
      <c r="U729" s="141">
        <v>0.5</v>
      </c>
      <c r="V729" s="142">
        <v>0.5</v>
      </c>
      <c r="W729" s="141">
        <v>0.505</v>
      </c>
      <c r="X729" s="141">
        <v>0.495</v>
      </c>
      <c r="Y729" s="141">
        <v>0.56499999999999995</v>
      </c>
      <c r="Z729" s="141">
        <v>0.52500000000000002</v>
      </c>
      <c r="AA729" s="141">
        <v>0.61</v>
      </c>
      <c r="AB729" s="143">
        <f>_xlfn.STDEV.P(D729:AA729)</f>
        <v>3.9995116889440387E-2</v>
      </c>
      <c r="AC729" s="143"/>
    </row>
    <row r="730" spans="1:29">
      <c r="A730" s="260"/>
      <c r="C730" t="s">
        <v>220</v>
      </c>
      <c r="D730" s="141">
        <v>0.99</v>
      </c>
      <c r="E730" s="141">
        <v>1</v>
      </c>
      <c r="F730" s="141">
        <v>0.995</v>
      </c>
      <c r="G730" s="141">
        <v>1</v>
      </c>
      <c r="H730" s="141">
        <v>1.01</v>
      </c>
      <c r="I730" s="141">
        <v>0.995</v>
      </c>
      <c r="J730" s="142">
        <v>0.995</v>
      </c>
      <c r="K730" s="141">
        <v>0.99</v>
      </c>
      <c r="L730" s="141">
        <v>0.95</v>
      </c>
      <c r="M730" s="141">
        <v>1.01</v>
      </c>
      <c r="N730" s="141">
        <v>1</v>
      </c>
      <c r="O730" s="141">
        <v>1.0149999999999999</v>
      </c>
      <c r="P730" s="142">
        <v>0.995</v>
      </c>
      <c r="Q730" s="141">
        <v>0.98</v>
      </c>
      <c r="R730" s="141">
        <v>0.97</v>
      </c>
      <c r="S730" s="141">
        <v>0.995</v>
      </c>
      <c r="T730" s="141">
        <v>0.99</v>
      </c>
      <c r="U730" s="141">
        <v>1</v>
      </c>
      <c r="V730" s="142">
        <v>0.99</v>
      </c>
      <c r="W730" s="141">
        <v>1</v>
      </c>
      <c r="X730" s="141">
        <v>1.0349999999999999</v>
      </c>
      <c r="Y730" s="141">
        <v>1.01</v>
      </c>
      <c r="Z730" s="141">
        <v>0.995</v>
      </c>
      <c r="AA730" s="141">
        <v>0.98</v>
      </c>
      <c r="AB730" s="143">
        <f>_xlfn.STDEV.P(D730:AA730)</f>
        <v>1.5805897281992214E-2</v>
      </c>
      <c r="AC730" s="143"/>
    </row>
    <row r="731" spans="1:29">
      <c r="A731" s="260"/>
      <c r="C731" t="s">
        <v>221</v>
      </c>
      <c r="D731" s="144">
        <v>0.505</v>
      </c>
      <c r="E731" s="144">
        <v>0.51</v>
      </c>
      <c r="F731" s="144">
        <v>0.51</v>
      </c>
      <c r="G731" s="144">
        <v>0.505</v>
      </c>
      <c r="H731" s="144">
        <v>0.52</v>
      </c>
      <c r="I731" s="141">
        <v>0.5</v>
      </c>
      <c r="J731" s="145">
        <v>0.51500000000000001</v>
      </c>
      <c r="K731" s="144">
        <v>0.51</v>
      </c>
      <c r="L731" s="144">
        <v>0.51500000000000001</v>
      </c>
      <c r="M731" s="144">
        <v>0.56000000000000005</v>
      </c>
      <c r="N731" s="144">
        <v>0.49</v>
      </c>
      <c r="O731" s="141">
        <v>0.51500000000000001</v>
      </c>
      <c r="P731" s="145">
        <v>0.5</v>
      </c>
      <c r="Q731" s="144">
        <v>0.52</v>
      </c>
      <c r="R731" s="144">
        <v>0.48499999999999999</v>
      </c>
      <c r="S731" s="144">
        <v>0.52500000000000002</v>
      </c>
      <c r="T731" s="144">
        <v>0.51</v>
      </c>
      <c r="U731" s="141">
        <v>0.5</v>
      </c>
      <c r="V731" s="145">
        <v>0.505</v>
      </c>
      <c r="W731" s="144">
        <v>0.5</v>
      </c>
      <c r="X731" s="144">
        <v>0.47</v>
      </c>
      <c r="Y731" s="144">
        <v>0.53500000000000003</v>
      </c>
      <c r="Z731" s="144">
        <v>0.49</v>
      </c>
      <c r="AA731" s="144">
        <v>0.505</v>
      </c>
      <c r="AB731" s="143">
        <f>_xlfn.STDEV.P(D731:AA731)</f>
        <v>1.7179606773406936E-2</v>
      </c>
      <c r="AC731" s="146"/>
    </row>
    <row r="732" spans="1:29">
      <c r="A732" s="260"/>
      <c r="B732" s="147" t="s">
        <v>1857</v>
      </c>
      <c r="D732" s="148" t="s">
        <v>1795</v>
      </c>
      <c r="E732" s="148" t="s">
        <v>1803</v>
      </c>
      <c r="F732" s="148" t="s">
        <v>1796</v>
      </c>
      <c r="G732" s="148" t="s">
        <v>1795</v>
      </c>
      <c r="H732" s="148" t="s">
        <v>1795</v>
      </c>
      <c r="I732" s="149" t="s">
        <v>1794</v>
      </c>
      <c r="J732" s="150" t="s">
        <v>1803</v>
      </c>
      <c r="K732" s="148" t="s">
        <v>1796</v>
      </c>
      <c r="L732" s="148" t="s">
        <v>1796</v>
      </c>
      <c r="M732" s="148" t="s">
        <v>1795</v>
      </c>
      <c r="N732" s="148" t="s">
        <v>1794</v>
      </c>
      <c r="O732" s="149" t="s">
        <v>1796</v>
      </c>
      <c r="P732" s="150" t="s">
        <v>1796</v>
      </c>
      <c r="Q732" s="148" t="s">
        <v>1796</v>
      </c>
      <c r="R732" s="148" t="s">
        <v>1803</v>
      </c>
      <c r="S732" s="148" t="s">
        <v>1796</v>
      </c>
      <c r="T732" s="148" t="s">
        <v>1796</v>
      </c>
      <c r="U732" s="149" t="s">
        <v>1796</v>
      </c>
      <c r="V732" s="150" t="s">
        <v>1803</v>
      </c>
      <c r="W732" s="148" t="s">
        <v>1796</v>
      </c>
      <c r="X732" s="148" t="s">
        <v>1796</v>
      </c>
      <c r="Y732" s="148" t="s">
        <v>1795</v>
      </c>
      <c r="Z732" s="148" t="s">
        <v>1794</v>
      </c>
      <c r="AA732" s="148" t="s">
        <v>1794</v>
      </c>
      <c r="AB732" s="143"/>
      <c r="AC732" s="151" t="s">
        <v>1970</v>
      </c>
    </row>
    <row r="733" spans="1:29">
      <c r="A733" s="260"/>
      <c r="B733" t="s">
        <v>1858</v>
      </c>
      <c r="C733" t="s">
        <v>40</v>
      </c>
      <c r="D733" s="141">
        <v>0.48</v>
      </c>
      <c r="E733" s="141">
        <v>0.505</v>
      </c>
      <c r="F733" s="141">
        <v>0.505</v>
      </c>
      <c r="G733" s="141">
        <v>0.49</v>
      </c>
      <c r="H733" s="141">
        <v>0.46500000000000002</v>
      </c>
      <c r="I733" s="141">
        <v>0.48</v>
      </c>
      <c r="J733" s="142">
        <v>0.48</v>
      </c>
      <c r="K733" s="141">
        <v>0.48499999999999999</v>
      </c>
      <c r="L733" s="141">
        <v>0.49</v>
      </c>
      <c r="M733" s="141">
        <v>0.505</v>
      </c>
      <c r="N733" s="141">
        <v>0.51</v>
      </c>
      <c r="O733" s="141">
        <v>0.48499999999999999</v>
      </c>
      <c r="P733" s="142">
        <v>0.48499999999999999</v>
      </c>
      <c r="Q733" s="141">
        <v>0.47</v>
      </c>
      <c r="R733" s="141">
        <v>0.5</v>
      </c>
      <c r="S733" s="141">
        <v>0.495</v>
      </c>
      <c r="T733" s="141">
        <v>0.49</v>
      </c>
      <c r="U733" s="141">
        <v>0.49</v>
      </c>
      <c r="V733" s="142">
        <v>0.48499999999999999</v>
      </c>
      <c r="W733" s="141">
        <v>0.48499999999999999</v>
      </c>
      <c r="X733" s="141">
        <v>0.505</v>
      </c>
      <c r="Y733" s="141">
        <v>0.46</v>
      </c>
      <c r="Z733" s="141">
        <v>0.5</v>
      </c>
      <c r="AA733" s="141">
        <v>0.51500000000000001</v>
      </c>
      <c r="AB733" s="143">
        <f>_xlfn.STDEV.P(D733:AA733)</f>
        <v>1.3693063937629157E-2</v>
      </c>
      <c r="AC733" s="143"/>
    </row>
    <row r="734" spans="1:29">
      <c r="A734" s="260"/>
      <c r="C734" t="s">
        <v>220</v>
      </c>
      <c r="D734" s="141">
        <v>0.99</v>
      </c>
      <c r="E734" s="141">
        <v>0.99</v>
      </c>
      <c r="F734" s="141">
        <v>0.995</v>
      </c>
      <c r="G734" s="141">
        <v>0.97</v>
      </c>
      <c r="H734" s="141">
        <v>0.97499999999999998</v>
      </c>
      <c r="I734" s="141">
        <v>0.99</v>
      </c>
      <c r="J734" s="142">
        <v>0.98499999999999999</v>
      </c>
      <c r="K734" s="141">
        <v>0.97</v>
      </c>
      <c r="L734" s="141">
        <v>1.0149999999999999</v>
      </c>
      <c r="M734" s="141">
        <v>1</v>
      </c>
      <c r="N734" s="141">
        <v>1.02</v>
      </c>
      <c r="O734" s="141">
        <v>0.97499999999999998</v>
      </c>
      <c r="P734" s="142">
        <v>0.99</v>
      </c>
      <c r="Q734" s="141">
        <v>0.96499999999999997</v>
      </c>
      <c r="R734" s="141">
        <v>0.96499999999999997</v>
      </c>
      <c r="S734" s="141">
        <v>0.995</v>
      </c>
      <c r="T734" s="141">
        <v>0.98499999999999999</v>
      </c>
      <c r="U734" s="141">
        <v>1.0149999999999999</v>
      </c>
      <c r="V734" s="142">
        <v>1.01</v>
      </c>
      <c r="W734" s="141">
        <v>1.01</v>
      </c>
      <c r="X734" s="141">
        <v>1.02</v>
      </c>
      <c r="Y734" s="141">
        <v>1.0149999999999999</v>
      </c>
      <c r="Z734" s="141">
        <v>1</v>
      </c>
      <c r="AA734" s="141">
        <v>0.96499999999999997</v>
      </c>
      <c r="AB734" s="143">
        <f>_xlfn.STDEV.P(D734:AA734)</f>
        <v>1.8022940628235139E-2</v>
      </c>
      <c r="AC734" s="143"/>
    </row>
    <row r="735" spans="1:29">
      <c r="A735" s="260"/>
      <c r="C735" t="s">
        <v>221</v>
      </c>
      <c r="D735" s="144">
        <v>0.51</v>
      </c>
      <c r="E735" s="144">
        <v>0.505</v>
      </c>
      <c r="F735" s="144">
        <v>0.51500000000000001</v>
      </c>
      <c r="G735" s="144">
        <v>0.52</v>
      </c>
      <c r="H735" s="144">
        <v>0.52</v>
      </c>
      <c r="I735" s="141">
        <v>0.51</v>
      </c>
      <c r="J735" s="145">
        <v>0.51500000000000001</v>
      </c>
      <c r="K735" s="144">
        <v>0.52</v>
      </c>
      <c r="L735" s="144">
        <v>0.48499999999999999</v>
      </c>
      <c r="M735" s="144">
        <v>0.5</v>
      </c>
      <c r="N735" s="144">
        <v>0.56999999999999995</v>
      </c>
      <c r="O735" s="141">
        <v>0.505</v>
      </c>
      <c r="P735" s="145">
        <v>0.505</v>
      </c>
      <c r="Q735" s="144">
        <v>0.51500000000000001</v>
      </c>
      <c r="R735" s="144">
        <v>0.49</v>
      </c>
      <c r="S735" s="144">
        <v>0.51500000000000001</v>
      </c>
      <c r="T735" s="144">
        <v>0.495</v>
      </c>
      <c r="U735" s="141">
        <v>0.495</v>
      </c>
      <c r="V735" s="145">
        <v>0.51</v>
      </c>
      <c r="W735" s="144">
        <v>0.51</v>
      </c>
      <c r="X735" s="144">
        <v>0.47</v>
      </c>
      <c r="Y735" s="144">
        <v>0.54500000000000004</v>
      </c>
      <c r="Z735" s="144">
        <v>0.495</v>
      </c>
      <c r="AA735" s="144">
        <v>0.5</v>
      </c>
      <c r="AB735" s="143">
        <f>_xlfn.STDEV.P(D735:AA735)</f>
        <v>1.9130400472081664E-2</v>
      </c>
      <c r="AC735" s="146"/>
    </row>
    <row r="736" spans="1:29">
      <c r="A736" s="260"/>
      <c r="B736" s="147" t="s">
        <v>1859</v>
      </c>
      <c r="D736" s="148" t="s">
        <v>1803</v>
      </c>
      <c r="E736" s="148" t="s">
        <v>1803</v>
      </c>
      <c r="F736" s="148" t="s">
        <v>1794</v>
      </c>
      <c r="G736" s="148" t="s">
        <v>1795</v>
      </c>
      <c r="H736" s="148" t="s">
        <v>1803</v>
      </c>
      <c r="I736" s="149" t="s">
        <v>1794</v>
      </c>
      <c r="J736" s="150" t="s">
        <v>1796</v>
      </c>
      <c r="K736" s="148" t="s">
        <v>1796</v>
      </c>
      <c r="L736" s="148" t="s">
        <v>1794</v>
      </c>
      <c r="M736" s="148" t="s">
        <v>1796</v>
      </c>
      <c r="N736" s="148" t="s">
        <v>1796</v>
      </c>
      <c r="O736" s="149" t="s">
        <v>1794</v>
      </c>
      <c r="P736" s="150" t="s">
        <v>1796</v>
      </c>
      <c r="Q736" s="148" t="s">
        <v>1796</v>
      </c>
      <c r="R736" s="148" t="s">
        <v>1796</v>
      </c>
      <c r="S736" s="148" t="s">
        <v>1796</v>
      </c>
      <c r="T736" s="148" t="s">
        <v>1796</v>
      </c>
      <c r="U736" s="149" t="s">
        <v>1796</v>
      </c>
      <c r="V736" s="150" t="s">
        <v>1796</v>
      </c>
      <c r="W736" s="148" t="s">
        <v>1796</v>
      </c>
      <c r="X736" s="148" t="s">
        <v>1794</v>
      </c>
      <c r="Y736" s="148" t="s">
        <v>1803</v>
      </c>
      <c r="Z736" s="148" t="s">
        <v>1794</v>
      </c>
      <c r="AA736" s="148" t="s">
        <v>1794</v>
      </c>
      <c r="AB736" s="143"/>
      <c r="AC736" s="151" t="s">
        <v>1931</v>
      </c>
    </row>
    <row r="737" spans="1:29">
      <c r="A737" s="260"/>
      <c r="B737" t="s">
        <v>1861</v>
      </c>
      <c r="C737" t="s">
        <v>40</v>
      </c>
      <c r="D737" s="141">
        <v>0.48</v>
      </c>
      <c r="E737" s="141">
        <v>0.48499999999999999</v>
      </c>
      <c r="F737" s="141">
        <v>0.51500000000000001</v>
      </c>
      <c r="G737" s="141">
        <v>0.47</v>
      </c>
      <c r="H737" s="141">
        <v>0.46500000000000002</v>
      </c>
      <c r="I737" s="141">
        <v>0.49</v>
      </c>
      <c r="J737" s="142">
        <v>0.48</v>
      </c>
      <c r="K737" s="141">
        <v>0.495</v>
      </c>
      <c r="L737" s="141">
        <v>0.53500000000000003</v>
      </c>
      <c r="M737" s="141">
        <v>0.49</v>
      </c>
      <c r="N737" s="141">
        <v>0.5</v>
      </c>
      <c r="O737" s="141">
        <v>0.51500000000000001</v>
      </c>
      <c r="P737" s="142">
        <v>0.47499999999999998</v>
      </c>
      <c r="Q737" s="141">
        <v>0.47499999999999998</v>
      </c>
      <c r="R737" s="141">
        <v>0.44500000000000001</v>
      </c>
      <c r="S737" s="141">
        <v>0.505</v>
      </c>
      <c r="T737" s="141">
        <v>0.495</v>
      </c>
      <c r="U737" s="141">
        <v>0.51</v>
      </c>
      <c r="V737" s="142">
        <v>0.49</v>
      </c>
      <c r="W737" s="141">
        <v>0.49</v>
      </c>
      <c r="X737" s="141">
        <v>0.495</v>
      </c>
      <c r="Y737" s="141">
        <v>0.51</v>
      </c>
      <c r="Z737" s="141">
        <v>0.44500000000000001</v>
      </c>
      <c r="AA737" s="141">
        <v>0.42499999999999999</v>
      </c>
      <c r="AB737" s="143">
        <f>_xlfn.STDEV.P(D737:AA737)</f>
        <v>2.4309920243024707E-2</v>
      </c>
      <c r="AC737" s="143"/>
    </row>
    <row r="738" spans="1:29">
      <c r="A738" s="260"/>
      <c r="C738" t="s">
        <v>220</v>
      </c>
      <c r="D738" s="141">
        <v>0.99</v>
      </c>
      <c r="E738" s="141">
        <v>0.98</v>
      </c>
      <c r="F738" s="141">
        <v>1.03</v>
      </c>
      <c r="G738" s="141">
        <v>0.98499999999999999</v>
      </c>
      <c r="H738" s="141">
        <v>0.96499999999999997</v>
      </c>
      <c r="I738" s="141">
        <v>0.95499999999999996</v>
      </c>
      <c r="J738" s="142">
        <v>0.97</v>
      </c>
      <c r="K738" s="141">
        <v>0.95499999999999996</v>
      </c>
      <c r="L738" s="141">
        <v>1.075</v>
      </c>
      <c r="M738" s="141">
        <v>1.01</v>
      </c>
      <c r="N738" s="141">
        <v>1</v>
      </c>
      <c r="O738" s="141">
        <v>0.97499999999999998</v>
      </c>
      <c r="P738" s="142">
        <v>0.98</v>
      </c>
      <c r="Q738" s="141">
        <v>0.93500000000000005</v>
      </c>
      <c r="R738" s="141">
        <v>0.98499999999999999</v>
      </c>
      <c r="S738" s="141">
        <v>0.995</v>
      </c>
      <c r="T738" s="141">
        <v>1</v>
      </c>
      <c r="U738" s="141">
        <v>1.0049999999999999</v>
      </c>
      <c r="V738" s="142">
        <v>0.97499999999999998</v>
      </c>
      <c r="W738" s="141">
        <v>0.96499999999999997</v>
      </c>
      <c r="X738" s="141">
        <v>0.97499999999999998</v>
      </c>
      <c r="Y738" s="141">
        <v>0.98499999999999999</v>
      </c>
      <c r="Z738" s="141">
        <v>0.98</v>
      </c>
      <c r="AA738" s="141">
        <v>1.02</v>
      </c>
      <c r="AB738" s="143">
        <f>_xlfn.STDEV.P(D738:AA738)</f>
        <v>2.7798256340201551E-2</v>
      </c>
      <c r="AC738" s="143"/>
    </row>
    <row r="739" spans="1:29">
      <c r="A739" s="260"/>
      <c r="C739" t="s">
        <v>221</v>
      </c>
      <c r="D739" s="144">
        <v>0.51</v>
      </c>
      <c r="E739" s="144">
        <v>0.51500000000000001</v>
      </c>
      <c r="F739" s="144">
        <v>0.48499999999999999</v>
      </c>
      <c r="G739" s="144">
        <v>0.55000000000000004</v>
      </c>
      <c r="H739" s="144">
        <v>0.51500000000000001</v>
      </c>
      <c r="I739" s="141">
        <v>0.52500000000000002</v>
      </c>
      <c r="J739" s="145">
        <v>0.54</v>
      </c>
      <c r="K739" s="144">
        <v>0.53</v>
      </c>
      <c r="L739" s="144">
        <v>0.41499999999999998</v>
      </c>
      <c r="M739" s="144">
        <v>0.55500000000000005</v>
      </c>
      <c r="N739" s="144">
        <v>0.54500000000000004</v>
      </c>
      <c r="O739" s="141">
        <v>0.51500000000000001</v>
      </c>
      <c r="P739" s="145">
        <v>0.52</v>
      </c>
      <c r="Q739" s="144">
        <v>0.56999999999999995</v>
      </c>
      <c r="R739" s="144">
        <v>0.52</v>
      </c>
      <c r="S739" s="144">
        <v>0.49</v>
      </c>
      <c r="T739" s="144">
        <v>0.55500000000000005</v>
      </c>
      <c r="U739" s="141">
        <v>0.5</v>
      </c>
      <c r="V739" s="145">
        <v>0.52500000000000002</v>
      </c>
      <c r="W739" s="144">
        <v>0.52500000000000002</v>
      </c>
      <c r="X739" s="144">
        <v>0.5</v>
      </c>
      <c r="Y739" s="144">
        <v>0.54</v>
      </c>
      <c r="Z739" s="144">
        <v>0.53</v>
      </c>
      <c r="AA739" s="144">
        <v>0.56000000000000005</v>
      </c>
      <c r="AB739" s="143">
        <f>_xlfn.STDEV.P(D739:AA739)</f>
        <v>3.1057043171486179E-2</v>
      </c>
      <c r="AC739" s="146"/>
    </row>
    <row r="740" spans="1:29">
      <c r="A740" s="260"/>
      <c r="B740" s="147" t="s">
        <v>1862</v>
      </c>
      <c r="D740" s="148" t="s">
        <v>1795</v>
      </c>
      <c r="E740" s="148" t="s">
        <v>1796</v>
      </c>
      <c r="F740" s="148" t="s">
        <v>1796</v>
      </c>
      <c r="G740" s="148" t="s">
        <v>1803</v>
      </c>
      <c r="H740" s="148" t="s">
        <v>1795</v>
      </c>
      <c r="I740" s="149" t="s">
        <v>1795</v>
      </c>
      <c r="J740" s="150" t="s">
        <v>1796</v>
      </c>
      <c r="K740" s="148" t="s">
        <v>1796</v>
      </c>
      <c r="L740" s="148" t="s">
        <v>1803</v>
      </c>
      <c r="M740" s="148" t="s">
        <v>1803</v>
      </c>
      <c r="N740" s="148" t="s">
        <v>1794</v>
      </c>
      <c r="O740" s="149" t="s">
        <v>1796</v>
      </c>
      <c r="P740" s="150" t="s">
        <v>1796</v>
      </c>
      <c r="Q740" s="148" t="s">
        <v>1794</v>
      </c>
      <c r="R740" s="148" t="s">
        <v>1803</v>
      </c>
      <c r="S740" s="148" t="s">
        <v>1796</v>
      </c>
      <c r="T740" s="148" t="s">
        <v>1796</v>
      </c>
      <c r="U740" s="149" t="s">
        <v>1796</v>
      </c>
      <c r="V740" s="150" t="s">
        <v>1795</v>
      </c>
      <c r="W740" s="148" t="s">
        <v>1796</v>
      </c>
      <c r="X740" s="148" t="s">
        <v>1796</v>
      </c>
      <c r="Y740" s="148" t="s">
        <v>1796</v>
      </c>
      <c r="Z740" s="148" t="s">
        <v>1794</v>
      </c>
      <c r="AA740" s="148" t="s">
        <v>1794</v>
      </c>
      <c r="AB740" s="143"/>
      <c r="AC740" s="151" t="s">
        <v>1971</v>
      </c>
    </row>
    <row r="741" spans="1:29">
      <c r="A741" s="260"/>
      <c r="B741" t="s">
        <v>1864</v>
      </c>
      <c r="C741" t="s">
        <v>40</v>
      </c>
      <c r="D741" s="141">
        <v>0.49</v>
      </c>
      <c r="E741" s="141">
        <v>0.47499999999999998</v>
      </c>
      <c r="F741" s="141">
        <v>0.57499999999999996</v>
      </c>
      <c r="G741" s="141">
        <v>0.495</v>
      </c>
      <c r="H741" s="141">
        <v>0.48499999999999999</v>
      </c>
      <c r="I741" s="141">
        <v>0.495</v>
      </c>
      <c r="J741" s="142">
        <v>0.46</v>
      </c>
      <c r="K741" s="141">
        <v>0.47499999999999998</v>
      </c>
      <c r="L741" s="141">
        <v>0.505</v>
      </c>
      <c r="M741" s="141">
        <v>0.46500000000000002</v>
      </c>
      <c r="N741" s="141">
        <v>0.51500000000000001</v>
      </c>
      <c r="O741" s="141">
        <v>0.40500000000000003</v>
      </c>
      <c r="P741" s="142">
        <v>0.49</v>
      </c>
      <c r="Q741" s="141">
        <v>0.48499999999999999</v>
      </c>
      <c r="R741" s="141">
        <v>0.42499999999999999</v>
      </c>
      <c r="S741" s="141">
        <v>0.505</v>
      </c>
      <c r="T741" s="141">
        <v>0.49</v>
      </c>
      <c r="U741" s="141">
        <v>0.47499999999999998</v>
      </c>
      <c r="V741" s="142">
        <v>0.47</v>
      </c>
      <c r="W741" s="141">
        <v>0.47</v>
      </c>
      <c r="X741" s="141">
        <v>0.46500000000000002</v>
      </c>
      <c r="Y741" s="141">
        <v>0.47</v>
      </c>
      <c r="Z741" s="141">
        <v>0.45</v>
      </c>
      <c r="AA741" s="141">
        <v>0.505</v>
      </c>
      <c r="AB741" s="143">
        <f>_xlfn.STDEV.P(D741:AA741)</f>
        <v>3.1413461374951268E-2</v>
      </c>
      <c r="AC741" s="143"/>
    </row>
    <row r="742" spans="1:29">
      <c r="A742" s="260"/>
      <c r="C742" t="s">
        <v>220</v>
      </c>
      <c r="D742" s="141">
        <v>0.99</v>
      </c>
      <c r="E742" s="141">
        <v>0.97499999999999998</v>
      </c>
      <c r="F742" s="141">
        <v>0.99</v>
      </c>
      <c r="G742" s="141">
        <v>0.97</v>
      </c>
      <c r="H742" s="141">
        <v>0.96499999999999997</v>
      </c>
      <c r="I742" s="141">
        <v>0.96499999999999997</v>
      </c>
      <c r="J742" s="142">
        <v>0.99</v>
      </c>
      <c r="K742" s="141">
        <v>1.01</v>
      </c>
      <c r="L742" s="141">
        <v>1.0149999999999999</v>
      </c>
      <c r="M742" s="141">
        <v>0.97</v>
      </c>
      <c r="N742" s="141">
        <v>0.995</v>
      </c>
      <c r="O742" s="141">
        <v>1.0149999999999999</v>
      </c>
      <c r="P742" s="142">
        <v>0.98499999999999999</v>
      </c>
      <c r="Q742" s="141">
        <v>0.98499999999999999</v>
      </c>
      <c r="R742" s="141">
        <v>0.995</v>
      </c>
      <c r="S742" s="141">
        <v>0.99</v>
      </c>
      <c r="T742" s="141">
        <v>1.01</v>
      </c>
      <c r="U742" s="141">
        <v>0.97499999999999998</v>
      </c>
      <c r="V742" s="142">
        <v>0.99</v>
      </c>
      <c r="W742" s="141">
        <v>1.0149999999999999</v>
      </c>
      <c r="X742" s="141">
        <v>0.97</v>
      </c>
      <c r="Y742" s="141">
        <v>0.96499999999999997</v>
      </c>
      <c r="Z742" s="141">
        <v>0.97</v>
      </c>
      <c r="AA742" s="141">
        <v>0.96499999999999997</v>
      </c>
      <c r="AB742" s="143">
        <f>_xlfn.STDEV.P(D742:AA742)</f>
        <v>1.7015872900193962E-2</v>
      </c>
      <c r="AC742" s="143"/>
    </row>
    <row r="743" spans="1:29">
      <c r="A743" s="260"/>
      <c r="C743" t="s">
        <v>221</v>
      </c>
      <c r="D743" s="144">
        <v>0.52500000000000002</v>
      </c>
      <c r="E743" s="144">
        <v>0.505</v>
      </c>
      <c r="F743" s="144">
        <v>0.51</v>
      </c>
      <c r="G743" s="144">
        <v>0.56000000000000005</v>
      </c>
      <c r="H743" s="144">
        <v>0.54</v>
      </c>
      <c r="I743" s="141">
        <v>0.55000000000000004</v>
      </c>
      <c r="J743" s="145">
        <v>0.53500000000000003</v>
      </c>
      <c r="K743" s="144">
        <v>0.53</v>
      </c>
      <c r="L743" s="144">
        <v>0.52</v>
      </c>
      <c r="M743" s="144">
        <v>0.5</v>
      </c>
      <c r="N743" s="144">
        <v>0.52</v>
      </c>
      <c r="O743" s="141">
        <v>0.54500000000000004</v>
      </c>
      <c r="P743" s="145">
        <v>0.51</v>
      </c>
      <c r="Q743" s="144">
        <v>0.53500000000000003</v>
      </c>
      <c r="R743" s="144">
        <v>0.52</v>
      </c>
      <c r="S743" s="144">
        <v>0.52500000000000002</v>
      </c>
      <c r="T743" s="144">
        <v>0.49</v>
      </c>
      <c r="U743" s="141">
        <v>0.54</v>
      </c>
      <c r="V743" s="145">
        <v>0.52</v>
      </c>
      <c r="W743" s="144">
        <v>0.51</v>
      </c>
      <c r="X743" s="144">
        <v>0.55000000000000004</v>
      </c>
      <c r="Y743" s="144">
        <v>0.495</v>
      </c>
      <c r="Z743" s="144">
        <v>0.495</v>
      </c>
      <c r="AA743" s="144">
        <v>0.52</v>
      </c>
      <c r="AB743" s="143">
        <f>_xlfn.STDEV.P(D743:AA743)</f>
        <v>1.859192626443594E-2</v>
      </c>
      <c r="AC743" s="146"/>
    </row>
    <row r="744" spans="1:29">
      <c r="A744" s="260"/>
      <c r="B744" s="147" t="s">
        <v>1865</v>
      </c>
      <c r="D744" s="148" t="s">
        <v>1794</v>
      </c>
      <c r="E744" s="148" t="s">
        <v>1803</v>
      </c>
      <c r="F744" s="148" t="s">
        <v>1796</v>
      </c>
      <c r="G744" s="148" t="s">
        <v>1803</v>
      </c>
      <c r="H744" s="148" t="s">
        <v>1794</v>
      </c>
      <c r="I744" s="149" t="s">
        <v>1794</v>
      </c>
      <c r="J744" s="150" t="s">
        <v>1796</v>
      </c>
      <c r="K744" s="148" t="s">
        <v>1796</v>
      </c>
      <c r="L744" s="148" t="s">
        <v>1795</v>
      </c>
      <c r="M744" s="148" t="s">
        <v>1803</v>
      </c>
      <c r="N744" s="148" t="s">
        <v>1794</v>
      </c>
      <c r="O744" s="149" t="s">
        <v>1796</v>
      </c>
      <c r="P744" s="150" t="s">
        <v>1796</v>
      </c>
      <c r="Q744" s="148" t="s">
        <v>1794</v>
      </c>
      <c r="R744" s="148" t="s">
        <v>1803</v>
      </c>
      <c r="S744" s="148" t="s">
        <v>1796</v>
      </c>
      <c r="T744" s="148" t="s">
        <v>1803</v>
      </c>
      <c r="U744" s="149" t="s">
        <v>1796</v>
      </c>
      <c r="V744" s="150" t="s">
        <v>1795</v>
      </c>
      <c r="W744" s="148" t="s">
        <v>1796</v>
      </c>
      <c r="X744" s="148" t="s">
        <v>1796</v>
      </c>
      <c r="Y744" s="148" t="s">
        <v>1794</v>
      </c>
      <c r="Z744" s="148" t="s">
        <v>1794</v>
      </c>
      <c r="AA744" s="148" t="s">
        <v>1794</v>
      </c>
      <c r="AB744" s="143"/>
      <c r="AC744" s="151" t="s">
        <v>1972</v>
      </c>
    </row>
    <row r="745" spans="1:29">
      <c r="A745" s="260"/>
      <c r="B745" t="s">
        <v>1867</v>
      </c>
      <c r="C745" t="s">
        <v>40</v>
      </c>
      <c r="D745" s="141">
        <v>0.5</v>
      </c>
      <c r="E745" s="141">
        <v>0.48</v>
      </c>
      <c r="F745" s="141">
        <v>0.495</v>
      </c>
      <c r="G745" s="141">
        <v>0.44500000000000001</v>
      </c>
      <c r="H745" s="141">
        <v>0.5</v>
      </c>
      <c r="I745" s="141">
        <v>0.505</v>
      </c>
      <c r="J745" s="142">
        <v>0.47499999999999998</v>
      </c>
      <c r="K745" s="141">
        <v>0.47</v>
      </c>
      <c r="L745" s="141">
        <v>0.47</v>
      </c>
      <c r="M745" s="141">
        <v>0.55000000000000004</v>
      </c>
      <c r="N745" s="141">
        <v>0.36</v>
      </c>
      <c r="O745" s="141">
        <v>0.495</v>
      </c>
      <c r="P745" s="142">
        <v>0.49</v>
      </c>
      <c r="Q745" s="141">
        <v>0.53500000000000003</v>
      </c>
      <c r="R745" s="141">
        <v>0.47</v>
      </c>
      <c r="S745" s="141">
        <v>0.52</v>
      </c>
      <c r="T745" s="141">
        <v>0.495</v>
      </c>
      <c r="U745" s="141">
        <v>0.51500000000000001</v>
      </c>
      <c r="V745" s="142">
        <v>0.49</v>
      </c>
      <c r="W745" s="141">
        <v>0.53</v>
      </c>
      <c r="X745" s="141">
        <v>0.49</v>
      </c>
      <c r="Y745" s="141">
        <v>0.54500000000000004</v>
      </c>
      <c r="Z745" s="141">
        <v>0.56000000000000005</v>
      </c>
      <c r="AA745" s="141">
        <v>0.52500000000000002</v>
      </c>
      <c r="AB745" s="143">
        <f>_xlfn.STDEV.P(D745:AA745)</f>
        <v>3.9745282738961628E-2</v>
      </c>
      <c r="AC745" s="143"/>
    </row>
    <row r="746" spans="1:29">
      <c r="A746" s="260"/>
      <c r="C746" t="s">
        <v>220</v>
      </c>
      <c r="D746" s="141">
        <v>0.995</v>
      </c>
      <c r="E746" s="141">
        <v>0.97</v>
      </c>
      <c r="F746" s="141">
        <v>0.98499999999999999</v>
      </c>
      <c r="G746" s="141">
        <v>0.995</v>
      </c>
      <c r="H746" s="141">
        <v>1.0049999999999999</v>
      </c>
      <c r="I746" s="141">
        <v>0.98499999999999999</v>
      </c>
      <c r="J746" s="142">
        <v>0.99</v>
      </c>
      <c r="K746" s="141">
        <v>0.95499999999999996</v>
      </c>
      <c r="L746" s="141">
        <v>0.93500000000000005</v>
      </c>
      <c r="M746" s="141">
        <v>0.97</v>
      </c>
      <c r="N746" s="141">
        <v>1.0249999999999999</v>
      </c>
      <c r="O746" s="141">
        <v>0.98</v>
      </c>
      <c r="P746" s="142">
        <v>0.995</v>
      </c>
      <c r="Q746" s="141">
        <v>1.03</v>
      </c>
      <c r="R746" s="141">
        <v>1</v>
      </c>
      <c r="S746" s="141">
        <v>0.99</v>
      </c>
      <c r="T746" s="141">
        <v>0.995</v>
      </c>
      <c r="U746" s="141">
        <v>1.0149999999999999</v>
      </c>
      <c r="V746" s="142">
        <v>0.97499999999999998</v>
      </c>
      <c r="W746" s="141">
        <v>0.98499999999999999</v>
      </c>
      <c r="X746" s="141">
        <v>1</v>
      </c>
      <c r="Y746" s="141">
        <v>0.995</v>
      </c>
      <c r="Z746" s="141">
        <v>0.98</v>
      </c>
      <c r="AA746" s="141">
        <v>0.98</v>
      </c>
      <c r="AB746" s="143">
        <f>_xlfn.STDEV.P(D746:AA746)</f>
        <v>2.0013016597538034E-2</v>
      </c>
      <c r="AC746" s="143"/>
    </row>
    <row r="747" spans="1:29">
      <c r="A747" s="260"/>
      <c r="C747" t="s">
        <v>221</v>
      </c>
      <c r="D747" s="144">
        <v>0.5</v>
      </c>
      <c r="E747" s="144">
        <v>0.51</v>
      </c>
      <c r="F747" s="144">
        <v>0.51</v>
      </c>
      <c r="G747" s="144">
        <v>0.54</v>
      </c>
      <c r="H747" s="144">
        <v>0.505</v>
      </c>
      <c r="I747" s="141">
        <v>0.5</v>
      </c>
      <c r="J747" s="145">
        <v>0.52</v>
      </c>
      <c r="K747" s="144">
        <v>0.53500000000000003</v>
      </c>
      <c r="L747" s="144">
        <v>0.56000000000000005</v>
      </c>
      <c r="M747" s="144">
        <v>0.49</v>
      </c>
      <c r="N747" s="144">
        <v>0.52500000000000002</v>
      </c>
      <c r="O747" s="141">
        <v>0.505</v>
      </c>
      <c r="P747" s="145">
        <v>0.505</v>
      </c>
      <c r="Q747" s="144">
        <v>0.47</v>
      </c>
      <c r="R747" s="144">
        <v>0.54</v>
      </c>
      <c r="S747" s="144">
        <v>0.47499999999999998</v>
      </c>
      <c r="T747" s="144">
        <v>0.52500000000000002</v>
      </c>
      <c r="U747" s="141">
        <v>0.49</v>
      </c>
      <c r="V747" s="145">
        <v>0.52</v>
      </c>
      <c r="W747" s="144">
        <v>0.505</v>
      </c>
      <c r="X747" s="144">
        <v>0.5</v>
      </c>
      <c r="Y747" s="144">
        <v>0.53</v>
      </c>
      <c r="Z747" s="144">
        <v>0.54</v>
      </c>
      <c r="AA747" s="144">
        <v>0.505</v>
      </c>
      <c r="AB747" s="143">
        <f>_xlfn.STDEV.P(D747:AA747)</f>
        <v>2.1163016417535794E-2</v>
      </c>
      <c r="AC747" s="146"/>
    </row>
    <row r="748" spans="1:29">
      <c r="A748" s="260"/>
      <c r="B748" s="147" t="s">
        <v>1868</v>
      </c>
      <c r="D748" s="148" t="s">
        <v>1795</v>
      </c>
      <c r="E748" s="148" t="s">
        <v>1803</v>
      </c>
      <c r="F748" s="148" t="s">
        <v>1796</v>
      </c>
      <c r="G748" s="148" t="s">
        <v>1795</v>
      </c>
      <c r="H748" s="148" t="s">
        <v>1794</v>
      </c>
      <c r="I748" s="149" t="s">
        <v>1795</v>
      </c>
      <c r="J748" s="150" t="s">
        <v>1803</v>
      </c>
      <c r="K748" s="148" t="s">
        <v>1803</v>
      </c>
      <c r="L748" s="148" t="s">
        <v>1794</v>
      </c>
      <c r="M748" s="148" t="s">
        <v>1794</v>
      </c>
      <c r="N748" s="148" t="s">
        <v>1794</v>
      </c>
      <c r="O748" s="149" t="s">
        <v>1794</v>
      </c>
      <c r="P748" s="150" t="s">
        <v>1796</v>
      </c>
      <c r="Q748" s="148" t="s">
        <v>1794</v>
      </c>
      <c r="R748" s="148" t="s">
        <v>1796</v>
      </c>
      <c r="S748" s="148" t="s">
        <v>1796</v>
      </c>
      <c r="T748" s="148" t="s">
        <v>1794</v>
      </c>
      <c r="U748" s="149" t="s">
        <v>1794</v>
      </c>
      <c r="V748" s="150" t="s">
        <v>1794</v>
      </c>
      <c r="W748" s="148" t="s">
        <v>1796</v>
      </c>
      <c r="X748" s="148" t="s">
        <v>1796</v>
      </c>
      <c r="Y748" s="148" t="s">
        <v>1794</v>
      </c>
      <c r="Z748" s="148" t="s">
        <v>1794</v>
      </c>
      <c r="AA748" s="148" t="s">
        <v>1794</v>
      </c>
      <c r="AB748" s="143"/>
      <c r="AC748" s="151" t="s">
        <v>1973</v>
      </c>
    </row>
    <row r="749" spans="1:29">
      <c r="A749" s="260"/>
      <c r="B749" t="s">
        <v>1869</v>
      </c>
      <c r="C749" t="s">
        <v>40</v>
      </c>
      <c r="D749" s="141">
        <v>0.48499999999999999</v>
      </c>
      <c r="E749" s="141">
        <v>0.505</v>
      </c>
      <c r="F749" s="141">
        <v>0.495</v>
      </c>
      <c r="G749" s="141">
        <v>0.495</v>
      </c>
      <c r="H749" s="141">
        <v>0.5</v>
      </c>
      <c r="I749" s="141">
        <v>0.49</v>
      </c>
      <c r="J749" s="142">
        <v>0.5</v>
      </c>
      <c r="K749" s="141">
        <v>0.505</v>
      </c>
      <c r="L749" s="141">
        <v>0.51</v>
      </c>
      <c r="M749" s="141">
        <v>0.495</v>
      </c>
      <c r="N749" s="141">
        <v>0.59499999999999997</v>
      </c>
      <c r="O749" s="141">
        <v>0.51500000000000001</v>
      </c>
      <c r="P749" s="142">
        <v>0.48499999999999999</v>
      </c>
      <c r="Q749" s="141">
        <v>0.51</v>
      </c>
      <c r="R749" s="141">
        <v>0.56999999999999995</v>
      </c>
      <c r="S749" s="141">
        <v>0.48499999999999999</v>
      </c>
      <c r="T749" s="141">
        <v>0.495</v>
      </c>
      <c r="U749" s="141">
        <v>0.48499999999999999</v>
      </c>
      <c r="V749" s="142">
        <v>0.48499999999999999</v>
      </c>
      <c r="W749" s="141">
        <v>0.505</v>
      </c>
      <c r="X749" s="141">
        <v>0.49</v>
      </c>
      <c r="Y749" s="141">
        <v>0.49</v>
      </c>
      <c r="Z749" s="141">
        <v>0.505</v>
      </c>
      <c r="AA749" s="141">
        <v>0.505</v>
      </c>
      <c r="AB749" s="143">
        <f>_xlfn.STDEV.P(D749:AA749)</f>
        <v>2.5481474752367755E-2</v>
      </c>
      <c r="AC749" s="143"/>
    </row>
    <row r="750" spans="1:29">
      <c r="A750" s="260"/>
      <c r="C750" t="s">
        <v>220</v>
      </c>
      <c r="D750" s="141">
        <v>0.995</v>
      </c>
      <c r="E750" s="141">
        <v>0.95499999999999996</v>
      </c>
      <c r="F750" s="141">
        <v>0.99</v>
      </c>
      <c r="G750" s="141">
        <v>1.02</v>
      </c>
      <c r="H750" s="141">
        <v>0.96499999999999997</v>
      </c>
      <c r="I750" s="141">
        <v>0.98499999999999999</v>
      </c>
      <c r="J750" s="142">
        <v>0.99</v>
      </c>
      <c r="K750" s="141">
        <v>0.96</v>
      </c>
      <c r="L750" s="141">
        <v>1.0449999999999999</v>
      </c>
      <c r="M750" s="141">
        <v>0.96499999999999997</v>
      </c>
      <c r="N750" s="141">
        <v>1.01</v>
      </c>
      <c r="O750" s="141">
        <v>0.97499999999999998</v>
      </c>
      <c r="P750" s="142">
        <v>0.995</v>
      </c>
      <c r="Q750" s="141">
        <v>1</v>
      </c>
      <c r="R750" s="141">
        <v>0.97499999999999998</v>
      </c>
      <c r="S750" s="141">
        <v>0.99</v>
      </c>
      <c r="T750" s="141">
        <v>0.99</v>
      </c>
      <c r="U750" s="141">
        <v>1.02</v>
      </c>
      <c r="V750" s="142">
        <v>0.97</v>
      </c>
      <c r="W750" s="141">
        <v>0.995</v>
      </c>
      <c r="X750" s="141">
        <v>0.97</v>
      </c>
      <c r="Y750" s="141">
        <v>1.02</v>
      </c>
      <c r="Z750" s="141">
        <v>0.98499999999999999</v>
      </c>
      <c r="AA750" s="141">
        <v>1.01</v>
      </c>
      <c r="AB750" s="143">
        <f>_xlfn.STDEV.P(D750:AA750)</f>
        <v>2.1761610885532669E-2</v>
      </c>
      <c r="AC750" s="143"/>
    </row>
    <row r="751" spans="1:29">
      <c r="A751" s="260"/>
      <c r="C751" t="s">
        <v>221</v>
      </c>
      <c r="D751" s="144">
        <v>0.51500000000000001</v>
      </c>
      <c r="E751" s="144">
        <v>0.53</v>
      </c>
      <c r="F751" s="144">
        <v>0.53500000000000003</v>
      </c>
      <c r="G751" s="144">
        <v>0.46500000000000002</v>
      </c>
      <c r="H751" s="144">
        <v>0.57499999999999996</v>
      </c>
      <c r="I751" s="141">
        <v>0.53500000000000003</v>
      </c>
      <c r="J751" s="145">
        <v>0.53</v>
      </c>
      <c r="K751" s="144">
        <v>0.54</v>
      </c>
      <c r="L751" s="144">
        <v>0.48</v>
      </c>
      <c r="M751" s="144">
        <v>0.49</v>
      </c>
      <c r="N751" s="144">
        <v>0.51</v>
      </c>
      <c r="O751" s="141">
        <v>0.53</v>
      </c>
      <c r="P751" s="145">
        <v>0.53500000000000003</v>
      </c>
      <c r="Q751" s="144">
        <v>0.505</v>
      </c>
      <c r="R751" s="144">
        <v>0.495</v>
      </c>
      <c r="S751" s="144">
        <v>0.47</v>
      </c>
      <c r="T751" s="144">
        <v>0.53</v>
      </c>
      <c r="U751" s="141">
        <v>0.5</v>
      </c>
      <c r="V751" s="145">
        <v>0.54500000000000004</v>
      </c>
      <c r="W751" s="144">
        <v>0.52</v>
      </c>
      <c r="X751" s="144">
        <v>0.52</v>
      </c>
      <c r="Y751" s="144">
        <v>0.5</v>
      </c>
      <c r="Z751" s="144">
        <v>0.48499999999999999</v>
      </c>
      <c r="AA751" s="144">
        <v>0.51</v>
      </c>
      <c r="AB751" s="143">
        <f>_xlfn.STDEV.P(D751:AA751)</f>
        <v>2.5450796756792429E-2</v>
      </c>
      <c r="AC751" s="146"/>
    </row>
    <row r="752" spans="1:29">
      <c r="A752" s="260"/>
      <c r="B752" s="147" t="s">
        <v>1870</v>
      </c>
      <c r="D752" s="148" t="s">
        <v>1803</v>
      </c>
      <c r="E752" s="148" t="s">
        <v>1803</v>
      </c>
      <c r="F752" s="148" t="s">
        <v>1796</v>
      </c>
      <c r="G752" s="148" t="s">
        <v>1794</v>
      </c>
      <c r="H752" s="148" t="s">
        <v>1794</v>
      </c>
      <c r="I752" s="149" t="s">
        <v>1794</v>
      </c>
      <c r="J752" s="150" t="s">
        <v>1795</v>
      </c>
      <c r="K752" s="148" t="s">
        <v>1796</v>
      </c>
      <c r="L752" s="148" t="s">
        <v>1796</v>
      </c>
      <c r="M752" s="148" t="s">
        <v>1796</v>
      </c>
      <c r="N752" s="148" t="s">
        <v>1794</v>
      </c>
      <c r="O752" s="149" t="s">
        <v>1796</v>
      </c>
      <c r="P752" s="150" t="s">
        <v>1796</v>
      </c>
      <c r="Q752" s="148" t="s">
        <v>1795</v>
      </c>
      <c r="R752" s="148" t="s">
        <v>1803</v>
      </c>
      <c r="S752" s="148" t="s">
        <v>1796</v>
      </c>
      <c r="T752" s="148" t="s">
        <v>1803</v>
      </c>
      <c r="U752" s="149" t="s">
        <v>1796</v>
      </c>
      <c r="V752" s="150" t="s">
        <v>1794</v>
      </c>
      <c r="W752" s="148" t="s">
        <v>1803</v>
      </c>
      <c r="X752" s="148" t="s">
        <v>1796</v>
      </c>
      <c r="Y752" s="148" t="s">
        <v>1803</v>
      </c>
      <c r="Z752" s="148" t="s">
        <v>1796</v>
      </c>
      <c r="AA752" s="148" t="s">
        <v>1794</v>
      </c>
      <c r="AB752" s="143"/>
      <c r="AC752" s="151" t="s">
        <v>1974</v>
      </c>
    </row>
    <row r="753" spans="1:29">
      <c r="A753" s="260"/>
      <c r="B753" t="s">
        <v>1887</v>
      </c>
      <c r="C753" t="s">
        <v>40</v>
      </c>
      <c r="D753" s="141">
        <v>0.51</v>
      </c>
      <c r="E753" s="141">
        <v>0.51</v>
      </c>
      <c r="F753" s="141">
        <v>0.47</v>
      </c>
      <c r="G753" s="141">
        <v>0.46500000000000002</v>
      </c>
      <c r="H753" s="141">
        <v>0.505</v>
      </c>
      <c r="I753" s="141">
        <v>0.48499999999999999</v>
      </c>
      <c r="J753" s="142">
        <v>0.48499999999999999</v>
      </c>
      <c r="K753" s="141">
        <v>0.45500000000000002</v>
      </c>
      <c r="L753" s="141">
        <v>0.45500000000000002</v>
      </c>
      <c r="M753" s="141">
        <v>0.48499999999999999</v>
      </c>
      <c r="N753" s="141">
        <v>0.55000000000000004</v>
      </c>
      <c r="O753" s="141">
        <v>0.51</v>
      </c>
      <c r="P753" s="142">
        <v>0.49</v>
      </c>
      <c r="Q753" s="141">
        <v>0.48499999999999999</v>
      </c>
      <c r="R753" s="141">
        <v>0.495</v>
      </c>
      <c r="S753" s="141">
        <v>0.48499999999999999</v>
      </c>
      <c r="T753" s="141">
        <v>0.48</v>
      </c>
      <c r="U753" s="141">
        <v>0.49</v>
      </c>
      <c r="V753" s="142">
        <v>0.495</v>
      </c>
      <c r="W753" s="141">
        <v>0.5</v>
      </c>
      <c r="X753" s="141">
        <v>0.47</v>
      </c>
      <c r="Y753" s="141">
        <v>0.41499999999999998</v>
      </c>
      <c r="Z753" s="141">
        <v>0.51500000000000001</v>
      </c>
      <c r="AA753" s="141">
        <v>0.54500000000000004</v>
      </c>
      <c r="AB753" s="143">
        <f>_xlfn.STDEV.P(D753:AA753)</f>
        <v>2.7798256340201555E-2</v>
      </c>
      <c r="AC753" s="143"/>
    </row>
    <row r="754" spans="1:29">
      <c r="A754" s="260"/>
      <c r="C754" t="s">
        <v>220</v>
      </c>
      <c r="D754" s="141">
        <v>0.99</v>
      </c>
      <c r="E754" s="141">
        <v>0.97</v>
      </c>
      <c r="F754" s="141">
        <v>0.99</v>
      </c>
      <c r="G754" s="141">
        <v>1.03</v>
      </c>
      <c r="H754" s="141">
        <v>0.98499999999999999</v>
      </c>
      <c r="I754" s="141">
        <v>0.96</v>
      </c>
      <c r="J754" s="142">
        <v>0.995</v>
      </c>
      <c r="K754" s="141">
        <v>1.0149999999999999</v>
      </c>
      <c r="L754" s="141">
        <v>0.91</v>
      </c>
      <c r="M754" s="141">
        <v>1.02</v>
      </c>
      <c r="N754" s="141">
        <v>0.98</v>
      </c>
      <c r="O754" s="141">
        <v>0.99</v>
      </c>
      <c r="P754" s="142">
        <v>1.01</v>
      </c>
      <c r="Q754" s="141">
        <v>0.94</v>
      </c>
      <c r="R754" s="141">
        <v>0.96499999999999997</v>
      </c>
      <c r="S754" s="141">
        <v>0.995</v>
      </c>
      <c r="T754" s="141">
        <v>0.96499999999999997</v>
      </c>
      <c r="U754" s="141">
        <v>1.01</v>
      </c>
      <c r="V754" s="142">
        <v>0.98499999999999999</v>
      </c>
      <c r="W754" s="141">
        <v>0.995</v>
      </c>
      <c r="X754" s="141">
        <v>0.96</v>
      </c>
      <c r="Y754" s="141">
        <v>0.96</v>
      </c>
      <c r="Z754" s="141">
        <v>1</v>
      </c>
      <c r="AA754" s="141">
        <v>0.98499999999999999</v>
      </c>
      <c r="AB754" s="143">
        <f>_xlfn.STDEV.P(D754:AA754)</f>
        <v>2.6239250444494207E-2</v>
      </c>
      <c r="AC754" s="143"/>
    </row>
    <row r="755" spans="1:29">
      <c r="A755" s="260"/>
      <c r="C755" t="s">
        <v>221</v>
      </c>
      <c r="D755" s="144">
        <v>0.52500000000000002</v>
      </c>
      <c r="E755" s="144">
        <v>0.54500000000000004</v>
      </c>
      <c r="F755" s="144">
        <v>0.53500000000000003</v>
      </c>
      <c r="G755" s="144">
        <v>0.49</v>
      </c>
      <c r="H755" s="144">
        <v>0.51500000000000001</v>
      </c>
      <c r="I755" s="141">
        <v>0.52</v>
      </c>
      <c r="J755" s="145">
        <v>0.505</v>
      </c>
      <c r="K755" s="144">
        <v>0.51500000000000001</v>
      </c>
      <c r="L755" s="144">
        <v>0.57499999999999996</v>
      </c>
      <c r="M755" s="144">
        <v>0.54</v>
      </c>
      <c r="N755" s="144">
        <v>0.52500000000000002</v>
      </c>
      <c r="O755" s="141">
        <v>0.53</v>
      </c>
      <c r="P755" s="145">
        <v>0.51500000000000001</v>
      </c>
      <c r="Q755" s="144">
        <v>0.56499999999999995</v>
      </c>
      <c r="R755" s="144">
        <v>0.5</v>
      </c>
      <c r="S755" s="144">
        <v>0.51</v>
      </c>
      <c r="T755" s="144">
        <v>0.505</v>
      </c>
      <c r="U755" s="141">
        <v>0.5</v>
      </c>
      <c r="V755" s="145">
        <v>0.51</v>
      </c>
      <c r="W755" s="144">
        <v>0.52</v>
      </c>
      <c r="X755" s="144">
        <v>0.55500000000000005</v>
      </c>
      <c r="Y755" s="144">
        <v>0.5</v>
      </c>
      <c r="Z755" s="144">
        <v>0.53500000000000003</v>
      </c>
      <c r="AA755" s="144">
        <v>0.51500000000000001</v>
      </c>
      <c r="AB755" s="143">
        <f>_xlfn.STDEV.P(D755:AA755)</f>
        <v>2.0962102046842106E-2</v>
      </c>
      <c r="AC755" s="146"/>
    </row>
    <row r="756" spans="1:29">
      <c r="A756" s="260"/>
      <c r="B756" s="147" t="s">
        <v>1888</v>
      </c>
      <c r="D756" s="148" t="s">
        <v>1795</v>
      </c>
      <c r="E756" s="148" t="s">
        <v>1803</v>
      </c>
      <c r="F756" s="148" t="s">
        <v>1796</v>
      </c>
      <c r="G756" s="148" t="s">
        <v>1795</v>
      </c>
      <c r="H756" s="148" t="s">
        <v>1795</v>
      </c>
      <c r="I756" s="149" t="s">
        <v>1794</v>
      </c>
      <c r="J756" s="150" t="s">
        <v>1803</v>
      </c>
      <c r="K756" s="148" t="s">
        <v>1796</v>
      </c>
      <c r="L756" s="148" t="s">
        <v>1794</v>
      </c>
      <c r="M756" s="148" t="s">
        <v>1803</v>
      </c>
      <c r="N756" s="148" t="s">
        <v>1794</v>
      </c>
      <c r="O756" s="149" t="s">
        <v>1794</v>
      </c>
      <c r="P756" s="150" t="s">
        <v>1803</v>
      </c>
      <c r="Q756" s="148" t="s">
        <v>1795</v>
      </c>
      <c r="R756" s="148" t="s">
        <v>1803</v>
      </c>
      <c r="S756" s="148" t="s">
        <v>1796</v>
      </c>
      <c r="T756" s="148" t="s">
        <v>1803</v>
      </c>
      <c r="U756" s="149" t="s">
        <v>1794</v>
      </c>
      <c r="V756" s="150" t="s">
        <v>1795</v>
      </c>
      <c r="W756" s="148" t="s">
        <v>1803</v>
      </c>
      <c r="X756" s="148" t="s">
        <v>1794</v>
      </c>
      <c r="Y756" s="148" t="s">
        <v>1796</v>
      </c>
      <c r="Z756" s="148" t="s">
        <v>1794</v>
      </c>
      <c r="AA756" s="148" t="s">
        <v>1794</v>
      </c>
      <c r="AB756" s="143"/>
      <c r="AC756" s="151" t="s">
        <v>1975</v>
      </c>
    </row>
    <row r="757" spans="1:29">
      <c r="A757" s="260"/>
      <c r="B757" s="153" t="s">
        <v>1890</v>
      </c>
      <c r="C757" s="153" t="s">
        <v>40</v>
      </c>
      <c r="D757" s="154">
        <v>0.52500000000000002</v>
      </c>
      <c r="E757" s="154">
        <v>0.51500000000000001</v>
      </c>
      <c r="F757" s="154">
        <v>0.47</v>
      </c>
      <c r="G757" s="154">
        <v>0.51</v>
      </c>
      <c r="H757" s="154">
        <v>0.49</v>
      </c>
      <c r="I757" s="154">
        <v>0.5</v>
      </c>
      <c r="J757" s="155">
        <v>0.48499999999999999</v>
      </c>
      <c r="K757" s="154">
        <v>0.495</v>
      </c>
      <c r="L757" s="154">
        <v>0.48499999999999999</v>
      </c>
      <c r="M757" s="154">
        <v>0.51</v>
      </c>
      <c r="N757" s="154">
        <v>0.38500000000000001</v>
      </c>
      <c r="O757" s="154">
        <v>0.495</v>
      </c>
      <c r="P757" s="155">
        <v>0.48499999999999999</v>
      </c>
      <c r="Q757" s="154">
        <v>0.495</v>
      </c>
      <c r="R757" s="154">
        <v>0.51</v>
      </c>
      <c r="S757" s="154">
        <v>0.54500000000000004</v>
      </c>
      <c r="T757" s="154">
        <v>0.56999999999999995</v>
      </c>
      <c r="U757" s="154">
        <v>0.495</v>
      </c>
      <c r="V757" s="155">
        <v>0.495</v>
      </c>
      <c r="W757" s="154">
        <v>0.51500000000000001</v>
      </c>
      <c r="X757" s="154">
        <v>0.45</v>
      </c>
      <c r="Y757" s="154">
        <v>0.48</v>
      </c>
      <c r="Z757" s="154">
        <v>0.48</v>
      </c>
      <c r="AA757" s="154">
        <v>0.5</v>
      </c>
      <c r="AB757" s="156">
        <f>_xlfn.STDEV.P(D757:AA757)</f>
        <v>3.2960809009421409E-2</v>
      </c>
      <c r="AC757" s="156"/>
    </row>
    <row r="758" spans="1:29">
      <c r="A758" s="260"/>
      <c r="B758" s="153"/>
      <c r="C758" s="153" t="s">
        <v>220</v>
      </c>
      <c r="D758" s="154">
        <v>0.98</v>
      </c>
      <c r="E758" s="154">
        <v>0.98499999999999999</v>
      </c>
      <c r="F758" s="154">
        <v>0.995</v>
      </c>
      <c r="G758" s="154">
        <v>0.96</v>
      </c>
      <c r="H758" s="154">
        <v>1</v>
      </c>
      <c r="I758" s="154">
        <v>0.98499999999999999</v>
      </c>
      <c r="J758" s="155">
        <v>0.99</v>
      </c>
      <c r="K758" s="154">
        <v>0.98</v>
      </c>
      <c r="L758" s="154">
        <v>0.99</v>
      </c>
      <c r="M758" s="154">
        <v>0.98499999999999999</v>
      </c>
      <c r="N758" s="154">
        <v>1.0149999999999999</v>
      </c>
      <c r="O758" s="154">
        <v>0.98499999999999999</v>
      </c>
      <c r="P758" s="155">
        <v>0.995</v>
      </c>
      <c r="Q758" s="154">
        <v>0.99</v>
      </c>
      <c r="R758" s="154">
        <v>1.0149999999999999</v>
      </c>
      <c r="S758" s="154">
        <v>1.0049999999999999</v>
      </c>
      <c r="T758" s="154">
        <v>1.01</v>
      </c>
      <c r="U758" s="154">
        <v>0.96499999999999997</v>
      </c>
      <c r="V758" s="155">
        <v>0.99</v>
      </c>
      <c r="W758" s="154">
        <v>0.98499999999999999</v>
      </c>
      <c r="X758" s="154">
        <v>0.98</v>
      </c>
      <c r="Y758" s="154">
        <v>0.995</v>
      </c>
      <c r="Z758" s="154">
        <v>0.95499999999999996</v>
      </c>
      <c r="AA758" s="154">
        <v>0.99</v>
      </c>
      <c r="AB758" s="156">
        <f>_xlfn.STDEV.P(D758:AA758)</f>
        <v>1.4682697205289698E-2</v>
      </c>
      <c r="AC758" s="156"/>
    </row>
    <row r="759" spans="1:29">
      <c r="A759" s="260"/>
      <c r="B759" s="153"/>
      <c r="C759" s="153" t="s">
        <v>221</v>
      </c>
      <c r="D759" s="157">
        <v>0.48</v>
      </c>
      <c r="E759" s="157">
        <v>0.53500000000000003</v>
      </c>
      <c r="F759" s="157">
        <v>0.56999999999999995</v>
      </c>
      <c r="G759" s="157">
        <v>0.52500000000000002</v>
      </c>
      <c r="H759" s="157">
        <v>0.54</v>
      </c>
      <c r="I759" s="154">
        <v>0.53</v>
      </c>
      <c r="J759" s="158">
        <v>0.53500000000000003</v>
      </c>
      <c r="K759" s="157">
        <v>0.55000000000000004</v>
      </c>
      <c r="L759" s="157">
        <v>0.51</v>
      </c>
      <c r="M759" s="157">
        <v>0.51</v>
      </c>
      <c r="N759" s="157">
        <v>0.57999999999999996</v>
      </c>
      <c r="O759" s="154">
        <v>0.52500000000000002</v>
      </c>
      <c r="P759" s="158">
        <v>0.54</v>
      </c>
      <c r="Q759" s="157">
        <v>0.52500000000000002</v>
      </c>
      <c r="R759" s="157">
        <v>0.56499999999999995</v>
      </c>
      <c r="S759" s="157">
        <v>0.43</v>
      </c>
      <c r="T759" s="157">
        <v>0.52500000000000002</v>
      </c>
      <c r="U759" s="154">
        <v>0.54</v>
      </c>
      <c r="V759" s="158">
        <v>0.54500000000000004</v>
      </c>
      <c r="W759" s="157">
        <v>0.51</v>
      </c>
      <c r="X759" s="157">
        <v>0.53</v>
      </c>
      <c r="Y759" s="157">
        <v>0.53500000000000003</v>
      </c>
      <c r="Z759" s="157">
        <v>0.53</v>
      </c>
      <c r="AA759" s="157">
        <v>0.52</v>
      </c>
      <c r="AB759" s="156">
        <f>_xlfn.STDEV.P(D759:AA759)</f>
        <v>2.899278526154778E-2</v>
      </c>
      <c r="AC759" s="164"/>
    </row>
    <row r="760" spans="1:29">
      <c r="A760" s="260"/>
      <c r="B760" s="159" t="s">
        <v>1891</v>
      </c>
      <c r="C760" s="153"/>
      <c r="D760" s="160" t="s">
        <v>1796</v>
      </c>
      <c r="E760" s="160" t="s">
        <v>1796</v>
      </c>
      <c r="F760" s="160" t="s">
        <v>1796</v>
      </c>
      <c r="G760" s="160" t="s">
        <v>1794</v>
      </c>
      <c r="H760" s="160" t="s">
        <v>1794</v>
      </c>
      <c r="I760" s="161" t="s">
        <v>1796</v>
      </c>
      <c r="J760" s="162" t="s">
        <v>1803</v>
      </c>
      <c r="K760" s="160" t="s">
        <v>1803</v>
      </c>
      <c r="L760" s="160" t="s">
        <v>1794</v>
      </c>
      <c r="M760" s="160" t="s">
        <v>1794</v>
      </c>
      <c r="N760" s="160" t="s">
        <v>1794</v>
      </c>
      <c r="O760" s="161" t="s">
        <v>1796</v>
      </c>
      <c r="P760" s="162" t="s">
        <v>1803</v>
      </c>
      <c r="Q760" s="160" t="s">
        <v>1794</v>
      </c>
      <c r="R760" s="160" t="s">
        <v>1796</v>
      </c>
      <c r="S760" s="160" t="s">
        <v>1796</v>
      </c>
      <c r="T760" s="160" t="s">
        <v>1794</v>
      </c>
      <c r="U760" s="161" t="s">
        <v>1796</v>
      </c>
      <c r="V760" s="162" t="s">
        <v>1796</v>
      </c>
      <c r="W760" s="160" t="s">
        <v>1796</v>
      </c>
      <c r="X760" s="160" t="s">
        <v>1794</v>
      </c>
      <c r="Y760" s="160" t="s">
        <v>1794</v>
      </c>
      <c r="Z760" s="160" t="s">
        <v>1794</v>
      </c>
      <c r="AA760" s="160" t="s">
        <v>1796</v>
      </c>
      <c r="AB760" s="156"/>
      <c r="AC760" s="165" t="s">
        <v>1976</v>
      </c>
    </row>
    <row r="761" spans="1:29">
      <c r="A761" s="260"/>
      <c r="B761" t="s">
        <v>1927</v>
      </c>
      <c r="C761" t="s">
        <v>40</v>
      </c>
      <c r="D761" s="141">
        <v>0.5</v>
      </c>
      <c r="E761" s="141">
        <v>0.48</v>
      </c>
      <c r="F761" s="141">
        <v>0.5</v>
      </c>
      <c r="G761" s="141">
        <v>0.48499999999999999</v>
      </c>
      <c r="H761" s="141">
        <v>0.49</v>
      </c>
      <c r="I761" s="141">
        <v>0.495</v>
      </c>
      <c r="J761" s="142">
        <v>0.48499999999999999</v>
      </c>
      <c r="K761" s="141">
        <v>0.49</v>
      </c>
      <c r="L761" s="141">
        <v>0.48</v>
      </c>
      <c r="M761" s="141">
        <v>0.42499999999999999</v>
      </c>
      <c r="N761" s="141">
        <v>0.46500000000000002</v>
      </c>
      <c r="O761" s="141">
        <v>0.47</v>
      </c>
      <c r="P761" s="142">
        <v>0.495</v>
      </c>
      <c r="Q761" s="141">
        <v>0.5</v>
      </c>
      <c r="R761" s="141">
        <v>0.55000000000000004</v>
      </c>
      <c r="S761" s="141">
        <v>0.48</v>
      </c>
      <c r="T761" s="141">
        <v>0.505</v>
      </c>
      <c r="U761" s="141">
        <v>0.505</v>
      </c>
      <c r="V761" s="142">
        <v>0.49</v>
      </c>
      <c r="W761" s="141">
        <v>0.48</v>
      </c>
      <c r="X761" s="141">
        <v>0.48</v>
      </c>
      <c r="Y761" s="141">
        <v>0.44</v>
      </c>
      <c r="Z761" s="141">
        <v>0.53</v>
      </c>
      <c r="AA761" s="141">
        <v>0.5</v>
      </c>
      <c r="AB761" s="143">
        <f>_xlfn.STDEV.P(D761:AA761)</f>
        <v>2.4438130497691973E-2</v>
      </c>
      <c r="AC761" s="143"/>
    </row>
    <row r="762" spans="1:29">
      <c r="A762" s="260"/>
      <c r="C762" t="s">
        <v>220</v>
      </c>
      <c r="D762" s="141">
        <v>0.995</v>
      </c>
      <c r="E762" s="141">
        <v>1</v>
      </c>
      <c r="F762" s="141">
        <v>0.99</v>
      </c>
      <c r="G762" s="141">
        <v>1.0049999999999999</v>
      </c>
      <c r="H762" s="141">
        <v>1.01</v>
      </c>
      <c r="I762" s="141">
        <v>1</v>
      </c>
      <c r="J762" s="142">
        <v>0.99</v>
      </c>
      <c r="K762" s="141">
        <v>1.0049999999999999</v>
      </c>
      <c r="L762" s="141">
        <v>0.995</v>
      </c>
      <c r="M762" s="141">
        <v>1.0149999999999999</v>
      </c>
      <c r="N762" s="141">
        <v>0.98499999999999999</v>
      </c>
      <c r="O762" s="141">
        <v>0.97499999999999998</v>
      </c>
      <c r="P762" s="142">
        <v>0.99</v>
      </c>
      <c r="Q762" s="141">
        <v>1</v>
      </c>
      <c r="R762" s="141">
        <v>1.01</v>
      </c>
      <c r="S762" s="141">
        <v>0.98499999999999999</v>
      </c>
      <c r="T762" s="141">
        <v>0.99</v>
      </c>
      <c r="U762" s="141">
        <v>0.99</v>
      </c>
      <c r="V762" s="142">
        <v>0.97499999999999998</v>
      </c>
      <c r="W762" s="141">
        <v>0.97</v>
      </c>
      <c r="X762" s="141">
        <v>0.99</v>
      </c>
      <c r="Y762" s="141">
        <v>1</v>
      </c>
      <c r="Z762" s="141">
        <v>0.97499999999999998</v>
      </c>
      <c r="AA762" s="141">
        <v>1</v>
      </c>
      <c r="AB762" s="143">
        <f>_xlfn.STDEV.P(D762:AA762)</f>
        <v>1.1696390706348491E-2</v>
      </c>
      <c r="AC762" s="143"/>
    </row>
    <row r="763" spans="1:29">
      <c r="A763" s="260"/>
      <c r="C763" t="s">
        <v>221</v>
      </c>
      <c r="D763" s="144">
        <v>0.49</v>
      </c>
      <c r="E763" s="144">
        <v>0.48</v>
      </c>
      <c r="F763" s="144">
        <v>0.495</v>
      </c>
      <c r="G763" s="144">
        <v>0.48499999999999999</v>
      </c>
      <c r="H763" s="144">
        <v>0.49</v>
      </c>
      <c r="I763" s="141">
        <v>0.46</v>
      </c>
      <c r="J763" s="145">
        <v>0.51</v>
      </c>
      <c r="K763" s="144">
        <v>0.51</v>
      </c>
      <c r="L763" s="144">
        <v>0.48</v>
      </c>
      <c r="M763" s="144">
        <v>0.52</v>
      </c>
      <c r="N763" s="144">
        <v>0.48</v>
      </c>
      <c r="O763" s="141">
        <v>0.49</v>
      </c>
      <c r="P763" s="145">
        <v>0.505</v>
      </c>
      <c r="Q763" s="144">
        <v>0.51500000000000001</v>
      </c>
      <c r="R763" s="144">
        <v>0.51500000000000001</v>
      </c>
      <c r="S763" s="144">
        <v>0.47499999999999998</v>
      </c>
      <c r="T763" s="144">
        <v>0.51</v>
      </c>
      <c r="U763" s="141">
        <v>0.49</v>
      </c>
      <c r="V763" s="145">
        <v>0.48499999999999999</v>
      </c>
      <c r="W763" s="144">
        <v>0.52500000000000002</v>
      </c>
      <c r="X763" s="144">
        <v>0.48499999999999999</v>
      </c>
      <c r="Y763" s="144">
        <v>0.5</v>
      </c>
      <c r="Z763" s="144">
        <v>0.47</v>
      </c>
      <c r="AA763" s="144">
        <v>0.51</v>
      </c>
      <c r="AB763" s="143">
        <f>_xlfn.STDEV.P(D763:AA763)</f>
        <v>1.6675778759093159E-2</v>
      </c>
      <c r="AC763" s="146"/>
    </row>
    <row r="764" spans="1:29">
      <c r="A764" s="260"/>
      <c r="B764" s="147" t="s">
        <v>1928</v>
      </c>
      <c r="D764" s="148" t="s">
        <v>1794</v>
      </c>
      <c r="E764" s="148" t="s">
        <v>1794</v>
      </c>
      <c r="F764" s="148" t="s">
        <v>1794</v>
      </c>
      <c r="G764" s="148" t="s">
        <v>1794</v>
      </c>
      <c r="H764" s="148" t="s">
        <v>1794</v>
      </c>
      <c r="I764" s="149" t="s">
        <v>1794</v>
      </c>
      <c r="J764" s="150" t="s">
        <v>1794</v>
      </c>
      <c r="K764" s="148" t="s">
        <v>1794</v>
      </c>
      <c r="L764" s="148" t="s">
        <v>1794</v>
      </c>
      <c r="M764" s="148" t="s">
        <v>1794</v>
      </c>
      <c r="N764" s="148" t="s">
        <v>1794</v>
      </c>
      <c r="O764" s="149" t="s">
        <v>1794</v>
      </c>
      <c r="P764" s="150" t="s">
        <v>1794</v>
      </c>
      <c r="Q764" s="148" t="s">
        <v>1794</v>
      </c>
      <c r="R764" s="148" t="s">
        <v>1794</v>
      </c>
      <c r="S764" s="148" t="s">
        <v>1794</v>
      </c>
      <c r="T764" s="148" t="s">
        <v>1794</v>
      </c>
      <c r="U764" s="149" t="s">
        <v>1794</v>
      </c>
      <c r="V764" s="150" t="s">
        <v>1794</v>
      </c>
      <c r="W764" s="148" t="s">
        <v>1794</v>
      </c>
      <c r="X764" s="148" t="s">
        <v>1794</v>
      </c>
      <c r="Y764" s="148" t="s">
        <v>1794</v>
      </c>
      <c r="Z764" s="148" t="s">
        <v>1794</v>
      </c>
      <c r="AA764" s="148" t="s">
        <v>1794</v>
      </c>
      <c r="AB764" s="143"/>
      <c r="AC764" s="151" t="s">
        <v>1800</v>
      </c>
    </row>
    <row r="765" spans="1:29">
      <c r="A765" s="260"/>
      <c r="B765" t="s">
        <v>1929</v>
      </c>
      <c r="C765" t="s">
        <v>40</v>
      </c>
      <c r="D765" s="141">
        <v>0.47499999999999998</v>
      </c>
      <c r="E765" s="141">
        <v>0.49</v>
      </c>
      <c r="F765" s="141">
        <v>0.44</v>
      </c>
      <c r="G765" s="141">
        <v>0.48</v>
      </c>
      <c r="H765" s="141">
        <v>0.48</v>
      </c>
      <c r="I765" s="141">
        <v>0.47499999999999998</v>
      </c>
      <c r="J765" s="142">
        <v>0.49</v>
      </c>
      <c r="K765" s="141">
        <v>0.47499999999999998</v>
      </c>
      <c r="L765" s="141">
        <v>0.46</v>
      </c>
      <c r="M765" s="141">
        <v>0.5</v>
      </c>
      <c r="N765" s="141">
        <v>0.47499999999999998</v>
      </c>
      <c r="O765" s="141">
        <v>0.48</v>
      </c>
      <c r="P765" s="142">
        <v>0.47</v>
      </c>
      <c r="Q765" s="141">
        <v>0.48</v>
      </c>
      <c r="R765" s="141">
        <v>0.48499999999999999</v>
      </c>
      <c r="S765" s="141">
        <v>0.44</v>
      </c>
      <c r="T765" s="141">
        <v>0.51</v>
      </c>
      <c r="U765" s="141">
        <v>0.505</v>
      </c>
      <c r="V765" s="142">
        <v>0.495</v>
      </c>
      <c r="W765" s="141">
        <v>0.5</v>
      </c>
      <c r="X765" s="141">
        <v>0.48499999999999999</v>
      </c>
      <c r="Y765" s="141">
        <v>0.47499999999999998</v>
      </c>
      <c r="Z765" s="141">
        <v>0.46</v>
      </c>
      <c r="AA765" s="141">
        <v>0.47</v>
      </c>
      <c r="AB765" s="143">
        <f>_xlfn.STDEV.P(D765:AA765)</f>
        <v>1.7198544431304516E-2</v>
      </c>
      <c r="AC765" s="143"/>
    </row>
    <row r="766" spans="1:29">
      <c r="A766" s="260"/>
      <c r="C766" t="s">
        <v>220</v>
      </c>
      <c r="D766" s="141">
        <v>0.97499999999999998</v>
      </c>
      <c r="E766" s="141">
        <v>0.995</v>
      </c>
      <c r="F766" s="141">
        <v>0.99</v>
      </c>
      <c r="G766" s="141">
        <v>0.98499999999999999</v>
      </c>
      <c r="H766" s="141">
        <v>1.01</v>
      </c>
      <c r="I766" s="141">
        <v>0.97</v>
      </c>
      <c r="J766" s="142">
        <v>0.99</v>
      </c>
      <c r="K766" s="141">
        <v>0.97</v>
      </c>
      <c r="L766" s="141">
        <v>1.03</v>
      </c>
      <c r="M766" s="141">
        <v>0.98</v>
      </c>
      <c r="N766" s="141">
        <v>0.98</v>
      </c>
      <c r="O766" s="141">
        <v>1.0049999999999999</v>
      </c>
      <c r="P766" s="142">
        <v>0.995</v>
      </c>
      <c r="Q766" s="141">
        <v>1.0249999999999999</v>
      </c>
      <c r="R766" s="141">
        <v>0.995</v>
      </c>
      <c r="S766" s="141">
        <v>0.99</v>
      </c>
      <c r="T766" s="141">
        <v>0.99</v>
      </c>
      <c r="U766" s="141">
        <v>1.0049999999999999</v>
      </c>
      <c r="V766" s="142">
        <v>0.995</v>
      </c>
      <c r="W766" s="141">
        <v>0.98499999999999999</v>
      </c>
      <c r="X766" s="141">
        <v>0.99</v>
      </c>
      <c r="Y766" s="141">
        <v>1</v>
      </c>
      <c r="Z766" s="141">
        <v>0.995</v>
      </c>
      <c r="AA766" s="141">
        <v>1.0049999999999999</v>
      </c>
      <c r="AB766" s="143">
        <f>_xlfn.STDEV.P(D766:AA766)</f>
        <v>1.4523687548277806E-2</v>
      </c>
      <c r="AC766" s="143"/>
    </row>
    <row r="767" spans="1:29">
      <c r="A767" s="260"/>
      <c r="C767" t="s">
        <v>221</v>
      </c>
      <c r="D767" s="144">
        <v>0.52500000000000002</v>
      </c>
      <c r="E767" s="144">
        <v>0.52500000000000002</v>
      </c>
      <c r="F767" s="144">
        <v>0.52500000000000002</v>
      </c>
      <c r="G767" s="144">
        <v>0.53</v>
      </c>
      <c r="H767" s="144">
        <v>0.5</v>
      </c>
      <c r="I767" s="141">
        <v>0.53500000000000003</v>
      </c>
      <c r="J767" s="145">
        <v>0.52500000000000002</v>
      </c>
      <c r="K767" s="144">
        <v>0.54500000000000004</v>
      </c>
      <c r="L767" s="144">
        <v>0.505</v>
      </c>
      <c r="M767" s="144">
        <v>0.51500000000000001</v>
      </c>
      <c r="N767" s="144">
        <v>0.52</v>
      </c>
      <c r="O767" s="141">
        <v>0.52500000000000002</v>
      </c>
      <c r="P767" s="145">
        <v>0.51500000000000001</v>
      </c>
      <c r="Q767" s="144">
        <v>0.44500000000000001</v>
      </c>
      <c r="R767" s="144">
        <v>0.52</v>
      </c>
      <c r="S767" s="144">
        <v>0.53</v>
      </c>
      <c r="T767" s="144">
        <v>0.52</v>
      </c>
      <c r="U767" s="141">
        <v>0.505</v>
      </c>
      <c r="V767" s="145">
        <v>0.52500000000000002</v>
      </c>
      <c r="W767" s="144">
        <v>0.505</v>
      </c>
      <c r="X767" s="144">
        <v>0.495</v>
      </c>
      <c r="Y767" s="144">
        <v>0.52</v>
      </c>
      <c r="Z767" s="144">
        <v>0.52</v>
      </c>
      <c r="AA767" s="144">
        <v>0.54</v>
      </c>
      <c r="AB767" s="143">
        <f>_xlfn.STDEV.P(D767:AA767)</f>
        <v>1.91474088035141E-2</v>
      </c>
      <c r="AC767" s="146"/>
    </row>
    <row r="768" spans="1:29">
      <c r="A768" s="260"/>
      <c r="B768" s="147" t="s">
        <v>1930</v>
      </c>
      <c r="D768" s="148" t="s">
        <v>1794</v>
      </c>
      <c r="E768" s="148" t="s">
        <v>1794</v>
      </c>
      <c r="F768" s="148" t="s">
        <v>1794</v>
      </c>
      <c r="G768" s="148" t="s">
        <v>1794</v>
      </c>
      <c r="H768" s="148" t="s">
        <v>1794</v>
      </c>
      <c r="I768" s="149" t="s">
        <v>1794</v>
      </c>
      <c r="J768" s="150" t="s">
        <v>1794</v>
      </c>
      <c r="K768" s="148" t="s">
        <v>1794</v>
      </c>
      <c r="L768" s="148" t="s">
        <v>1794</v>
      </c>
      <c r="M768" s="148" t="s">
        <v>1794</v>
      </c>
      <c r="N768" s="148" t="s">
        <v>1794</v>
      </c>
      <c r="O768" s="149" t="s">
        <v>1794</v>
      </c>
      <c r="P768" s="150" t="s">
        <v>1794</v>
      </c>
      <c r="Q768" s="148" t="s">
        <v>1794</v>
      </c>
      <c r="R768" s="148" t="s">
        <v>1794</v>
      </c>
      <c r="S768" s="148" t="s">
        <v>1794</v>
      </c>
      <c r="T768" s="148" t="s">
        <v>1794</v>
      </c>
      <c r="U768" s="149" t="s">
        <v>1794</v>
      </c>
      <c r="V768" s="150" t="s">
        <v>1794</v>
      </c>
      <c r="W768" s="148" t="s">
        <v>1794</v>
      </c>
      <c r="X768" s="148" t="s">
        <v>1794</v>
      </c>
      <c r="Y768" s="148" t="s">
        <v>1794</v>
      </c>
      <c r="Z768" s="148" t="s">
        <v>1794</v>
      </c>
      <c r="AA768" s="148" t="s">
        <v>1794</v>
      </c>
      <c r="AB768" s="143"/>
      <c r="AC768" s="151" t="s">
        <v>1800</v>
      </c>
    </row>
    <row r="769" spans="1:29">
      <c r="A769" s="260"/>
      <c r="AB769" s="143"/>
    </row>
    <row r="770" spans="1:29">
      <c r="A770" s="260" t="s">
        <v>208</v>
      </c>
      <c r="B770" s="126" t="s">
        <v>1819</v>
      </c>
      <c r="C770" s="127" t="s">
        <v>40</v>
      </c>
      <c r="D770" s="128">
        <v>0.5</v>
      </c>
      <c r="E770" s="128">
        <v>0.52500000000000002</v>
      </c>
      <c r="F770" s="128">
        <v>0.54</v>
      </c>
      <c r="G770" s="128">
        <v>0.505</v>
      </c>
      <c r="H770" s="128">
        <v>0.52</v>
      </c>
      <c r="I770" s="128">
        <v>0.52500000000000002</v>
      </c>
      <c r="J770" s="129">
        <v>0.51500000000000001</v>
      </c>
      <c r="K770" s="128">
        <v>0.505</v>
      </c>
      <c r="L770" s="128">
        <v>0.55500000000000005</v>
      </c>
      <c r="M770" s="128">
        <v>0.56000000000000005</v>
      </c>
      <c r="N770" s="128">
        <v>0.51500000000000001</v>
      </c>
      <c r="O770" s="128">
        <v>0.51</v>
      </c>
      <c r="P770" s="129">
        <v>0.54500000000000004</v>
      </c>
      <c r="Q770" s="128">
        <v>0.56000000000000005</v>
      </c>
      <c r="R770" s="128">
        <v>0.51</v>
      </c>
      <c r="S770" s="128">
        <v>0.51500000000000001</v>
      </c>
      <c r="T770" s="128">
        <v>0.57999999999999996</v>
      </c>
      <c r="U770" s="128">
        <v>0.51500000000000001</v>
      </c>
      <c r="V770" s="129">
        <v>0.51500000000000001</v>
      </c>
      <c r="W770" s="128">
        <v>0.52</v>
      </c>
      <c r="X770" s="128">
        <v>0.52</v>
      </c>
      <c r="Y770" s="128">
        <v>0.53</v>
      </c>
      <c r="Z770" s="128">
        <v>0.54500000000000004</v>
      </c>
      <c r="AA770" s="128">
        <v>0.53</v>
      </c>
      <c r="AB770" s="132">
        <f>_xlfn.STDEV.P(D770:AA770)</f>
        <v>2.0155644370746382E-2</v>
      </c>
      <c r="AC770" s="132"/>
    </row>
    <row r="771" spans="1:29">
      <c r="A771" s="260"/>
      <c r="B771" s="126"/>
      <c r="C771" s="127" t="s">
        <v>220</v>
      </c>
      <c r="D771" s="128">
        <v>0.99</v>
      </c>
      <c r="E771" s="128">
        <v>0.94499999999999995</v>
      </c>
      <c r="F771" s="128">
        <v>0.99</v>
      </c>
      <c r="G771" s="128">
        <v>0.96499999999999997</v>
      </c>
      <c r="H771" s="128">
        <v>1.0349999999999999</v>
      </c>
      <c r="I771" s="128">
        <v>0.99</v>
      </c>
      <c r="J771" s="129">
        <v>0.98499999999999999</v>
      </c>
      <c r="K771" s="128">
        <v>0.995</v>
      </c>
      <c r="L771" s="128">
        <v>1.0049999999999999</v>
      </c>
      <c r="M771" s="128">
        <v>0.995</v>
      </c>
      <c r="N771" s="128">
        <v>0.98499999999999999</v>
      </c>
      <c r="O771" s="128">
        <v>1</v>
      </c>
      <c r="P771" s="129">
        <v>0.98499999999999999</v>
      </c>
      <c r="Q771" s="128">
        <v>0.99</v>
      </c>
      <c r="R771" s="128">
        <v>1.02</v>
      </c>
      <c r="S771" s="128">
        <v>0.85</v>
      </c>
      <c r="T771" s="128">
        <v>0.98</v>
      </c>
      <c r="U771" s="128">
        <v>0.99</v>
      </c>
      <c r="V771" s="129">
        <v>0.95</v>
      </c>
      <c r="W771" s="128">
        <v>0.96</v>
      </c>
      <c r="X771" s="128">
        <v>0.94499999999999995</v>
      </c>
      <c r="Y771" s="128">
        <v>0.97</v>
      </c>
      <c r="Z771" s="128">
        <v>0.995</v>
      </c>
      <c r="AA771" s="128">
        <v>0.98499999999999999</v>
      </c>
      <c r="AB771" s="132">
        <f>_xlfn.STDEV.P(D771:AA771)</f>
        <v>3.4085268893695939E-2</v>
      </c>
      <c r="AC771" s="132"/>
    </row>
    <row r="772" spans="1:29">
      <c r="A772" s="260"/>
      <c r="B772" s="126"/>
      <c r="C772" s="127" t="s">
        <v>221</v>
      </c>
      <c r="D772" s="133">
        <v>0.51500000000000001</v>
      </c>
      <c r="E772" s="133">
        <v>0.54</v>
      </c>
      <c r="F772" s="133">
        <v>0.53500000000000003</v>
      </c>
      <c r="G772" s="133">
        <v>0.505</v>
      </c>
      <c r="H772" s="133">
        <v>0.495</v>
      </c>
      <c r="I772" s="128">
        <v>0.495</v>
      </c>
      <c r="J772" s="134">
        <v>0.495</v>
      </c>
      <c r="K772" s="133">
        <v>0.505</v>
      </c>
      <c r="L772" s="133">
        <v>0.54</v>
      </c>
      <c r="M772" s="133">
        <v>0.48499999999999999</v>
      </c>
      <c r="N772" s="133">
        <v>0.47499999999999998</v>
      </c>
      <c r="O772" s="128">
        <v>0.54</v>
      </c>
      <c r="P772" s="134">
        <v>0.51</v>
      </c>
      <c r="Q772" s="133">
        <v>0.51500000000000001</v>
      </c>
      <c r="R772" s="133">
        <v>0.49</v>
      </c>
      <c r="S772" s="133">
        <v>0.56999999999999995</v>
      </c>
      <c r="T772" s="133">
        <v>0.51</v>
      </c>
      <c r="U772" s="128">
        <v>0.495</v>
      </c>
      <c r="V772" s="134">
        <v>0.53500000000000003</v>
      </c>
      <c r="W772" s="133">
        <v>0.55000000000000004</v>
      </c>
      <c r="X772" s="133">
        <v>0.54500000000000004</v>
      </c>
      <c r="Y772" s="133">
        <v>0.53</v>
      </c>
      <c r="Z772" s="133">
        <v>0.51500000000000001</v>
      </c>
      <c r="AA772" s="133">
        <v>0.48499999999999999</v>
      </c>
      <c r="AB772" s="132">
        <f>_xlfn.STDEV.P(D772:AA772)</f>
        <v>2.4079404235431864E-2</v>
      </c>
      <c r="AC772" s="135"/>
    </row>
    <row r="773" spans="1:29">
      <c r="A773" s="260"/>
      <c r="B773" s="136" t="s">
        <v>1820</v>
      </c>
      <c r="C773" s="127"/>
      <c r="D773" s="137" t="s">
        <v>1794</v>
      </c>
      <c r="E773" s="137" t="s">
        <v>1794</v>
      </c>
      <c r="F773" s="137" t="s">
        <v>1794</v>
      </c>
      <c r="G773" s="137" t="s">
        <v>1794</v>
      </c>
      <c r="H773" s="137" t="s">
        <v>1794</v>
      </c>
      <c r="I773" s="138" t="s">
        <v>1794</v>
      </c>
      <c r="J773" s="139" t="s">
        <v>1794</v>
      </c>
      <c r="K773" s="137" t="s">
        <v>1794</v>
      </c>
      <c r="L773" s="137" t="s">
        <v>1794</v>
      </c>
      <c r="M773" s="137" t="s">
        <v>1794</v>
      </c>
      <c r="N773" s="137" t="s">
        <v>1794</v>
      </c>
      <c r="O773" s="138" t="s">
        <v>1794</v>
      </c>
      <c r="P773" s="139" t="s">
        <v>1794</v>
      </c>
      <c r="Q773" s="137" t="s">
        <v>1794</v>
      </c>
      <c r="R773" s="137" t="s">
        <v>1794</v>
      </c>
      <c r="S773" s="137" t="s">
        <v>1794</v>
      </c>
      <c r="T773" s="137" t="s">
        <v>1794</v>
      </c>
      <c r="U773" s="138" t="s">
        <v>1794</v>
      </c>
      <c r="V773" s="139" t="s">
        <v>1794</v>
      </c>
      <c r="W773" s="137" t="s">
        <v>1794</v>
      </c>
      <c r="X773" s="137" t="s">
        <v>1794</v>
      </c>
      <c r="Y773" s="137" t="s">
        <v>1794</v>
      </c>
      <c r="Z773" s="137" t="s">
        <v>1794</v>
      </c>
      <c r="AA773" s="137" t="s">
        <v>1794</v>
      </c>
      <c r="AB773" s="132"/>
      <c r="AC773" s="140" t="s">
        <v>1800</v>
      </c>
    </row>
    <row r="774" spans="1:29">
      <c r="A774" s="260"/>
      <c r="B774" t="s">
        <v>1801</v>
      </c>
      <c r="C774" t="s">
        <v>40</v>
      </c>
      <c r="D774" s="141">
        <v>0.51</v>
      </c>
      <c r="E774" s="141">
        <v>0.54</v>
      </c>
      <c r="F774" s="141">
        <v>0.53</v>
      </c>
      <c r="G774" s="141">
        <v>0.52500000000000002</v>
      </c>
      <c r="H774" s="141">
        <v>0.51</v>
      </c>
      <c r="I774" s="141">
        <v>0.51500000000000001</v>
      </c>
      <c r="J774" s="142">
        <v>0.5</v>
      </c>
      <c r="K774" s="141">
        <v>0.53</v>
      </c>
      <c r="L774" s="141">
        <v>0.54</v>
      </c>
      <c r="M774" s="141">
        <v>0.56000000000000005</v>
      </c>
      <c r="N774" s="141">
        <v>0.63500000000000001</v>
      </c>
      <c r="O774" s="141">
        <v>0.46</v>
      </c>
      <c r="P774" s="142">
        <v>0.5</v>
      </c>
      <c r="Q774" s="141">
        <v>0.53</v>
      </c>
      <c r="R774" s="141">
        <v>0.56499999999999995</v>
      </c>
      <c r="S774" s="141">
        <v>0.51</v>
      </c>
      <c r="T774" s="141">
        <v>0.53500000000000003</v>
      </c>
      <c r="U774" s="141">
        <v>0.51</v>
      </c>
      <c r="V774" s="142">
        <v>0.52</v>
      </c>
      <c r="W774" s="141">
        <v>0.53500000000000003</v>
      </c>
      <c r="X774" s="141">
        <v>0.52</v>
      </c>
      <c r="Y774" s="141">
        <v>0.53500000000000003</v>
      </c>
      <c r="Z774" s="141">
        <v>0.56999999999999995</v>
      </c>
      <c r="AA774" s="141">
        <v>0.56499999999999995</v>
      </c>
      <c r="AB774" s="143">
        <f>_xlfn.STDEV.P(D774:AA774)</f>
        <v>3.2250645988362255E-2</v>
      </c>
      <c r="AC774" s="143"/>
    </row>
    <row r="775" spans="1:29">
      <c r="A775" s="260"/>
      <c r="C775" t="s">
        <v>220</v>
      </c>
      <c r="D775" s="141">
        <v>0.995</v>
      </c>
      <c r="E775" s="141">
        <v>1.05</v>
      </c>
      <c r="F775" s="141">
        <v>1.0049999999999999</v>
      </c>
      <c r="G775" s="141">
        <v>0.99</v>
      </c>
      <c r="H775" s="141">
        <v>1.01</v>
      </c>
      <c r="I775" s="141">
        <v>0.97499999999999998</v>
      </c>
      <c r="J775" s="142">
        <v>1</v>
      </c>
      <c r="K775" s="141">
        <v>0.98499999999999999</v>
      </c>
      <c r="L775" s="141">
        <v>1.085</v>
      </c>
      <c r="M775" s="141">
        <v>1.0149999999999999</v>
      </c>
      <c r="N775" s="141">
        <v>0.96</v>
      </c>
      <c r="O775" s="141">
        <v>1.01</v>
      </c>
      <c r="P775" s="142">
        <v>0.995</v>
      </c>
      <c r="Q775" s="141">
        <v>0.91</v>
      </c>
      <c r="R775" s="141">
        <v>0.995</v>
      </c>
      <c r="S775" s="141">
        <v>0.99</v>
      </c>
      <c r="T775" s="141">
        <v>0.96499999999999997</v>
      </c>
      <c r="U775" s="141">
        <v>1.0149999999999999</v>
      </c>
      <c r="V775" s="142">
        <v>0.995</v>
      </c>
      <c r="W775" s="141">
        <v>1.03</v>
      </c>
      <c r="X775" s="141">
        <v>1</v>
      </c>
      <c r="Y775" s="141">
        <v>1</v>
      </c>
      <c r="Z775" s="141">
        <v>0.99</v>
      </c>
      <c r="AA775" s="141">
        <v>0.98</v>
      </c>
      <c r="AB775" s="143">
        <f>_xlfn.STDEV.P(D775:AA775)</f>
        <v>3.1456953612127719E-2</v>
      </c>
      <c r="AC775" s="143"/>
    </row>
    <row r="776" spans="1:29">
      <c r="A776" s="260"/>
      <c r="C776" t="s">
        <v>221</v>
      </c>
      <c r="D776" s="144">
        <v>0.5</v>
      </c>
      <c r="E776" s="144">
        <v>0.47</v>
      </c>
      <c r="F776" s="144">
        <v>0.49</v>
      </c>
      <c r="G776" s="144">
        <v>0.51500000000000001</v>
      </c>
      <c r="H776" s="144">
        <v>0.5</v>
      </c>
      <c r="I776" s="141">
        <v>0.51500000000000001</v>
      </c>
      <c r="J776" s="145">
        <v>0.505</v>
      </c>
      <c r="K776" s="144">
        <v>0.52</v>
      </c>
      <c r="L776" s="144">
        <v>0.42</v>
      </c>
      <c r="M776" s="144">
        <v>0.52</v>
      </c>
      <c r="N776" s="144">
        <v>0.5</v>
      </c>
      <c r="O776" s="141">
        <v>0.52500000000000002</v>
      </c>
      <c r="P776" s="145">
        <v>0.51</v>
      </c>
      <c r="Q776" s="144">
        <v>0.56499999999999995</v>
      </c>
      <c r="R776" s="144">
        <v>0.51500000000000001</v>
      </c>
      <c r="S776" s="144">
        <v>0.495</v>
      </c>
      <c r="T776" s="144">
        <v>0.495</v>
      </c>
      <c r="U776" s="141">
        <v>0.48</v>
      </c>
      <c r="V776" s="145">
        <v>0.48</v>
      </c>
      <c r="W776" s="144">
        <v>0.48</v>
      </c>
      <c r="X776" s="144">
        <v>0.5</v>
      </c>
      <c r="Y776" s="144">
        <v>0.54</v>
      </c>
      <c r="Z776" s="144">
        <v>0.51</v>
      </c>
      <c r="AA776" s="144">
        <v>0.48499999999999999</v>
      </c>
      <c r="AB776" s="143">
        <f>_xlfn.STDEV.P(D776:AA776)</f>
        <v>2.6594139653105708E-2</v>
      </c>
      <c r="AC776" s="146"/>
    </row>
    <row r="777" spans="1:29">
      <c r="A777" s="260"/>
      <c r="B777" s="147" t="s">
        <v>1802</v>
      </c>
      <c r="D777" s="148" t="s">
        <v>1794</v>
      </c>
      <c r="E777" s="148" t="s">
        <v>1796</v>
      </c>
      <c r="F777" s="148" t="s">
        <v>1796</v>
      </c>
      <c r="G777" s="148" t="s">
        <v>1794</v>
      </c>
      <c r="H777" s="148" t="s">
        <v>1794</v>
      </c>
      <c r="I777" s="149" t="s">
        <v>1794</v>
      </c>
      <c r="J777" s="150" t="s">
        <v>1794</v>
      </c>
      <c r="K777" s="148" t="s">
        <v>1795</v>
      </c>
      <c r="L777" s="148" t="s">
        <v>1794</v>
      </c>
      <c r="M777" s="148" t="s">
        <v>1794</v>
      </c>
      <c r="N777" s="148" t="s">
        <v>1794</v>
      </c>
      <c r="O777" s="149" t="s">
        <v>1794</v>
      </c>
      <c r="P777" s="150" t="s">
        <v>1794</v>
      </c>
      <c r="Q777" s="148" t="s">
        <v>1794</v>
      </c>
      <c r="R777" s="148" t="s">
        <v>1803</v>
      </c>
      <c r="S777" s="148" t="s">
        <v>1794</v>
      </c>
      <c r="T777" s="148" t="s">
        <v>1794</v>
      </c>
      <c r="U777" s="149" t="s">
        <v>1794</v>
      </c>
      <c r="V777" s="150" t="s">
        <v>1794</v>
      </c>
      <c r="W777" s="148" t="s">
        <v>1796</v>
      </c>
      <c r="X777" s="148" t="s">
        <v>1794</v>
      </c>
      <c r="Y777" s="148" t="s">
        <v>1794</v>
      </c>
      <c r="Z777" s="148" t="s">
        <v>1794</v>
      </c>
      <c r="AA777" s="148" t="s">
        <v>1794</v>
      </c>
      <c r="AB777" s="143"/>
      <c r="AC777" s="151" t="s">
        <v>1977</v>
      </c>
    </row>
    <row r="778" spans="1:29">
      <c r="A778" s="260"/>
      <c r="B778" t="s">
        <v>1805</v>
      </c>
      <c r="C778" t="s">
        <v>40</v>
      </c>
      <c r="D778" s="141">
        <v>0.53500000000000003</v>
      </c>
      <c r="E778" s="141">
        <v>0.53</v>
      </c>
      <c r="F778" s="141">
        <v>0.51500000000000001</v>
      </c>
      <c r="G778" s="141">
        <v>0.51</v>
      </c>
      <c r="H778" s="141">
        <v>0.51500000000000001</v>
      </c>
      <c r="I778" s="141">
        <v>0.51500000000000001</v>
      </c>
      <c r="J778" s="142">
        <v>0.51</v>
      </c>
      <c r="K778" s="141">
        <v>0.54</v>
      </c>
      <c r="L778" s="141">
        <v>0.505</v>
      </c>
      <c r="M778" s="141">
        <v>0.47</v>
      </c>
      <c r="N778" s="141">
        <v>0.42</v>
      </c>
      <c r="O778" s="141">
        <v>0.52</v>
      </c>
      <c r="P778" s="142">
        <v>0.51500000000000001</v>
      </c>
      <c r="Q778" s="141">
        <v>0.53500000000000003</v>
      </c>
      <c r="R778" s="141">
        <v>0.505</v>
      </c>
      <c r="S778" s="141">
        <v>0.51</v>
      </c>
      <c r="T778" s="141">
        <v>0.51</v>
      </c>
      <c r="U778" s="141">
        <v>0.51</v>
      </c>
      <c r="V778" s="142">
        <v>0.52500000000000002</v>
      </c>
      <c r="W778" s="141">
        <v>0.52</v>
      </c>
      <c r="X778" s="141">
        <v>0.5</v>
      </c>
      <c r="Y778" s="141">
        <v>0.435</v>
      </c>
      <c r="Z778" s="141">
        <v>0.45</v>
      </c>
      <c r="AA778" s="141">
        <v>0.46500000000000002</v>
      </c>
      <c r="AB778" s="143">
        <f>_xlfn.STDEV.P(D778:AA778)</f>
        <v>3.088888576638674E-2</v>
      </c>
      <c r="AC778" s="143"/>
    </row>
    <row r="779" spans="1:29">
      <c r="A779" s="260"/>
      <c r="C779" t="s">
        <v>220</v>
      </c>
      <c r="D779" s="141">
        <v>0.99</v>
      </c>
      <c r="E779" s="141">
        <v>0.98</v>
      </c>
      <c r="F779" s="141">
        <v>0.98</v>
      </c>
      <c r="G779" s="141">
        <v>0.97499999999999998</v>
      </c>
      <c r="H779" s="141">
        <v>0.98499999999999999</v>
      </c>
      <c r="I779" s="141">
        <v>1</v>
      </c>
      <c r="J779" s="142">
        <v>0.99</v>
      </c>
      <c r="K779" s="141">
        <v>0.99</v>
      </c>
      <c r="L779" s="141">
        <v>0.92500000000000004</v>
      </c>
      <c r="M779" s="141">
        <v>0.995</v>
      </c>
      <c r="N779" s="141">
        <v>1.0149999999999999</v>
      </c>
      <c r="O779" s="141">
        <v>0.99</v>
      </c>
      <c r="P779" s="142">
        <v>1.105</v>
      </c>
      <c r="Q779" s="141">
        <v>0.995</v>
      </c>
      <c r="R779" s="141">
        <v>0.98499999999999999</v>
      </c>
      <c r="S779" s="141">
        <v>0.98499999999999999</v>
      </c>
      <c r="T779" s="141">
        <v>0.98</v>
      </c>
      <c r="U779" s="141">
        <v>0.97</v>
      </c>
      <c r="V779" s="142">
        <v>0.95499999999999996</v>
      </c>
      <c r="W779" s="141">
        <v>0.98</v>
      </c>
      <c r="X779" s="141">
        <v>0.995</v>
      </c>
      <c r="Y779" s="141">
        <v>0.995</v>
      </c>
      <c r="Z779" s="141">
        <v>1</v>
      </c>
      <c r="AA779" s="141">
        <v>1</v>
      </c>
      <c r="AB779" s="143">
        <f>_xlfn.STDEV.P(D779:AA779)</f>
        <v>2.9439202887759482E-2</v>
      </c>
      <c r="AC779" s="143"/>
    </row>
    <row r="780" spans="1:29">
      <c r="A780" s="260"/>
      <c r="C780" t="s">
        <v>221</v>
      </c>
      <c r="D780" s="144">
        <v>0.54</v>
      </c>
      <c r="E780" s="144">
        <v>0.54</v>
      </c>
      <c r="F780" s="144">
        <v>0.54</v>
      </c>
      <c r="G780" s="144">
        <v>0.55000000000000004</v>
      </c>
      <c r="H780" s="144">
        <v>0.56000000000000005</v>
      </c>
      <c r="I780" s="141">
        <v>0.53500000000000003</v>
      </c>
      <c r="J780" s="145">
        <v>0.54500000000000004</v>
      </c>
      <c r="K780" s="144">
        <v>0.52</v>
      </c>
      <c r="L780" s="144">
        <v>0.57499999999999996</v>
      </c>
      <c r="M780" s="144">
        <v>0.53500000000000003</v>
      </c>
      <c r="N780" s="144">
        <v>0.57999999999999996</v>
      </c>
      <c r="O780" s="141">
        <v>0.56000000000000005</v>
      </c>
      <c r="P780" s="145">
        <v>0.47499999999999998</v>
      </c>
      <c r="Q780" s="144">
        <v>0.55500000000000005</v>
      </c>
      <c r="R780" s="144">
        <v>0.56000000000000005</v>
      </c>
      <c r="S780" s="144">
        <v>0.54500000000000004</v>
      </c>
      <c r="T780" s="144">
        <v>0.56000000000000005</v>
      </c>
      <c r="U780" s="141">
        <v>0.56999999999999995</v>
      </c>
      <c r="V780" s="145">
        <v>0.57999999999999996</v>
      </c>
      <c r="W780" s="144">
        <v>0.54</v>
      </c>
      <c r="X780" s="144">
        <v>0.56499999999999995</v>
      </c>
      <c r="Y780" s="144">
        <v>0.54</v>
      </c>
      <c r="Z780" s="144">
        <v>0.56000000000000005</v>
      </c>
      <c r="AA780" s="144">
        <v>0.57499999999999996</v>
      </c>
      <c r="AB780" s="143">
        <f>_xlfn.STDEV.P(D780:AA780)</f>
        <v>2.210199683035197E-2</v>
      </c>
      <c r="AC780" s="146"/>
    </row>
    <row r="781" spans="1:29">
      <c r="A781" s="260"/>
      <c r="B781" s="147" t="s">
        <v>1806</v>
      </c>
      <c r="D781" s="148" t="s">
        <v>1794</v>
      </c>
      <c r="E781" s="148" t="s">
        <v>1803</v>
      </c>
      <c r="F781" s="148" t="s">
        <v>1796</v>
      </c>
      <c r="G781" s="148" t="s">
        <v>1794</v>
      </c>
      <c r="H781" s="148" t="s">
        <v>1794</v>
      </c>
      <c r="I781" s="149" t="s">
        <v>1794</v>
      </c>
      <c r="J781" s="150" t="s">
        <v>1803</v>
      </c>
      <c r="K781" s="148" t="s">
        <v>1794</v>
      </c>
      <c r="L781" s="148" t="s">
        <v>1794</v>
      </c>
      <c r="M781" s="148" t="s">
        <v>1794</v>
      </c>
      <c r="N781" s="148" t="s">
        <v>1794</v>
      </c>
      <c r="O781" s="149" t="s">
        <v>1796</v>
      </c>
      <c r="P781" s="150" t="s">
        <v>1796</v>
      </c>
      <c r="Q781" s="148" t="s">
        <v>1796</v>
      </c>
      <c r="R781" s="148" t="s">
        <v>1795</v>
      </c>
      <c r="S781" s="148" t="s">
        <v>1796</v>
      </c>
      <c r="T781" s="148" t="s">
        <v>1794</v>
      </c>
      <c r="U781" s="149" t="s">
        <v>1794</v>
      </c>
      <c r="V781" s="150" t="s">
        <v>1794</v>
      </c>
      <c r="W781" s="148" t="s">
        <v>1794</v>
      </c>
      <c r="X781" s="148" t="s">
        <v>1794</v>
      </c>
      <c r="Y781" s="148" t="s">
        <v>1794</v>
      </c>
      <c r="Z781" s="148" t="s">
        <v>1794</v>
      </c>
      <c r="AA781" s="148" t="s">
        <v>1794</v>
      </c>
      <c r="AB781" s="143"/>
      <c r="AC781" s="151" t="s">
        <v>1879</v>
      </c>
    </row>
    <row r="782" spans="1:29">
      <c r="A782" s="260"/>
      <c r="B782" t="s">
        <v>1807</v>
      </c>
      <c r="C782" t="s">
        <v>40</v>
      </c>
      <c r="D782" s="141">
        <v>0.51500000000000001</v>
      </c>
      <c r="E782" s="141">
        <v>0.54500000000000004</v>
      </c>
      <c r="F782" s="141">
        <v>0.52500000000000002</v>
      </c>
      <c r="G782" s="141">
        <v>0.505</v>
      </c>
      <c r="H782" s="141">
        <v>0.52</v>
      </c>
      <c r="I782" s="141">
        <v>0.48</v>
      </c>
      <c r="J782" s="142">
        <v>0.495</v>
      </c>
      <c r="K782" s="141">
        <v>0.5</v>
      </c>
      <c r="L782" s="141">
        <v>0.51</v>
      </c>
      <c r="M782" s="141">
        <v>0.46</v>
      </c>
      <c r="N782" s="141">
        <v>0.58499999999999996</v>
      </c>
      <c r="O782" s="141">
        <v>0.54</v>
      </c>
      <c r="P782" s="142">
        <v>0.49</v>
      </c>
      <c r="Q782" s="141">
        <v>0.51500000000000001</v>
      </c>
      <c r="R782" s="141">
        <v>0.53500000000000003</v>
      </c>
      <c r="S782" s="141">
        <v>0.51</v>
      </c>
      <c r="T782" s="141">
        <v>0.47499999999999998</v>
      </c>
      <c r="U782" s="141">
        <v>0.5</v>
      </c>
      <c r="V782" s="142">
        <v>0.49</v>
      </c>
      <c r="W782" s="141">
        <v>0.5</v>
      </c>
      <c r="X782" s="141">
        <v>0.56000000000000005</v>
      </c>
      <c r="Y782" s="141">
        <v>0.56000000000000005</v>
      </c>
      <c r="Z782" s="141">
        <v>0.46500000000000002</v>
      </c>
      <c r="AA782" s="141">
        <v>0.47</v>
      </c>
      <c r="AB782" s="143">
        <f>_xlfn.STDEV.P(D782:AA782)</f>
        <v>3.1188829018665581E-2</v>
      </c>
      <c r="AC782" s="143"/>
    </row>
    <row r="783" spans="1:29">
      <c r="A783" s="260"/>
      <c r="C783" t="s">
        <v>220</v>
      </c>
      <c r="D783" s="141">
        <v>1</v>
      </c>
      <c r="E783" s="141">
        <v>0.98</v>
      </c>
      <c r="F783" s="141">
        <v>1.01</v>
      </c>
      <c r="G783" s="141">
        <v>0.99</v>
      </c>
      <c r="H783" s="141">
        <v>0.99</v>
      </c>
      <c r="I783" s="141">
        <v>0.995</v>
      </c>
      <c r="J783" s="142">
        <v>0.995</v>
      </c>
      <c r="K783" s="141">
        <v>0.99</v>
      </c>
      <c r="L783" s="141">
        <v>0.94499999999999995</v>
      </c>
      <c r="M783" s="141">
        <v>0.99</v>
      </c>
      <c r="N783" s="141">
        <v>0.99</v>
      </c>
      <c r="O783" s="141">
        <v>0.99</v>
      </c>
      <c r="P783" s="142">
        <v>1.0149999999999999</v>
      </c>
      <c r="Q783" s="141">
        <v>1.0349999999999999</v>
      </c>
      <c r="R783" s="141">
        <v>0.96499999999999997</v>
      </c>
      <c r="S783" s="141">
        <v>1</v>
      </c>
      <c r="T783" s="141">
        <v>1.0049999999999999</v>
      </c>
      <c r="U783" s="141">
        <v>0.98499999999999999</v>
      </c>
      <c r="V783" s="142">
        <v>0.995</v>
      </c>
      <c r="W783" s="141">
        <v>0.99</v>
      </c>
      <c r="X783" s="141">
        <v>0.95499999999999996</v>
      </c>
      <c r="Y783" s="141">
        <v>0.96499999999999997</v>
      </c>
      <c r="Z783" s="141">
        <v>1.0049999999999999</v>
      </c>
      <c r="AA783" s="141">
        <v>1</v>
      </c>
      <c r="AB783" s="143">
        <f>_xlfn.STDEV.P(D783:AA783)</f>
        <v>1.8800856954464124E-2</v>
      </c>
      <c r="AC783" s="143"/>
    </row>
    <row r="784" spans="1:29">
      <c r="A784" s="260"/>
      <c r="C784" t="s">
        <v>221</v>
      </c>
      <c r="D784" s="144">
        <v>0.5</v>
      </c>
      <c r="E784" s="144">
        <v>0.52</v>
      </c>
      <c r="F784" s="144">
        <v>0.495</v>
      </c>
      <c r="G784" s="144">
        <v>0.53500000000000003</v>
      </c>
      <c r="H784" s="144">
        <v>0.52500000000000002</v>
      </c>
      <c r="I784" s="141">
        <v>0.52500000000000002</v>
      </c>
      <c r="J784" s="145">
        <v>0.52500000000000002</v>
      </c>
      <c r="K784" s="144">
        <v>0.53</v>
      </c>
      <c r="L784" s="144">
        <v>0.53</v>
      </c>
      <c r="M784" s="144">
        <v>0.505</v>
      </c>
      <c r="N784" s="144">
        <v>0.42</v>
      </c>
      <c r="O784" s="141">
        <v>0.505</v>
      </c>
      <c r="P784" s="145">
        <v>0.48499999999999999</v>
      </c>
      <c r="Q784" s="144">
        <v>0.48499999999999999</v>
      </c>
      <c r="R784" s="144">
        <v>0.51500000000000001</v>
      </c>
      <c r="S784" s="144">
        <v>0.53</v>
      </c>
      <c r="T784" s="144">
        <v>0.54</v>
      </c>
      <c r="U784" s="141">
        <v>0.53</v>
      </c>
      <c r="V784" s="145">
        <v>0.54500000000000004</v>
      </c>
      <c r="W784" s="144">
        <v>0.51</v>
      </c>
      <c r="X784" s="144">
        <v>0.55500000000000005</v>
      </c>
      <c r="Y784" s="144">
        <v>0.48</v>
      </c>
      <c r="Z784" s="144">
        <v>0.52</v>
      </c>
      <c r="AA784" s="144">
        <v>0.52500000000000002</v>
      </c>
      <c r="AB784" s="143">
        <f>_xlfn.STDEV.P(D784:AA784)</f>
        <v>2.7194483458149309E-2</v>
      </c>
      <c r="AC784" s="146"/>
    </row>
    <row r="785" spans="1:29">
      <c r="A785" s="260"/>
      <c r="B785" s="147" t="s">
        <v>1808</v>
      </c>
      <c r="D785" s="148" t="s">
        <v>1794</v>
      </c>
      <c r="E785" s="148" t="s">
        <v>1794</v>
      </c>
      <c r="F785" s="148" t="s">
        <v>1796</v>
      </c>
      <c r="G785" s="148" t="s">
        <v>1794</v>
      </c>
      <c r="H785" s="148" t="s">
        <v>1794</v>
      </c>
      <c r="I785" s="149" t="s">
        <v>1794</v>
      </c>
      <c r="J785" s="150" t="s">
        <v>1794</v>
      </c>
      <c r="K785" s="148" t="s">
        <v>1794</v>
      </c>
      <c r="L785" s="148" t="s">
        <v>1794</v>
      </c>
      <c r="M785" s="148" t="s">
        <v>1794</v>
      </c>
      <c r="N785" s="148" t="s">
        <v>1794</v>
      </c>
      <c r="O785" s="149" t="s">
        <v>1794</v>
      </c>
      <c r="P785" s="150" t="s">
        <v>1794</v>
      </c>
      <c r="Q785" s="148" t="s">
        <v>1796</v>
      </c>
      <c r="R785" s="148" t="s">
        <v>1796</v>
      </c>
      <c r="S785" s="148" t="s">
        <v>1794</v>
      </c>
      <c r="T785" s="148" t="s">
        <v>1794</v>
      </c>
      <c r="U785" s="149" t="s">
        <v>1794</v>
      </c>
      <c r="V785" s="150" t="s">
        <v>1794</v>
      </c>
      <c r="W785" s="148" t="s">
        <v>1794</v>
      </c>
      <c r="X785" s="148" t="s">
        <v>1794</v>
      </c>
      <c r="Y785" s="148" t="s">
        <v>1794</v>
      </c>
      <c r="Z785" s="148" t="s">
        <v>1794</v>
      </c>
      <c r="AA785" s="148" t="s">
        <v>1794</v>
      </c>
      <c r="AB785" s="143"/>
      <c r="AC785" s="151" t="s">
        <v>1904</v>
      </c>
    </row>
    <row r="786" spans="1:29">
      <c r="A786" s="260"/>
      <c r="B786" t="s">
        <v>1809</v>
      </c>
      <c r="C786" t="s">
        <v>40</v>
      </c>
      <c r="D786" s="141">
        <v>0.505</v>
      </c>
      <c r="E786" s="141">
        <v>0.51</v>
      </c>
      <c r="F786" s="141">
        <v>0.505</v>
      </c>
      <c r="G786" s="141">
        <v>0.505</v>
      </c>
      <c r="H786" s="141">
        <v>0.5</v>
      </c>
      <c r="I786" s="141">
        <v>0.56999999999999995</v>
      </c>
      <c r="J786" s="142">
        <v>0.52500000000000002</v>
      </c>
      <c r="K786" s="141">
        <v>0.375</v>
      </c>
      <c r="L786" s="141">
        <v>0.47</v>
      </c>
      <c r="M786" s="141">
        <v>0.56999999999999995</v>
      </c>
      <c r="N786" s="141">
        <v>0.48</v>
      </c>
      <c r="O786" s="141">
        <v>0.48499999999999999</v>
      </c>
      <c r="P786" s="142">
        <v>0.495</v>
      </c>
      <c r="Q786" s="141">
        <v>0.495</v>
      </c>
      <c r="R786" s="141">
        <v>0.48499999999999999</v>
      </c>
      <c r="S786" s="141">
        <v>0.495</v>
      </c>
      <c r="T786" s="141">
        <v>0.5</v>
      </c>
      <c r="U786" s="141">
        <v>0.505</v>
      </c>
      <c r="V786" s="142">
        <v>0.51500000000000001</v>
      </c>
      <c r="W786" s="141">
        <v>0.48499999999999999</v>
      </c>
      <c r="X786" s="141">
        <v>0.47499999999999998</v>
      </c>
      <c r="Y786" s="141">
        <v>0.51500000000000001</v>
      </c>
      <c r="Z786" s="141">
        <v>0.53</v>
      </c>
      <c r="AA786" s="141">
        <v>0.52500000000000002</v>
      </c>
      <c r="AB786" s="143">
        <f>_xlfn.STDEV.P(D786:AA786)</f>
        <v>3.5872072083384804E-2</v>
      </c>
      <c r="AC786" s="143"/>
    </row>
    <row r="787" spans="1:29">
      <c r="A787" s="260"/>
      <c r="C787" t="s">
        <v>220</v>
      </c>
      <c r="D787" s="141">
        <v>0.99</v>
      </c>
      <c r="E787" s="141">
        <v>0.99</v>
      </c>
      <c r="F787" s="141">
        <v>0.99</v>
      </c>
      <c r="G787" s="141">
        <v>0.995</v>
      </c>
      <c r="H787" s="141">
        <v>0.99</v>
      </c>
      <c r="I787" s="141">
        <v>0.98499999999999999</v>
      </c>
      <c r="J787" s="142">
        <v>0.98499999999999999</v>
      </c>
      <c r="K787" s="141">
        <v>0.94</v>
      </c>
      <c r="L787" s="141">
        <v>0.99</v>
      </c>
      <c r="M787" s="141">
        <v>0.995</v>
      </c>
      <c r="N787" s="141">
        <v>1</v>
      </c>
      <c r="O787" s="141">
        <v>0.995</v>
      </c>
      <c r="P787" s="142">
        <v>0.995</v>
      </c>
      <c r="Q787" s="141">
        <v>0.97499999999999998</v>
      </c>
      <c r="R787" s="141">
        <v>0.995</v>
      </c>
      <c r="S787" s="141">
        <v>0.995</v>
      </c>
      <c r="T787" s="141">
        <v>0.99</v>
      </c>
      <c r="U787" s="141">
        <v>1.01</v>
      </c>
      <c r="V787" s="142">
        <v>0.98499999999999999</v>
      </c>
      <c r="W787" s="141">
        <v>0.99</v>
      </c>
      <c r="X787" s="141">
        <v>0.98499999999999999</v>
      </c>
      <c r="Y787" s="141">
        <v>0.96</v>
      </c>
      <c r="Z787" s="141">
        <v>0.995</v>
      </c>
      <c r="AA787" s="141">
        <v>0.94499999999999995</v>
      </c>
      <c r="AB787" s="143">
        <f>_xlfn.STDEV.P(D787:AA787)</f>
        <v>1.5875765510851941E-2</v>
      </c>
      <c r="AC787" s="143"/>
    </row>
    <row r="788" spans="1:29">
      <c r="A788" s="260"/>
      <c r="C788" t="s">
        <v>221</v>
      </c>
      <c r="D788" s="144">
        <v>0.52</v>
      </c>
      <c r="E788" s="144">
        <v>0.52</v>
      </c>
      <c r="F788" s="144">
        <v>0.52</v>
      </c>
      <c r="G788" s="144">
        <v>0.505</v>
      </c>
      <c r="H788" s="144">
        <v>0.51</v>
      </c>
      <c r="I788" s="141">
        <v>0.56999999999999995</v>
      </c>
      <c r="J788" s="145">
        <v>0.48</v>
      </c>
      <c r="K788" s="144">
        <v>0.43</v>
      </c>
      <c r="L788" s="144">
        <v>0.47</v>
      </c>
      <c r="M788" s="144">
        <v>0.45</v>
      </c>
      <c r="N788" s="144">
        <v>0.47</v>
      </c>
      <c r="O788" s="141">
        <v>0.54500000000000004</v>
      </c>
      <c r="P788" s="145">
        <v>0.5</v>
      </c>
      <c r="Q788" s="144">
        <v>0.49</v>
      </c>
      <c r="R788" s="144">
        <v>0.495</v>
      </c>
      <c r="S788" s="144">
        <v>0.48499999999999999</v>
      </c>
      <c r="T788" s="144">
        <v>0.47</v>
      </c>
      <c r="U788" s="141">
        <v>0.47499999999999998</v>
      </c>
      <c r="V788" s="145">
        <v>0.51</v>
      </c>
      <c r="W788" s="144">
        <v>0.54500000000000004</v>
      </c>
      <c r="X788" s="144">
        <v>0.505</v>
      </c>
      <c r="Y788" s="144">
        <v>0.54</v>
      </c>
      <c r="Z788" s="144">
        <v>0.47</v>
      </c>
      <c r="AA788" s="144">
        <v>0.52</v>
      </c>
      <c r="AB788" s="143">
        <f>_xlfn.STDEV.P(D788:AA788)</f>
        <v>3.212862063470652E-2</v>
      </c>
      <c r="AC788" s="146"/>
    </row>
    <row r="789" spans="1:29">
      <c r="A789" s="260"/>
      <c r="B789" s="147" t="s">
        <v>1810</v>
      </c>
      <c r="D789" s="148" t="s">
        <v>1794</v>
      </c>
      <c r="E789" s="148" t="s">
        <v>1794</v>
      </c>
      <c r="F789" s="148" t="s">
        <v>1794</v>
      </c>
      <c r="G789" s="148" t="s">
        <v>1794</v>
      </c>
      <c r="H789" s="148" t="s">
        <v>1794</v>
      </c>
      <c r="I789" s="149" t="s">
        <v>1794</v>
      </c>
      <c r="J789" s="150" t="s">
        <v>1794</v>
      </c>
      <c r="K789" s="148" t="s">
        <v>1794</v>
      </c>
      <c r="L789" s="148" t="s">
        <v>1794</v>
      </c>
      <c r="M789" s="148" t="s">
        <v>1794</v>
      </c>
      <c r="N789" s="148" t="s">
        <v>1794</v>
      </c>
      <c r="O789" s="149" t="s">
        <v>1794</v>
      </c>
      <c r="P789" s="150" t="s">
        <v>1794</v>
      </c>
      <c r="Q789" s="148" t="s">
        <v>1794</v>
      </c>
      <c r="R789" s="148" t="s">
        <v>1794</v>
      </c>
      <c r="S789" s="148" t="s">
        <v>1794</v>
      </c>
      <c r="T789" s="148" t="s">
        <v>1794</v>
      </c>
      <c r="U789" s="149" t="s">
        <v>1794</v>
      </c>
      <c r="V789" s="150" t="s">
        <v>1794</v>
      </c>
      <c r="W789" s="148" t="s">
        <v>1794</v>
      </c>
      <c r="X789" s="148" t="s">
        <v>1794</v>
      </c>
      <c r="Y789" s="148" t="s">
        <v>1796</v>
      </c>
      <c r="Z789" s="148" t="s">
        <v>1796</v>
      </c>
      <c r="AA789" s="148" t="s">
        <v>1794</v>
      </c>
      <c r="AB789" s="143"/>
      <c r="AC789" s="151" t="s">
        <v>1901</v>
      </c>
    </row>
    <row r="790" spans="1:29">
      <c r="A790" s="260"/>
      <c r="B790" t="s">
        <v>1811</v>
      </c>
      <c r="C790" t="s">
        <v>40</v>
      </c>
      <c r="D790" s="141">
        <v>0.53500000000000003</v>
      </c>
      <c r="E790" s="141">
        <v>0.54</v>
      </c>
      <c r="F790" s="141">
        <v>0.52500000000000002</v>
      </c>
      <c r="G790" s="141">
        <v>0.52500000000000002</v>
      </c>
      <c r="H790" s="141">
        <v>0.495</v>
      </c>
      <c r="I790" s="141">
        <v>0.51500000000000001</v>
      </c>
      <c r="J790" s="142">
        <v>0.5</v>
      </c>
      <c r="K790" s="141">
        <v>0.52</v>
      </c>
      <c r="L790" s="141">
        <v>0.48499999999999999</v>
      </c>
      <c r="M790" s="141">
        <v>0.51</v>
      </c>
      <c r="N790" s="141">
        <v>0.46500000000000002</v>
      </c>
      <c r="O790" s="141">
        <v>0.47</v>
      </c>
      <c r="P790" s="142">
        <v>0.5</v>
      </c>
      <c r="Q790" s="141">
        <v>0.505</v>
      </c>
      <c r="R790" s="141">
        <v>0.57999999999999996</v>
      </c>
      <c r="S790" s="141">
        <v>0.52</v>
      </c>
      <c r="T790" s="141">
        <v>0.52</v>
      </c>
      <c r="U790" s="141">
        <v>0.51500000000000001</v>
      </c>
      <c r="V790" s="142">
        <v>0.505</v>
      </c>
      <c r="W790" s="141">
        <v>0.505</v>
      </c>
      <c r="X790" s="141">
        <v>0.51</v>
      </c>
      <c r="Y790" s="141">
        <v>0.53</v>
      </c>
      <c r="Z790" s="141">
        <v>0.43</v>
      </c>
      <c r="AA790" s="141">
        <v>0.52500000000000002</v>
      </c>
      <c r="AB790" s="143">
        <f>_xlfn.STDEV.P(D790:AA790)</f>
        <v>2.813348637399133E-2</v>
      </c>
      <c r="AC790" s="143"/>
    </row>
    <row r="791" spans="1:29">
      <c r="A791" s="260"/>
      <c r="C791" t="s">
        <v>220</v>
      </c>
      <c r="D791" s="141">
        <v>0.995</v>
      </c>
      <c r="E791" s="141">
        <v>0.96499999999999997</v>
      </c>
      <c r="F791" s="141">
        <v>0.995</v>
      </c>
      <c r="G791" s="141">
        <v>0.99</v>
      </c>
      <c r="H791" s="141">
        <v>1.0049999999999999</v>
      </c>
      <c r="I791" s="141">
        <v>0.98</v>
      </c>
      <c r="J791" s="142">
        <v>0.98499999999999999</v>
      </c>
      <c r="K791" s="141">
        <v>0.995</v>
      </c>
      <c r="L791" s="141">
        <v>0.95499999999999996</v>
      </c>
      <c r="M791" s="141">
        <v>1</v>
      </c>
      <c r="N791" s="141">
        <v>0.98499999999999999</v>
      </c>
      <c r="O791" s="141">
        <v>1.0149999999999999</v>
      </c>
      <c r="P791" s="142">
        <v>0.995</v>
      </c>
      <c r="Q791" s="141">
        <v>0.995</v>
      </c>
      <c r="R791" s="141">
        <v>0.96499999999999997</v>
      </c>
      <c r="S791" s="141">
        <v>0.995</v>
      </c>
      <c r="T791" s="141">
        <v>0.99</v>
      </c>
      <c r="U791" s="141">
        <v>0.995</v>
      </c>
      <c r="V791" s="142">
        <v>1.0249999999999999</v>
      </c>
      <c r="W791" s="141">
        <v>0.98499999999999999</v>
      </c>
      <c r="X791" s="141">
        <v>1.03</v>
      </c>
      <c r="Y791" s="141">
        <v>0.98499999999999999</v>
      </c>
      <c r="Z791" s="141">
        <v>0.98</v>
      </c>
      <c r="AA791" s="141">
        <v>0.97499999999999998</v>
      </c>
      <c r="AB791" s="143">
        <f>_xlfn.STDEV.P(D791:AA791)</f>
        <v>1.6996731711975948E-2</v>
      </c>
      <c r="AC791" s="143"/>
    </row>
    <row r="792" spans="1:29">
      <c r="A792" s="260"/>
      <c r="C792" t="s">
        <v>221</v>
      </c>
      <c r="D792" s="144">
        <v>0.505</v>
      </c>
      <c r="E792" s="144">
        <v>0.505</v>
      </c>
      <c r="F792" s="144">
        <v>0.51</v>
      </c>
      <c r="G792" s="144">
        <v>0.52</v>
      </c>
      <c r="H792" s="144">
        <v>0.53500000000000003</v>
      </c>
      <c r="I792" s="141">
        <v>0.52500000000000002</v>
      </c>
      <c r="J792" s="145">
        <v>0.495</v>
      </c>
      <c r="K792" s="144">
        <v>0.51</v>
      </c>
      <c r="L792" s="144">
        <v>0.56000000000000005</v>
      </c>
      <c r="M792" s="144">
        <v>0.52500000000000002</v>
      </c>
      <c r="N792" s="144">
        <v>0.49</v>
      </c>
      <c r="O792" s="141">
        <v>0.53500000000000003</v>
      </c>
      <c r="P792" s="145">
        <v>0.52</v>
      </c>
      <c r="Q792" s="144">
        <v>0.5</v>
      </c>
      <c r="R792" s="144">
        <v>0.51</v>
      </c>
      <c r="S792" s="144">
        <v>0.52500000000000002</v>
      </c>
      <c r="T792" s="144">
        <v>0.52</v>
      </c>
      <c r="U792" s="141">
        <v>0.51</v>
      </c>
      <c r="V792" s="145">
        <v>0.47499999999999998</v>
      </c>
      <c r="W792" s="144">
        <v>0.54</v>
      </c>
      <c r="X792" s="144">
        <v>0.53</v>
      </c>
      <c r="Y792" s="144">
        <v>0.505</v>
      </c>
      <c r="Z792" s="144">
        <v>0.48499999999999999</v>
      </c>
      <c r="AA792" s="144">
        <v>0.5</v>
      </c>
      <c r="AB792" s="143">
        <f>_xlfn.STDEV.P(D792:AA792)</f>
        <v>1.8707126909876429E-2</v>
      </c>
      <c r="AC792" s="146"/>
    </row>
    <row r="793" spans="1:29">
      <c r="A793" s="260"/>
      <c r="B793" s="147" t="s">
        <v>1812</v>
      </c>
      <c r="D793" s="148" t="s">
        <v>1794</v>
      </c>
      <c r="E793" s="148" t="s">
        <v>1803</v>
      </c>
      <c r="F793" s="148" t="s">
        <v>1794</v>
      </c>
      <c r="G793" s="148" t="s">
        <v>1794</v>
      </c>
      <c r="H793" s="148" t="s">
        <v>1794</v>
      </c>
      <c r="I793" s="149" t="s">
        <v>1794</v>
      </c>
      <c r="J793" s="150" t="s">
        <v>1794</v>
      </c>
      <c r="K793" s="148" t="s">
        <v>1803</v>
      </c>
      <c r="L793" s="148" t="s">
        <v>1794</v>
      </c>
      <c r="M793" s="148" t="s">
        <v>1794</v>
      </c>
      <c r="N793" s="148" t="s">
        <v>1794</v>
      </c>
      <c r="O793" s="149" t="s">
        <v>1794</v>
      </c>
      <c r="P793" s="150" t="s">
        <v>1794</v>
      </c>
      <c r="Q793" s="148" t="s">
        <v>1794</v>
      </c>
      <c r="R793" s="148" t="s">
        <v>1795</v>
      </c>
      <c r="S793" s="148" t="s">
        <v>1796</v>
      </c>
      <c r="T793" s="148" t="s">
        <v>1794</v>
      </c>
      <c r="U793" s="149" t="s">
        <v>1794</v>
      </c>
      <c r="V793" s="150" t="s">
        <v>1794</v>
      </c>
      <c r="W793" s="148" t="s">
        <v>1794</v>
      </c>
      <c r="X793" s="148" t="s">
        <v>1794</v>
      </c>
      <c r="Y793" s="148" t="s">
        <v>1794</v>
      </c>
      <c r="Z793" s="148" t="s">
        <v>1794</v>
      </c>
      <c r="AA793" s="148" t="s">
        <v>1794</v>
      </c>
      <c r="AB793" s="143"/>
      <c r="AC793" s="151" t="s">
        <v>1914</v>
      </c>
    </row>
    <row r="794" spans="1:29">
      <c r="A794" s="260"/>
      <c r="B794" t="s">
        <v>1813</v>
      </c>
      <c r="C794" t="s">
        <v>40</v>
      </c>
      <c r="D794" s="141">
        <v>0.51500000000000001</v>
      </c>
      <c r="E794" s="141">
        <v>0.495</v>
      </c>
      <c r="F794" s="141">
        <v>0.51</v>
      </c>
      <c r="G794" s="141">
        <v>0.52</v>
      </c>
      <c r="H794" s="141">
        <v>0.51500000000000001</v>
      </c>
      <c r="I794" s="141">
        <v>0.495</v>
      </c>
      <c r="J794" s="142">
        <v>0.52</v>
      </c>
      <c r="K794" s="141">
        <v>0.5</v>
      </c>
      <c r="L794" s="141">
        <v>0.53</v>
      </c>
      <c r="M794" s="141">
        <v>0.55000000000000004</v>
      </c>
      <c r="N794" s="141">
        <v>0.58499999999999996</v>
      </c>
      <c r="O794" s="141">
        <v>0.55500000000000005</v>
      </c>
      <c r="P794" s="142">
        <v>0.53500000000000003</v>
      </c>
      <c r="Q794" s="141">
        <v>0.48</v>
      </c>
      <c r="R794" s="141">
        <v>0.55000000000000004</v>
      </c>
      <c r="S794" s="141">
        <v>0.505</v>
      </c>
      <c r="T794" s="141">
        <v>0.44500000000000001</v>
      </c>
      <c r="U794" s="141">
        <v>0.52</v>
      </c>
      <c r="V794" s="142">
        <v>0.52</v>
      </c>
      <c r="W794" s="141">
        <v>0.52500000000000002</v>
      </c>
      <c r="X794" s="141">
        <v>0.52</v>
      </c>
      <c r="Y794" s="141">
        <v>0.57499999999999996</v>
      </c>
      <c r="Z794" s="141">
        <v>0.55500000000000005</v>
      </c>
      <c r="AA794" s="141">
        <v>0.505</v>
      </c>
      <c r="AB794" s="143">
        <f>_xlfn.STDEV.P(D794:AA794)</f>
        <v>2.9749387248591636E-2</v>
      </c>
      <c r="AC794" s="143"/>
    </row>
    <row r="795" spans="1:29">
      <c r="A795" s="260"/>
      <c r="C795" t="s">
        <v>220</v>
      </c>
      <c r="D795" s="141">
        <v>0.98</v>
      </c>
      <c r="E795" s="141">
        <v>0.98499999999999999</v>
      </c>
      <c r="F795" s="141">
        <v>1.01</v>
      </c>
      <c r="G795" s="141">
        <v>1.0049999999999999</v>
      </c>
      <c r="H795" s="141">
        <v>0.98499999999999999</v>
      </c>
      <c r="I795" s="141">
        <v>1</v>
      </c>
      <c r="J795" s="142">
        <v>0.99</v>
      </c>
      <c r="K795" s="141">
        <v>0.99</v>
      </c>
      <c r="L795" s="141">
        <v>0.91</v>
      </c>
      <c r="M795" s="141">
        <v>0.99</v>
      </c>
      <c r="N795" s="141">
        <v>0.995</v>
      </c>
      <c r="O795" s="141">
        <v>1</v>
      </c>
      <c r="P795" s="142">
        <v>1.0349999999999999</v>
      </c>
      <c r="Q795" s="141">
        <v>1.0049999999999999</v>
      </c>
      <c r="R795" s="141">
        <v>0.98499999999999999</v>
      </c>
      <c r="S795" s="141">
        <v>0.99</v>
      </c>
      <c r="T795" s="141">
        <v>0.99</v>
      </c>
      <c r="U795" s="141">
        <v>0.97499999999999998</v>
      </c>
      <c r="V795" s="142">
        <v>0.995</v>
      </c>
      <c r="W795" s="141">
        <v>1.0149999999999999</v>
      </c>
      <c r="X795" s="141">
        <v>1.0149999999999999</v>
      </c>
      <c r="Y795" s="141">
        <v>0.97</v>
      </c>
      <c r="Z795" s="141">
        <v>0.98499999999999999</v>
      </c>
      <c r="AA795" s="141">
        <v>0.99</v>
      </c>
      <c r="AB795" s="143">
        <f>_xlfn.STDEV.P(D795:AA795)</f>
        <v>2.1949278651776514E-2</v>
      </c>
      <c r="AC795" s="143"/>
    </row>
    <row r="796" spans="1:29">
      <c r="A796" s="260"/>
      <c r="C796" t="s">
        <v>221</v>
      </c>
      <c r="D796" s="144">
        <v>0.54</v>
      </c>
      <c r="E796" s="144">
        <v>0.51500000000000001</v>
      </c>
      <c r="F796" s="144">
        <v>0.51500000000000001</v>
      </c>
      <c r="G796" s="144">
        <v>0.49</v>
      </c>
      <c r="H796" s="144">
        <v>0.55000000000000004</v>
      </c>
      <c r="I796" s="141">
        <v>0.56000000000000005</v>
      </c>
      <c r="J796" s="145">
        <v>0.51500000000000001</v>
      </c>
      <c r="K796" s="144">
        <v>0.60499999999999998</v>
      </c>
      <c r="L796" s="144">
        <v>0.58499999999999996</v>
      </c>
      <c r="M796" s="144">
        <v>0.49</v>
      </c>
      <c r="N796" s="144">
        <v>0.54500000000000004</v>
      </c>
      <c r="O796" s="141">
        <v>0.53</v>
      </c>
      <c r="P796" s="145">
        <v>0.48</v>
      </c>
      <c r="Q796" s="144">
        <v>0.51500000000000001</v>
      </c>
      <c r="R796" s="144">
        <v>0.55000000000000004</v>
      </c>
      <c r="S796" s="144">
        <v>0.53500000000000003</v>
      </c>
      <c r="T796" s="144">
        <v>0.51</v>
      </c>
      <c r="U796" s="141">
        <v>0.53500000000000003</v>
      </c>
      <c r="V796" s="145">
        <v>0.56000000000000005</v>
      </c>
      <c r="W796" s="144">
        <v>0.55500000000000005</v>
      </c>
      <c r="X796" s="144">
        <v>0.52500000000000002</v>
      </c>
      <c r="Y796" s="144">
        <v>0.51500000000000001</v>
      </c>
      <c r="Z796" s="144">
        <v>0.53</v>
      </c>
      <c r="AA796" s="144">
        <v>0.51500000000000001</v>
      </c>
      <c r="AB796" s="143">
        <f>_xlfn.STDEV.P(D796:AA796)</f>
        <v>2.8606981228364525E-2</v>
      </c>
      <c r="AC796" s="146"/>
    </row>
    <row r="797" spans="1:29">
      <c r="A797" s="260"/>
      <c r="B797" s="147" t="s">
        <v>1814</v>
      </c>
      <c r="D797" s="148" t="s">
        <v>1794</v>
      </c>
      <c r="E797" s="148" t="s">
        <v>1794</v>
      </c>
      <c r="F797" s="148" t="s">
        <v>1796</v>
      </c>
      <c r="G797" s="148" t="s">
        <v>1795</v>
      </c>
      <c r="H797" s="148" t="s">
        <v>1795</v>
      </c>
      <c r="I797" s="149" t="s">
        <v>1795</v>
      </c>
      <c r="J797" s="150" t="s">
        <v>1794</v>
      </c>
      <c r="K797" s="148" t="s">
        <v>1794</v>
      </c>
      <c r="L797" s="148" t="s">
        <v>1796</v>
      </c>
      <c r="M797" s="148" t="s">
        <v>1794</v>
      </c>
      <c r="N797" s="148" t="s">
        <v>1794</v>
      </c>
      <c r="O797" s="149" t="s">
        <v>1796</v>
      </c>
      <c r="P797" s="150" t="s">
        <v>1796</v>
      </c>
      <c r="Q797" s="148" t="s">
        <v>1794</v>
      </c>
      <c r="R797" s="148" t="s">
        <v>1803</v>
      </c>
      <c r="S797" s="148" t="s">
        <v>1796</v>
      </c>
      <c r="T797" s="148" t="s">
        <v>1794</v>
      </c>
      <c r="U797" s="149" t="s">
        <v>1794</v>
      </c>
      <c r="V797" s="150" t="s">
        <v>1794</v>
      </c>
      <c r="W797" s="148" t="s">
        <v>1794</v>
      </c>
      <c r="X797" s="148" t="s">
        <v>1794</v>
      </c>
      <c r="Y797" s="148" t="s">
        <v>1794</v>
      </c>
      <c r="Z797" s="148" t="s">
        <v>1794</v>
      </c>
      <c r="AA797" s="148" t="s">
        <v>1794</v>
      </c>
      <c r="AB797" s="143"/>
      <c r="AC797" s="151" t="s">
        <v>1941</v>
      </c>
    </row>
    <row r="798" spans="1:29">
      <c r="A798" s="260"/>
      <c r="B798" t="s">
        <v>1835</v>
      </c>
      <c r="C798" t="s">
        <v>40</v>
      </c>
      <c r="D798" s="141">
        <v>0.51500000000000001</v>
      </c>
      <c r="E798" s="141">
        <v>0.53</v>
      </c>
      <c r="F798" s="141">
        <v>0.57999999999999996</v>
      </c>
      <c r="G798" s="141">
        <v>0.53500000000000003</v>
      </c>
      <c r="H798" s="141">
        <v>0.53500000000000003</v>
      </c>
      <c r="I798" s="141">
        <v>0.52500000000000002</v>
      </c>
      <c r="J798" s="142">
        <v>0.51</v>
      </c>
      <c r="K798" s="141">
        <v>0.52</v>
      </c>
      <c r="L798" s="141">
        <v>0.55000000000000004</v>
      </c>
      <c r="M798" s="141">
        <v>0.51</v>
      </c>
      <c r="N798" s="141">
        <v>0.52500000000000002</v>
      </c>
      <c r="O798" s="141">
        <v>0.41</v>
      </c>
      <c r="P798" s="142">
        <v>0.52</v>
      </c>
      <c r="Q798" s="141">
        <v>0.495</v>
      </c>
      <c r="R798" s="141">
        <v>0.52500000000000002</v>
      </c>
      <c r="S798" s="141">
        <v>0.55000000000000004</v>
      </c>
      <c r="T798" s="141">
        <v>0.56999999999999995</v>
      </c>
      <c r="U798" s="141">
        <v>0.53</v>
      </c>
      <c r="V798" s="142">
        <v>0.51500000000000001</v>
      </c>
      <c r="W798" s="141">
        <v>0.5</v>
      </c>
      <c r="X798" s="141">
        <v>0.52</v>
      </c>
      <c r="Y798" s="141">
        <v>0.56999999999999995</v>
      </c>
      <c r="Z798" s="141">
        <v>0.4</v>
      </c>
      <c r="AA798" s="141">
        <v>0.40500000000000003</v>
      </c>
      <c r="AB798" s="143">
        <f>_xlfn.STDEV.P(D798:AA798)</f>
        <v>4.6262667184242628E-2</v>
      </c>
      <c r="AC798" s="143"/>
    </row>
    <row r="799" spans="1:29">
      <c r="A799" s="260"/>
      <c r="C799" t="s">
        <v>220</v>
      </c>
      <c r="D799" s="141">
        <v>1.03</v>
      </c>
      <c r="E799" s="141">
        <v>0.98</v>
      </c>
      <c r="F799" s="141">
        <v>0.995</v>
      </c>
      <c r="G799" s="141">
        <v>0.93500000000000005</v>
      </c>
      <c r="H799" s="141">
        <v>1.01</v>
      </c>
      <c r="I799" s="141">
        <v>1.01</v>
      </c>
      <c r="J799" s="142">
        <v>0.99</v>
      </c>
      <c r="K799" s="141">
        <v>1.02</v>
      </c>
      <c r="L799" s="141">
        <v>0.93500000000000005</v>
      </c>
      <c r="M799" s="141">
        <v>1.0049999999999999</v>
      </c>
      <c r="N799" s="141">
        <v>1</v>
      </c>
      <c r="O799" s="141">
        <v>1.02</v>
      </c>
      <c r="P799" s="142">
        <v>0.98499999999999999</v>
      </c>
      <c r="Q799" s="141">
        <v>1.01</v>
      </c>
      <c r="R799" s="141">
        <v>0.99</v>
      </c>
      <c r="S799" s="141">
        <v>0.99</v>
      </c>
      <c r="T799" s="141">
        <v>0.995</v>
      </c>
      <c r="U799" s="141">
        <v>0.98499999999999999</v>
      </c>
      <c r="V799" s="142">
        <v>1.01</v>
      </c>
      <c r="W799" s="141">
        <v>0.98499999999999999</v>
      </c>
      <c r="X799" s="141">
        <v>1.095</v>
      </c>
      <c r="Y799" s="141">
        <v>1.0149999999999999</v>
      </c>
      <c r="Z799" s="141">
        <v>1.02</v>
      </c>
      <c r="AA799" s="141">
        <v>1.0149999999999999</v>
      </c>
      <c r="AB799" s="143">
        <f>_xlfn.STDEV.P(D799:AA799)</f>
        <v>3.0172392412417152E-2</v>
      </c>
      <c r="AC799" s="143"/>
    </row>
    <row r="800" spans="1:29">
      <c r="A800" s="260"/>
      <c r="C800" t="s">
        <v>221</v>
      </c>
      <c r="D800" s="144">
        <v>0.51</v>
      </c>
      <c r="E800" s="144">
        <v>0.48</v>
      </c>
      <c r="F800" s="144">
        <v>0.55000000000000004</v>
      </c>
      <c r="G800" s="144">
        <v>0.55500000000000005</v>
      </c>
      <c r="H800" s="144">
        <v>0.49</v>
      </c>
      <c r="I800" s="141">
        <v>0.48499999999999999</v>
      </c>
      <c r="J800" s="145">
        <v>0.5</v>
      </c>
      <c r="K800" s="144">
        <v>0.51500000000000001</v>
      </c>
      <c r="L800" s="144">
        <v>0.52500000000000002</v>
      </c>
      <c r="M800" s="144">
        <v>0.53</v>
      </c>
      <c r="N800" s="144">
        <v>0.53</v>
      </c>
      <c r="O800" s="141">
        <v>0.53500000000000003</v>
      </c>
      <c r="P800" s="145">
        <v>0.51</v>
      </c>
      <c r="Q800" s="144">
        <v>0.5</v>
      </c>
      <c r="R800" s="144">
        <v>0.495</v>
      </c>
      <c r="S800" s="144">
        <v>0.48</v>
      </c>
      <c r="T800" s="144">
        <v>0.52500000000000002</v>
      </c>
      <c r="U800" s="141">
        <v>0.505</v>
      </c>
      <c r="V800" s="145">
        <v>0.49</v>
      </c>
      <c r="W800" s="144">
        <v>0.52</v>
      </c>
      <c r="X800" s="144">
        <v>0.43</v>
      </c>
      <c r="Y800" s="144">
        <v>0.51</v>
      </c>
      <c r="Z800" s="144">
        <v>0.51500000000000001</v>
      </c>
      <c r="AA800" s="144">
        <v>0.54500000000000004</v>
      </c>
      <c r="AB800" s="143">
        <f>_xlfn.STDEV.P(D800:AA800)</f>
        <v>2.657209793917089E-2</v>
      </c>
      <c r="AC800" s="146"/>
    </row>
    <row r="801" spans="1:29">
      <c r="A801" s="260"/>
      <c r="B801" s="147" t="s">
        <v>1836</v>
      </c>
      <c r="D801" s="148" t="s">
        <v>1803</v>
      </c>
      <c r="E801" s="148" t="s">
        <v>1796</v>
      </c>
      <c r="F801" s="148" t="s">
        <v>1803</v>
      </c>
      <c r="G801" s="148" t="s">
        <v>1803</v>
      </c>
      <c r="H801" s="148" t="s">
        <v>1795</v>
      </c>
      <c r="I801" s="149" t="s">
        <v>1794</v>
      </c>
      <c r="J801" s="150" t="s">
        <v>1794</v>
      </c>
      <c r="K801" s="148" t="s">
        <v>1796</v>
      </c>
      <c r="L801" s="148" t="s">
        <v>1796</v>
      </c>
      <c r="M801" s="148" t="s">
        <v>1796</v>
      </c>
      <c r="N801" s="148" t="s">
        <v>1794</v>
      </c>
      <c r="O801" s="149" t="s">
        <v>1794</v>
      </c>
      <c r="P801" s="150" t="s">
        <v>1796</v>
      </c>
      <c r="Q801" s="148" t="s">
        <v>1796</v>
      </c>
      <c r="R801" s="148" t="s">
        <v>1803</v>
      </c>
      <c r="S801" s="148" t="s">
        <v>1796</v>
      </c>
      <c r="T801" s="148" t="s">
        <v>1796</v>
      </c>
      <c r="U801" s="149" t="s">
        <v>1796</v>
      </c>
      <c r="V801" s="150" t="s">
        <v>1794</v>
      </c>
      <c r="W801" s="148" t="s">
        <v>1796</v>
      </c>
      <c r="X801" s="148" t="s">
        <v>1796</v>
      </c>
      <c r="Y801" s="148" t="s">
        <v>1796</v>
      </c>
      <c r="Z801" s="148" t="s">
        <v>1794</v>
      </c>
      <c r="AA801" s="148" t="s">
        <v>1794</v>
      </c>
      <c r="AB801" s="143"/>
      <c r="AC801" s="151" t="s">
        <v>1931</v>
      </c>
    </row>
    <row r="802" spans="1:29">
      <c r="A802" s="260"/>
      <c r="B802" t="s">
        <v>1902</v>
      </c>
      <c r="C802" t="s">
        <v>40</v>
      </c>
      <c r="D802" s="141">
        <v>0.5</v>
      </c>
      <c r="E802" s="141">
        <v>0.52500000000000002</v>
      </c>
      <c r="F802" s="141">
        <v>0.48</v>
      </c>
      <c r="G802" s="141">
        <v>0.51500000000000001</v>
      </c>
      <c r="H802" s="141">
        <v>0.53</v>
      </c>
      <c r="I802" s="141">
        <v>0.5</v>
      </c>
      <c r="J802" s="142">
        <v>0.52</v>
      </c>
      <c r="K802" s="141">
        <v>0.49</v>
      </c>
      <c r="L802" s="141">
        <v>0.51</v>
      </c>
      <c r="M802" s="141">
        <v>0.48499999999999999</v>
      </c>
      <c r="N802" s="141">
        <v>0.42499999999999999</v>
      </c>
      <c r="O802" s="141">
        <v>0.51</v>
      </c>
      <c r="P802" s="142">
        <v>0.495</v>
      </c>
      <c r="Q802" s="141">
        <v>0.505</v>
      </c>
      <c r="R802" s="141">
        <v>0.46</v>
      </c>
      <c r="S802" s="141">
        <v>0.51</v>
      </c>
      <c r="T802" s="141">
        <v>0.51</v>
      </c>
      <c r="U802" s="141">
        <v>0.5</v>
      </c>
      <c r="V802" s="142">
        <v>0.5</v>
      </c>
      <c r="W802" s="141">
        <v>0.505</v>
      </c>
      <c r="X802" s="141">
        <v>0.51</v>
      </c>
      <c r="Y802" s="141">
        <v>0.54</v>
      </c>
      <c r="Z802" s="141">
        <v>0.39500000000000002</v>
      </c>
      <c r="AA802" s="141">
        <v>0.6</v>
      </c>
      <c r="AB802" s="143">
        <f>_xlfn.STDEV.P(D802:AA802)</f>
        <v>3.723983828584055E-2</v>
      </c>
      <c r="AC802" s="143"/>
    </row>
    <row r="803" spans="1:29">
      <c r="A803" s="260"/>
      <c r="C803" t="s">
        <v>220</v>
      </c>
      <c r="D803" s="141">
        <v>0.98</v>
      </c>
      <c r="E803" s="141">
        <v>0.92</v>
      </c>
      <c r="F803" s="141">
        <v>0.99</v>
      </c>
      <c r="G803" s="141">
        <v>0.90500000000000003</v>
      </c>
      <c r="H803" s="141">
        <v>1</v>
      </c>
      <c r="I803" s="141">
        <v>1.0249999999999999</v>
      </c>
      <c r="J803" s="142">
        <v>0.98499999999999999</v>
      </c>
      <c r="K803" s="141">
        <v>1.04</v>
      </c>
      <c r="L803" s="141">
        <v>0.88</v>
      </c>
      <c r="M803" s="141">
        <v>0.97</v>
      </c>
      <c r="N803" s="141">
        <v>0.98</v>
      </c>
      <c r="O803" s="141">
        <v>0.98</v>
      </c>
      <c r="P803" s="142">
        <v>0.98499999999999999</v>
      </c>
      <c r="Q803" s="141">
        <v>1.085</v>
      </c>
      <c r="R803" s="141">
        <v>0.98499999999999999</v>
      </c>
      <c r="S803" s="141">
        <v>0.99</v>
      </c>
      <c r="T803" s="141">
        <v>0.96499999999999997</v>
      </c>
      <c r="U803" s="141">
        <v>0.97499999999999998</v>
      </c>
      <c r="V803" s="142">
        <v>0.95</v>
      </c>
      <c r="W803" s="141">
        <v>0.97499999999999998</v>
      </c>
      <c r="X803" s="141">
        <v>1.085</v>
      </c>
      <c r="Y803" s="141">
        <v>0.99</v>
      </c>
      <c r="Z803" s="141">
        <v>1.02</v>
      </c>
      <c r="AA803" s="141">
        <v>0.97499999999999998</v>
      </c>
      <c r="AB803" s="143">
        <f>_xlfn.STDEV.P(D803:AA803)</f>
        <v>4.5654480582109594E-2</v>
      </c>
      <c r="AC803" s="143"/>
    </row>
    <row r="804" spans="1:29">
      <c r="A804" s="260"/>
      <c r="C804" t="s">
        <v>221</v>
      </c>
      <c r="D804" s="144">
        <v>0.53500000000000003</v>
      </c>
      <c r="E804" s="144">
        <v>0.55500000000000005</v>
      </c>
      <c r="F804" s="144">
        <v>0.57499999999999996</v>
      </c>
      <c r="G804" s="144">
        <v>0.56499999999999995</v>
      </c>
      <c r="H804" s="144">
        <v>0.5</v>
      </c>
      <c r="I804" s="141">
        <v>0.48499999999999999</v>
      </c>
      <c r="J804" s="145">
        <v>0.505</v>
      </c>
      <c r="K804" s="144">
        <v>0.51500000000000001</v>
      </c>
      <c r="L804" s="144">
        <v>0.60499999999999998</v>
      </c>
      <c r="M804" s="144">
        <v>0.52</v>
      </c>
      <c r="N804" s="144">
        <v>0.47</v>
      </c>
      <c r="O804" s="141">
        <v>0.53500000000000003</v>
      </c>
      <c r="P804" s="145">
        <v>0.53</v>
      </c>
      <c r="Q804" s="144">
        <v>0.42499999999999999</v>
      </c>
      <c r="R804" s="144">
        <v>0.51</v>
      </c>
      <c r="S804" s="144">
        <v>0.52</v>
      </c>
      <c r="T804" s="144">
        <v>0.54500000000000004</v>
      </c>
      <c r="U804" s="141">
        <v>0.53500000000000003</v>
      </c>
      <c r="V804" s="145">
        <v>0.56000000000000005</v>
      </c>
      <c r="W804" s="144">
        <v>0.55000000000000004</v>
      </c>
      <c r="X804" s="144">
        <v>0.44500000000000001</v>
      </c>
      <c r="Y804" s="144">
        <v>0.54500000000000004</v>
      </c>
      <c r="Z804" s="144">
        <v>0.51500000000000001</v>
      </c>
      <c r="AA804" s="144">
        <v>0.49</v>
      </c>
      <c r="AB804" s="143">
        <f>_xlfn.STDEV.P(D804:AA804)</f>
        <v>3.9764388555870216E-2</v>
      </c>
      <c r="AC804" s="146"/>
    </row>
    <row r="805" spans="1:29">
      <c r="A805" s="260"/>
      <c r="B805" s="147" t="s">
        <v>1903</v>
      </c>
      <c r="D805" s="148" t="s">
        <v>1794</v>
      </c>
      <c r="E805" s="148" t="s">
        <v>1794</v>
      </c>
      <c r="F805" s="148" t="s">
        <v>1794</v>
      </c>
      <c r="G805" s="148" t="s">
        <v>1794</v>
      </c>
      <c r="H805" s="148" t="s">
        <v>1794</v>
      </c>
      <c r="I805" s="149" t="s">
        <v>1794</v>
      </c>
      <c r="J805" s="150" t="s">
        <v>1794</v>
      </c>
      <c r="K805" s="148" t="s">
        <v>1794</v>
      </c>
      <c r="L805" s="148" t="s">
        <v>1794</v>
      </c>
      <c r="M805" s="148" t="s">
        <v>1794</v>
      </c>
      <c r="N805" s="148" t="s">
        <v>1794</v>
      </c>
      <c r="O805" s="149" t="s">
        <v>1794</v>
      </c>
      <c r="P805" s="150" t="s">
        <v>1794</v>
      </c>
      <c r="Q805" s="148" t="s">
        <v>1794</v>
      </c>
      <c r="R805" s="148" t="s">
        <v>1794</v>
      </c>
      <c r="S805" s="148" t="s">
        <v>1794</v>
      </c>
      <c r="T805" s="148" t="s">
        <v>1794</v>
      </c>
      <c r="U805" s="149" t="s">
        <v>1794</v>
      </c>
      <c r="V805" s="150" t="s">
        <v>1794</v>
      </c>
      <c r="W805" s="148" t="s">
        <v>1794</v>
      </c>
      <c r="X805" s="148" t="s">
        <v>1794</v>
      </c>
      <c r="Y805" s="148" t="s">
        <v>1794</v>
      </c>
      <c r="Z805" s="148" t="s">
        <v>1794</v>
      </c>
      <c r="AA805" s="148" t="s">
        <v>1794</v>
      </c>
      <c r="AB805" s="143"/>
      <c r="AC805" s="151" t="s">
        <v>1800</v>
      </c>
    </row>
    <row r="806" spans="1:29">
      <c r="A806" s="260"/>
      <c r="B806" t="s">
        <v>1837</v>
      </c>
      <c r="C806" t="s">
        <v>40</v>
      </c>
      <c r="D806" s="141">
        <v>0.51500000000000001</v>
      </c>
      <c r="E806" s="141">
        <v>0.51</v>
      </c>
      <c r="F806" s="141">
        <v>0.52</v>
      </c>
      <c r="G806" s="141">
        <v>0.52500000000000002</v>
      </c>
      <c r="H806" s="141">
        <v>0.51500000000000001</v>
      </c>
      <c r="I806" s="141">
        <v>0.52</v>
      </c>
      <c r="J806" s="142">
        <v>0.51</v>
      </c>
      <c r="K806" s="141">
        <v>0.54</v>
      </c>
      <c r="L806" s="141">
        <v>0.51500000000000001</v>
      </c>
      <c r="M806" s="141">
        <v>0.51500000000000001</v>
      </c>
      <c r="N806" s="141">
        <v>0.55000000000000004</v>
      </c>
      <c r="O806" s="141">
        <v>0.45</v>
      </c>
      <c r="P806" s="142">
        <v>0.48499999999999999</v>
      </c>
      <c r="Q806" s="141">
        <v>0.505</v>
      </c>
      <c r="R806" s="141">
        <v>0.51500000000000001</v>
      </c>
      <c r="S806" s="141">
        <v>0.505</v>
      </c>
      <c r="T806" s="141">
        <v>0.5</v>
      </c>
      <c r="U806" s="141">
        <v>0.495</v>
      </c>
      <c r="V806" s="142">
        <v>0.495</v>
      </c>
      <c r="W806" s="141">
        <v>0.505</v>
      </c>
      <c r="X806" s="141">
        <v>0.52</v>
      </c>
      <c r="Y806" s="141">
        <v>0.53500000000000003</v>
      </c>
      <c r="Z806" s="141">
        <v>0.51</v>
      </c>
      <c r="AA806" s="141">
        <v>0.43</v>
      </c>
      <c r="AB806" s="143">
        <f>_xlfn.STDEV.P(D806:AA806)</f>
        <v>2.4915656334031339E-2</v>
      </c>
      <c r="AC806" s="143"/>
    </row>
    <row r="807" spans="1:29">
      <c r="A807" s="260"/>
      <c r="C807" t="s">
        <v>220</v>
      </c>
      <c r="D807" s="141">
        <v>0.99</v>
      </c>
      <c r="E807" s="141">
        <v>0.995</v>
      </c>
      <c r="F807" s="141">
        <v>1</v>
      </c>
      <c r="G807" s="141">
        <v>0.99</v>
      </c>
      <c r="H807" s="141">
        <v>0.96499999999999997</v>
      </c>
      <c r="I807" s="141">
        <v>0.97499999999999998</v>
      </c>
      <c r="J807" s="142">
        <v>0.995</v>
      </c>
      <c r="K807" s="141">
        <v>0.98499999999999999</v>
      </c>
      <c r="L807" s="141">
        <v>0.90500000000000003</v>
      </c>
      <c r="M807" s="141">
        <v>1.0049999999999999</v>
      </c>
      <c r="N807" s="141">
        <v>0.97499999999999998</v>
      </c>
      <c r="O807" s="141">
        <v>1</v>
      </c>
      <c r="P807" s="142">
        <v>0.97499999999999998</v>
      </c>
      <c r="Q807" s="141">
        <v>0.98</v>
      </c>
      <c r="R807" s="141">
        <v>1</v>
      </c>
      <c r="S807" s="141">
        <v>0.995</v>
      </c>
      <c r="T807" s="141">
        <v>0.98</v>
      </c>
      <c r="U807" s="141">
        <v>0.98499999999999999</v>
      </c>
      <c r="V807" s="142">
        <v>0.98</v>
      </c>
      <c r="W807" s="141">
        <v>0.98499999999999999</v>
      </c>
      <c r="X807" s="141">
        <v>1.0149999999999999</v>
      </c>
      <c r="Y807" s="141">
        <v>0.995</v>
      </c>
      <c r="Z807" s="141">
        <v>1</v>
      </c>
      <c r="AA807" s="141">
        <v>1.0049999999999999</v>
      </c>
      <c r="AB807" s="143">
        <f>_xlfn.STDEV.P(D807:AA807)</f>
        <v>2.0589194509634295E-2</v>
      </c>
      <c r="AC807" s="143"/>
    </row>
    <row r="808" spans="1:29">
      <c r="A808" s="260"/>
      <c r="C808" t="s">
        <v>221</v>
      </c>
      <c r="D808" s="144">
        <v>0.505</v>
      </c>
      <c r="E808" s="144">
        <v>0.48499999999999999</v>
      </c>
      <c r="F808" s="144">
        <v>0.505</v>
      </c>
      <c r="G808" s="144">
        <v>0.49</v>
      </c>
      <c r="H808" s="144">
        <v>0.505</v>
      </c>
      <c r="I808" s="141">
        <v>0.5</v>
      </c>
      <c r="J808" s="145">
        <v>0.5</v>
      </c>
      <c r="K808" s="144">
        <v>0.45500000000000002</v>
      </c>
      <c r="L808" s="144">
        <v>0.55000000000000004</v>
      </c>
      <c r="M808" s="144">
        <v>0.505</v>
      </c>
      <c r="N808" s="144">
        <v>0.49</v>
      </c>
      <c r="O808" s="141">
        <v>0.53</v>
      </c>
      <c r="P808" s="145">
        <v>0.52</v>
      </c>
      <c r="Q808" s="144">
        <v>0.51500000000000001</v>
      </c>
      <c r="R808" s="144">
        <v>0.52</v>
      </c>
      <c r="S808" s="144">
        <v>0.51500000000000001</v>
      </c>
      <c r="T808" s="144">
        <v>0.495</v>
      </c>
      <c r="U808" s="141">
        <v>0.5</v>
      </c>
      <c r="V808" s="145">
        <v>0.52</v>
      </c>
      <c r="W808" s="144">
        <v>0.51</v>
      </c>
      <c r="X808" s="144">
        <v>0.46</v>
      </c>
      <c r="Y808" s="144">
        <v>0.52</v>
      </c>
      <c r="Z808" s="144">
        <v>0.5</v>
      </c>
      <c r="AA808" s="144">
        <v>0.51</v>
      </c>
      <c r="AB808" s="143">
        <f>_xlfn.STDEV.P(D808:AA808)</f>
        <v>1.9754350786598891E-2</v>
      </c>
      <c r="AC808" s="146"/>
    </row>
    <row r="809" spans="1:29">
      <c r="A809" s="260"/>
      <c r="B809" s="147" t="s">
        <v>1838</v>
      </c>
      <c r="D809" s="148" t="s">
        <v>1794</v>
      </c>
      <c r="E809" s="148" t="s">
        <v>1796</v>
      </c>
      <c r="F809" s="148" t="s">
        <v>1796</v>
      </c>
      <c r="G809" s="148" t="s">
        <v>1794</v>
      </c>
      <c r="H809" s="148" t="s">
        <v>1794</v>
      </c>
      <c r="I809" s="149" t="s">
        <v>1794</v>
      </c>
      <c r="J809" s="150" t="s">
        <v>1796</v>
      </c>
      <c r="K809" s="148" t="s">
        <v>1796</v>
      </c>
      <c r="L809" s="148" t="s">
        <v>1794</v>
      </c>
      <c r="M809" s="148" t="s">
        <v>1794</v>
      </c>
      <c r="N809" s="148" t="s">
        <v>1794</v>
      </c>
      <c r="O809" s="149" t="s">
        <v>1794</v>
      </c>
      <c r="P809" s="150" t="s">
        <v>1796</v>
      </c>
      <c r="Q809" s="148" t="s">
        <v>1794</v>
      </c>
      <c r="R809" s="148" t="s">
        <v>1803</v>
      </c>
      <c r="S809" s="148" t="s">
        <v>1796</v>
      </c>
      <c r="T809" s="148" t="s">
        <v>1794</v>
      </c>
      <c r="U809" s="149" t="s">
        <v>1794</v>
      </c>
      <c r="V809" s="150" t="s">
        <v>1794</v>
      </c>
      <c r="W809" s="148" t="s">
        <v>1803</v>
      </c>
      <c r="X809" s="148" t="s">
        <v>1796</v>
      </c>
      <c r="Y809" s="148" t="s">
        <v>1794</v>
      </c>
      <c r="Z809" s="148" t="s">
        <v>1794</v>
      </c>
      <c r="AA809" s="148" t="s">
        <v>1794</v>
      </c>
      <c r="AB809" s="143"/>
      <c r="AC809" s="151" t="s">
        <v>1880</v>
      </c>
    </row>
    <row r="810" spans="1:29">
      <c r="A810" s="260"/>
      <c r="B810" t="s">
        <v>1839</v>
      </c>
      <c r="C810" t="s">
        <v>40</v>
      </c>
      <c r="D810" s="141">
        <v>0.52500000000000002</v>
      </c>
      <c r="E810" s="141">
        <v>0.54500000000000004</v>
      </c>
      <c r="F810" s="141">
        <v>0.48499999999999999</v>
      </c>
      <c r="G810" s="141">
        <v>0.51</v>
      </c>
      <c r="H810" s="141">
        <v>0.49</v>
      </c>
      <c r="I810" s="141">
        <v>0.51</v>
      </c>
      <c r="J810" s="142">
        <v>0.505</v>
      </c>
      <c r="K810" s="141">
        <v>0.51</v>
      </c>
      <c r="L810" s="141">
        <v>0.505</v>
      </c>
      <c r="M810" s="141">
        <v>0.48</v>
      </c>
      <c r="N810" s="141">
        <v>0.6</v>
      </c>
      <c r="O810" s="141">
        <v>0.63</v>
      </c>
      <c r="P810" s="142">
        <v>0.51500000000000001</v>
      </c>
      <c r="Q810" s="141">
        <v>0.495</v>
      </c>
      <c r="R810" s="141">
        <v>0.38</v>
      </c>
      <c r="S810" s="141">
        <v>0.505</v>
      </c>
      <c r="T810" s="141">
        <v>0.48</v>
      </c>
      <c r="U810" s="141">
        <v>0.5</v>
      </c>
      <c r="V810" s="142">
        <v>0.53</v>
      </c>
      <c r="W810" s="141">
        <v>0.51500000000000001</v>
      </c>
      <c r="X810" s="141">
        <v>0.5</v>
      </c>
      <c r="Y810" s="141">
        <v>0.48499999999999999</v>
      </c>
      <c r="Z810" s="141">
        <v>0.49</v>
      </c>
      <c r="AA810" s="141">
        <v>0.57499999999999996</v>
      </c>
      <c r="AB810" s="143">
        <f>_xlfn.STDEV.P(D810:AA810)</f>
        <v>4.5574553542032152E-2</v>
      </c>
      <c r="AC810" s="143"/>
    </row>
    <row r="811" spans="1:29">
      <c r="A811" s="260"/>
      <c r="C811" t="s">
        <v>220</v>
      </c>
      <c r="D811" s="141">
        <v>0.995</v>
      </c>
      <c r="E811" s="141">
        <v>0.97499999999999998</v>
      </c>
      <c r="F811" s="141">
        <v>0.995</v>
      </c>
      <c r="G811" s="141">
        <v>1.085</v>
      </c>
      <c r="H811" s="141">
        <v>1.0349999999999999</v>
      </c>
      <c r="I811" s="141">
        <v>1.0249999999999999</v>
      </c>
      <c r="J811" s="142">
        <v>0.98</v>
      </c>
      <c r="K811" s="141">
        <v>1</v>
      </c>
      <c r="L811" s="141">
        <v>1.0149999999999999</v>
      </c>
      <c r="M811" s="141">
        <v>0.99</v>
      </c>
      <c r="N811" s="141">
        <v>0.97</v>
      </c>
      <c r="O811" s="141">
        <v>0.97499999999999998</v>
      </c>
      <c r="P811" s="142">
        <v>0.95</v>
      </c>
      <c r="Q811" s="141">
        <v>1</v>
      </c>
      <c r="R811" s="141">
        <v>1.03</v>
      </c>
      <c r="S811" s="141">
        <v>0.99</v>
      </c>
      <c r="T811" s="141">
        <v>1.01</v>
      </c>
      <c r="U811" s="141">
        <v>0.95499999999999996</v>
      </c>
      <c r="V811" s="142">
        <v>1.03</v>
      </c>
      <c r="W811" s="141">
        <v>0.96499999999999997</v>
      </c>
      <c r="X811" s="141">
        <v>1.095</v>
      </c>
      <c r="Y811" s="141">
        <v>0.98499999999999999</v>
      </c>
      <c r="Z811" s="141">
        <v>0.99</v>
      </c>
      <c r="AA811" s="141">
        <v>0.97</v>
      </c>
      <c r="AB811" s="143">
        <f>_xlfn.STDEV.P(D811:AA811)</f>
        <v>3.5352883742191227E-2</v>
      </c>
      <c r="AC811" s="143"/>
    </row>
    <row r="812" spans="1:29">
      <c r="A812" s="260"/>
      <c r="C812" t="s">
        <v>221</v>
      </c>
      <c r="D812" s="144">
        <v>0.495</v>
      </c>
      <c r="E812" s="144">
        <v>0.46</v>
      </c>
      <c r="F812" s="144">
        <v>0.505</v>
      </c>
      <c r="G812" s="144">
        <v>0.43</v>
      </c>
      <c r="H812" s="144">
        <v>0.47499999999999998</v>
      </c>
      <c r="I812" s="141">
        <v>0.47499999999999998</v>
      </c>
      <c r="J812" s="145">
        <v>0.52500000000000002</v>
      </c>
      <c r="K812" s="144">
        <v>0.52</v>
      </c>
      <c r="L812" s="144">
        <v>0.49</v>
      </c>
      <c r="M812" s="144">
        <v>0.505</v>
      </c>
      <c r="N812" s="144">
        <v>0.51</v>
      </c>
      <c r="O812" s="141">
        <v>0.495</v>
      </c>
      <c r="P812" s="145">
        <v>0.52500000000000002</v>
      </c>
      <c r="Q812" s="144">
        <v>0.52500000000000002</v>
      </c>
      <c r="R812" s="144">
        <v>0.52</v>
      </c>
      <c r="S812" s="144">
        <v>0.505</v>
      </c>
      <c r="T812" s="144">
        <v>0.48499999999999999</v>
      </c>
      <c r="U812" s="141">
        <v>0.56000000000000005</v>
      </c>
      <c r="V812" s="145">
        <v>0.46500000000000002</v>
      </c>
      <c r="W812" s="144">
        <v>0.52</v>
      </c>
      <c r="X812" s="144">
        <v>0.42499999999999999</v>
      </c>
      <c r="Y812" s="144">
        <v>0.45</v>
      </c>
      <c r="Z812" s="144">
        <v>0.48</v>
      </c>
      <c r="AA812" s="144">
        <v>0.49</v>
      </c>
      <c r="AB812" s="143">
        <f>_xlfn.STDEV.P(D812:AA812)</f>
        <v>3.1418296818892029E-2</v>
      </c>
      <c r="AC812" s="146"/>
    </row>
    <row r="813" spans="1:29">
      <c r="A813" s="260"/>
      <c r="B813" s="147" t="s">
        <v>1840</v>
      </c>
      <c r="D813" s="148" t="s">
        <v>1803</v>
      </c>
      <c r="E813" s="148" t="s">
        <v>1796</v>
      </c>
      <c r="F813" s="148" t="s">
        <v>1796</v>
      </c>
      <c r="G813" s="148" t="s">
        <v>1803</v>
      </c>
      <c r="H813" s="148" t="s">
        <v>1794</v>
      </c>
      <c r="I813" s="149" t="s">
        <v>1794</v>
      </c>
      <c r="J813" s="150" t="s">
        <v>1794</v>
      </c>
      <c r="K813" s="148" t="s">
        <v>1795</v>
      </c>
      <c r="L813" s="148" t="s">
        <v>1795</v>
      </c>
      <c r="M813" s="148" t="s">
        <v>1795</v>
      </c>
      <c r="N813" s="148" t="s">
        <v>1794</v>
      </c>
      <c r="O813" s="149" t="s">
        <v>1794</v>
      </c>
      <c r="P813" s="150" t="s">
        <v>1795</v>
      </c>
      <c r="Q813" s="148" t="s">
        <v>1794</v>
      </c>
      <c r="R813" s="148" t="s">
        <v>1803</v>
      </c>
      <c r="S813" s="148" t="s">
        <v>1796</v>
      </c>
      <c r="T813" s="148" t="s">
        <v>1796</v>
      </c>
      <c r="U813" s="149" t="s">
        <v>1794</v>
      </c>
      <c r="V813" s="150" t="s">
        <v>1794</v>
      </c>
      <c r="W813" s="148" t="s">
        <v>1803</v>
      </c>
      <c r="X813" s="148" t="s">
        <v>1794</v>
      </c>
      <c r="Y813" s="148" t="s">
        <v>1796</v>
      </c>
      <c r="Z813" s="148" t="s">
        <v>1794</v>
      </c>
      <c r="AA813" s="148" t="s">
        <v>1794</v>
      </c>
      <c r="AB813" s="143"/>
      <c r="AC813" s="151" t="s">
        <v>1978</v>
      </c>
    </row>
    <row r="814" spans="1:29">
      <c r="A814" s="260"/>
      <c r="B814" s="153" t="s">
        <v>1842</v>
      </c>
      <c r="C814" s="153" t="s">
        <v>40</v>
      </c>
      <c r="D814" s="154">
        <v>0.51</v>
      </c>
      <c r="E814" s="154">
        <v>0.53</v>
      </c>
      <c r="F814" s="154">
        <v>0.495</v>
      </c>
      <c r="G814" s="154">
        <v>0.52500000000000002</v>
      </c>
      <c r="H814" s="154">
        <v>0.49</v>
      </c>
      <c r="I814" s="154">
        <v>0.505</v>
      </c>
      <c r="J814" s="155">
        <v>0.51</v>
      </c>
      <c r="K814" s="154">
        <v>0.48</v>
      </c>
      <c r="L814" s="154">
        <v>0.5</v>
      </c>
      <c r="M814" s="154">
        <v>0.45</v>
      </c>
      <c r="N814" s="154">
        <v>0.47</v>
      </c>
      <c r="O814" s="154">
        <v>0.61</v>
      </c>
      <c r="P814" s="155">
        <v>0.5</v>
      </c>
      <c r="Q814" s="154">
        <v>0.505</v>
      </c>
      <c r="R814" s="154">
        <v>0.68500000000000005</v>
      </c>
      <c r="S814" s="154">
        <v>0.52</v>
      </c>
      <c r="T814" s="154">
        <v>0.46</v>
      </c>
      <c r="U814" s="154">
        <v>0.51</v>
      </c>
      <c r="V814" s="155">
        <v>0.53</v>
      </c>
      <c r="W814" s="154">
        <v>0.52</v>
      </c>
      <c r="X814" s="154">
        <v>0.495</v>
      </c>
      <c r="Y814" s="154">
        <v>0.69</v>
      </c>
      <c r="Z814" s="154">
        <v>0.495</v>
      </c>
      <c r="AA814" s="154">
        <v>0.53500000000000003</v>
      </c>
      <c r="AB814" s="156">
        <f>_xlfn.STDEV.P(D814:AA814)</f>
        <v>5.8285694833486355E-2</v>
      </c>
      <c r="AC814" s="156"/>
    </row>
    <row r="815" spans="1:29">
      <c r="A815" s="260"/>
      <c r="B815" s="153"/>
      <c r="C815" s="153" t="s">
        <v>220</v>
      </c>
      <c r="D815" s="154">
        <v>0.995</v>
      </c>
      <c r="E815" s="154">
        <v>0.94</v>
      </c>
      <c r="F815" s="154">
        <v>0.99</v>
      </c>
      <c r="G815" s="154">
        <v>1.01</v>
      </c>
      <c r="H815" s="154">
        <v>0.995</v>
      </c>
      <c r="I815" s="154">
        <v>1.02</v>
      </c>
      <c r="J815" s="155">
        <v>0.99</v>
      </c>
      <c r="K815" s="154">
        <v>0.92</v>
      </c>
      <c r="L815" s="154">
        <v>0.95499999999999996</v>
      </c>
      <c r="M815" s="154">
        <v>0.97499999999999998</v>
      </c>
      <c r="N815" s="154">
        <v>0.98499999999999999</v>
      </c>
      <c r="O815" s="154">
        <v>0.97</v>
      </c>
      <c r="P815" s="155">
        <v>1.0349999999999999</v>
      </c>
      <c r="Q815" s="154">
        <v>0.92500000000000004</v>
      </c>
      <c r="R815" s="154">
        <v>0.97499999999999998</v>
      </c>
      <c r="S815" s="154">
        <v>1</v>
      </c>
      <c r="T815" s="154">
        <v>0.99</v>
      </c>
      <c r="U815" s="154">
        <v>0.96</v>
      </c>
      <c r="V815" s="155">
        <v>1.0349999999999999</v>
      </c>
      <c r="W815" s="154">
        <v>0.95499999999999996</v>
      </c>
      <c r="X815" s="154">
        <v>1.02</v>
      </c>
      <c r="Y815" s="154">
        <v>1.0249999999999999</v>
      </c>
      <c r="Z815" s="154">
        <v>0.995</v>
      </c>
      <c r="AA815" s="154">
        <v>0.99</v>
      </c>
      <c r="AB815" s="156">
        <f>_xlfn.STDEV.P(D815:AA815)</f>
        <v>3.0954155168930412E-2</v>
      </c>
      <c r="AC815" s="156"/>
    </row>
    <row r="816" spans="1:29">
      <c r="A816" s="260"/>
      <c r="B816" s="153"/>
      <c r="C816" s="153" t="s">
        <v>221</v>
      </c>
      <c r="D816" s="157">
        <v>0.495</v>
      </c>
      <c r="E816" s="157">
        <v>0.5</v>
      </c>
      <c r="F816" s="157">
        <v>0.52</v>
      </c>
      <c r="G816" s="157">
        <v>0.505</v>
      </c>
      <c r="H816" s="157">
        <v>0.5</v>
      </c>
      <c r="I816" s="154">
        <v>0.48499999999999999</v>
      </c>
      <c r="J816" s="158">
        <v>0.505</v>
      </c>
      <c r="K816" s="157">
        <v>0.54</v>
      </c>
      <c r="L816" s="157">
        <v>0.54500000000000004</v>
      </c>
      <c r="M816" s="157">
        <v>0.52</v>
      </c>
      <c r="N816" s="157">
        <v>0.505</v>
      </c>
      <c r="O816" s="154">
        <v>0.49</v>
      </c>
      <c r="P816" s="158">
        <v>0.45500000000000002</v>
      </c>
      <c r="Q816" s="157">
        <v>0.55000000000000004</v>
      </c>
      <c r="R816" s="157">
        <v>0.53500000000000003</v>
      </c>
      <c r="S816" s="157">
        <v>0.51</v>
      </c>
      <c r="T816" s="157">
        <v>0.48499999999999999</v>
      </c>
      <c r="U816" s="154">
        <v>0.52</v>
      </c>
      <c r="V816" s="158">
        <v>0.46500000000000002</v>
      </c>
      <c r="W816" s="157">
        <v>0.53</v>
      </c>
      <c r="X816" s="157">
        <v>0.495</v>
      </c>
      <c r="Y816" s="157">
        <v>0.8</v>
      </c>
      <c r="Z816" s="157">
        <v>0.52</v>
      </c>
      <c r="AA816" s="157">
        <v>0.5</v>
      </c>
      <c r="AB816" s="156">
        <f>_xlfn.STDEV.P(D816:AA816)</f>
        <v>6.2740855354032524E-2</v>
      </c>
      <c r="AC816" s="164"/>
    </row>
    <row r="817" spans="1:29">
      <c r="A817" s="260"/>
      <c r="B817" s="159" t="s">
        <v>1843</v>
      </c>
      <c r="C817" s="153"/>
      <c r="D817" s="160" t="s">
        <v>1795</v>
      </c>
      <c r="E817" s="160" t="s">
        <v>1803</v>
      </c>
      <c r="F817" s="160" t="s">
        <v>1796</v>
      </c>
      <c r="G817" s="160" t="s">
        <v>1794</v>
      </c>
      <c r="H817" s="160" t="s">
        <v>1794</v>
      </c>
      <c r="I817" s="161" t="s">
        <v>1794</v>
      </c>
      <c r="J817" s="162" t="s">
        <v>1794</v>
      </c>
      <c r="K817" s="160" t="s">
        <v>1795</v>
      </c>
      <c r="L817" s="160" t="s">
        <v>1794</v>
      </c>
      <c r="M817" s="160" t="s">
        <v>1794</v>
      </c>
      <c r="N817" s="160" t="s">
        <v>1794</v>
      </c>
      <c r="O817" s="161" t="s">
        <v>1794</v>
      </c>
      <c r="P817" s="162" t="s">
        <v>1795</v>
      </c>
      <c r="Q817" s="160" t="s">
        <v>1794</v>
      </c>
      <c r="R817" s="160" t="s">
        <v>1803</v>
      </c>
      <c r="S817" s="160" t="s">
        <v>1796</v>
      </c>
      <c r="T817" s="160" t="s">
        <v>1794</v>
      </c>
      <c r="U817" s="161" t="s">
        <v>1794</v>
      </c>
      <c r="V817" s="162" t="s">
        <v>1794</v>
      </c>
      <c r="W817" s="160" t="s">
        <v>1794</v>
      </c>
      <c r="X817" s="160" t="s">
        <v>1796</v>
      </c>
      <c r="Y817" s="160" t="s">
        <v>1796</v>
      </c>
      <c r="Z817" s="160" t="s">
        <v>1794</v>
      </c>
      <c r="AA817" s="160" t="s">
        <v>1794</v>
      </c>
      <c r="AB817" s="156"/>
      <c r="AC817" s="165" t="s">
        <v>1797</v>
      </c>
    </row>
    <row r="818" spans="1:29">
      <c r="A818" s="260"/>
      <c r="B818" t="s">
        <v>1845</v>
      </c>
      <c r="C818" t="s">
        <v>40</v>
      </c>
      <c r="D818" s="141">
        <v>0.52</v>
      </c>
      <c r="E818" s="141">
        <v>0.51</v>
      </c>
      <c r="F818" s="141">
        <v>0.56499999999999995</v>
      </c>
      <c r="G818" s="141">
        <v>0.52500000000000002</v>
      </c>
      <c r="H818" s="141">
        <v>0.52500000000000002</v>
      </c>
      <c r="I818" s="141">
        <v>0.52</v>
      </c>
      <c r="J818" s="142">
        <v>0.52500000000000002</v>
      </c>
      <c r="K818" s="141">
        <v>0.505</v>
      </c>
      <c r="L818" s="141">
        <v>0.54</v>
      </c>
      <c r="M818" s="141">
        <v>0.45500000000000002</v>
      </c>
      <c r="N818" s="141">
        <v>0.51</v>
      </c>
      <c r="O818" s="141">
        <v>0.53</v>
      </c>
      <c r="P818" s="142">
        <v>0.51500000000000001</v>
      </c>
      <c r="Q818" s="141">
        <v>0.51</v>
      </c>
      <c r="R818" s="141">
        <v>0.42</v>
      </c>
      <c r="S818" s="141">
        <v>0.53500000000000003</v>
      </c>
      <c r="T818" s="141">
        <v>0.48</v>
      </c>
      <c r="U818" s="141">
        <v>0.53500000000000003</v>
      </c>
      <c r="V818" s="142">
        <v>0.53500000000000003</v>
      </c>
      <c r="W818" s="141">
        <v>0.51500000000000001</v>
      </c>
      <c r="X818" s="141">
        <v>0.51</v>
      </c>
      <c r="Y818" s="141">
        <v>0.60499999999999998</v>
      </c>
      <c r="Z818" s="141">
        <v>0.49</v>
      </c>
      <c r="AA818" s="141">
        <v>0.505</v>
      </c>
      <c r="AB818" s="143">
        <f>_xlfn.STDEV.P(D818:AA818)</f>
        <v>3.4003038058712083E-2</v>
      </c>
      <c r="AC818" s="143"/>
    </row>
    <row r="819" spans="1:29">
      <c r="A819" s="260"/>
      <c r="C819" t="s">
        <v>220</v>
      </c>
      <c r="D819" s="141">
        <v>0.98</v>
      </c>
      <c r="E819" s="141">
        <v>0.995</v>
      </c>
      <c r="F819" s="141">
        <v>1</v>
      </c>
      <c r="G819" s="141">
        <v>0.95499999999999996</v>
      </c>
      <c r="H819" s="141">
        <v>0.97</v>
      </c>
      <c r="I819" s="141">
        <v>1</v>
      </c>
      <c r="J819" s="142">
        <v>0.995</v>
      </c>
      <c r="K819" s="141">
        <v>0.95</v>
      </c>
      <c r="L819" s="141">
        <v>0.93</v>
      </c>
      <c r="M819" s="141">
        <v>1.0149999999999999</v>
      </c>
      <c r="N819" s="141">
        <v>0.96499999999999997</v>
      </c>
      <c r="O819" s="141">
        <v>1.02</v>
      </c>
      <c r="P819" s="142">
        <v>0.99</v>
      </c>
      <c r="Q819" s="141">
        <v>0.92500000000000004</v>
      </c>
      <c r="R819" s="141">
        <v>0.96499999999999997</v>
      </c>
      <c r="S819" s="141">
        <v>1</v>
      </c>
      <c r="T819" s="141">
        <v>0.98499999999999999</v>
      </c>
      <c r="U819" s="141">
        <v>1.0049999999999999</v>
      </c>
      <c r="V819" s="142">
        <v>0.99</v>
      </c>
      <c r="W819" s="141">
        <v>0.98</v>
      </c>
      <c r="X819" s="141">
        <v>0.98499999999999999</v>
      </c>
      <c r="Y819" s="141">
        <v>0.96499999999999997</v>
      </c>
      <c r="Z819" s="141">
        <v>1.0149999999999999</v>
      </c>
      <c r="AA819" s="141">
        <v>0.99</v>
      </c>
      <c r="AB819" s="143">
        <f>_xlfn.STDEV.P(D819:AA819)</f>
        <v>2.4491353349475973E-2</v>
      </c>
      <c r="AC819" s="143"/>
    </row>
    <row r="820" spans="1:29">
      <c r="A820" s="260"/>
      <c r="C820" t="s">
        <v>221</v>
      </c>
      <c r="D820" s="144">
        <v>0.52</v>
      </c>
      <c r="E820" s="144">
        <v>0.51500000000000001</v>
      </c>
      <c r="F820" s="144">
        <v>0.52</v>
      </c>
      <c r="G820" s="144">
        <v>0.54</v>
      </c>
      <c r="H820" s="144">
        <v>0.49</v>
      </c>
      <c r="I820" s="141">
        <v>0.49</v>
      </c>
      <c r="J820" s="145">
        <v>0.5</v>
      </c>
      <c r="K820" s="144">
        <v>0.48499999999999999</v>
      </c>
      <c r="L820" s="144">
        <v>0.51500000000000001</v>
      </c>
      <c r="M820" s="144">
        <v>0.51</v>
      </c>
      <c r="N820" s="144">
        <v>0.47499999999999998</v>
      </c>
      <c r="O820" s="141">
        <v>0.48499999999999999</v>
      </c>
      <c r="P820" s="145">
        <v>0.495</v>
      </c>
      <c r="Q820" s="144">
        <v>0.54</v>
      </c>
      <c r="R820" s="144">
        <v>0.48499999999999999</v>
      </c>
      <c r="S820" s="144">
        <v>0.51</v>
      </c>
      <c r="T820" s="144">
        <v>0.54500000000000004</v>
      </c>
      <c r="U820" s="141">
        <v>0.47</v>
      </c>
      <c r="V820" s="145">
        <v>0.505</v>
      </c>
      <c r="W820" s="144">
        <v>0.52</v>
      </c>
      <c r="X820" s="144">
        <v>0.51</v>
      </c>
      <c r="Y820" s="144">
        <v>0.495</v>
      </c>
      <c r="Z820" s="144">
        <v>0.47</v>
      </c>
      <c r="AA820" s="144">
        <v>0.51</v>
      </c>
      <c r="AB820" s="143">
        <f>_xlfn.STDEV.P(D820:AA820)</f>
        <v>2.0649186155606462E-2</v>
      </c>
      <c r="AC820" s="146"/>
    </row>
    <row r="821" spans="1:29">
      <c r="A821" s="260"/>
      <c r="B821" s="147" t="s">
        <v>1846</v>
      </c>
      <c r="D821" s="148" t="s">
        <v>1794</v>
      </c>
      <c r="E821" s="148" t="s">
        <v>1794</v>
      </c>
      <c r="F821" s="148" t="s">
        <v>1794</v>
      </c>
      <c r="G821" s="148" t="s">
        <v>1794</v>
      </c>
      <c r="H821" s="148" t="s">
        <v>1794</v>
      </c>
      <c r="I821" s="149" t="s">
        <v>1794</v>
      </c>
      <c r="J821" s="150" t="s">
        <v>1794</v>
      </c>
      <c r="K821" s="148" t="s">
        <v>1794</v>
      </c>
      <c r="L821" s="148" t="s">
        <v>1794</v>
      </c>
      <c r="M821" s="148" t="s">
        <v>1794</v>
      </c>
      <c r="N821" s="148" t="s">
        <v>1794</v>
      </c>
      <c r="O821" s="149" t="s">
        <v>1794</v>
      </c>
      <c r="P821" s="150" t="s">
        <v>1794</v>
      </c>
      <c r="Q821" s="148" t="s">
        <v>1794</v>
      </c>
      <c r="R821" s="148" t="s">
        <v>1794</v>
      </c>
      <c r="S821" s="148" t="s">
        <v>1794</v>
      </c>
      <c r="T821" s="148" t="s">
        <v>1794</v>
      </c>
      <c r="U821" s="149" t="s">
        <v>1794</v>
      </c>
      <c r="V821" s="150" t="s">
        <v>1794</v>
      </c>
      <c r="W821" s="148" t="s">
        <v>1794</v>
      </c>
      <c r="X821" s="148" t="s">
        <v>1794</v>
      </c>
      <c r="Y821" s="148" t="s">
        <v>1794</v>
      </c>
      <c r="Z821" s="148" t="s">
        <v>1794</v>
      </c>
      <c r="AA821" s="148" t="s">
        <v>1794</v>
      </c>
      <c r="AB821" s="143"/>
      <c r="AC821" s="151" t="s">
        <v>1800</v>
      </c>
    </row>
    <row r="822" spans="1:29">
      <c r="A822" s="260"/>
      <c r="B822" s="127" t="s">
        <v>1848</v>
      </c>
      <c r="C822" s="127" t="s">
        <v>40</v>
      </c>
      <c r="D822" s="128">
        <v>0.5</v>
      </c>
      <c r="E822" s="128">
        <v>0.52</v>
      </c>
      <c r="F822" s="128">
        <v>0.54500000000000004</v>
      </c>
      <c r="G822" s="128">
        <v>0.48499999999999999</v>
      </c>
      <c r="H822" s="128">
        <v>0.52</v>
      </c>
      <c r="I822" s="128">
        <v>0.5</v>
      </c>
      <c r="J822" s="129">
        <v>0.505</v>
      </c>
      <c r="K822" s="128">
        <v>0.56000000000000005</v>
      </c>
      <c r="L822" s="128">
        <v>0.53</v>
      </c>
      <c r="M822" s="128">
        <v>0.51</v>
      </c>
      <c r="N822" s="128">
        <v>0.59499999999999997</v>
      </c>
      <c r="O822" s="128">
        <v>0.55500000000000005</v>
      </c>
      <c r="P822" s="129">
        <v>0.495</v>
      </c>
      <c r="Q822" s="128">
        <v>0.53</v>
      </c>
      <c r="R822" s="128">
        <v>0.57999999999999996</v>
      </c>
      <c r="S822" s="128">
        <v>0.52</v>
      </c>
      <c r="T822" s="128">
        <v>0.54500000000000004</v>
      </c>
      <c r="U822" s="128">
        <v>0.505</v>
      </c>
      <c r="V822" s="129">
        <v>0.51</v>
      </c>
      <c r="W822" s="128">
        <v>0.51</v>
      </c>
      <c r="X822" s="128">
        <v>0.49</v>
      </c>
      <c r="Y822" s="128">
        <v>0.46</v>
      </c>
      <c r="Z822" s="128">
        <v>0.5</v>
      </c>
      <c r="AA822" s="128">
        <v>0.44</v>
      </c>
      <c r="AB822" s="132">
        <f>_xlfn.STDEV.P(D822:AA822)</f>
        <v>3.4153961052205285E-2</v>
      </c>
      <c r="AC822" s="132"/>
    </row>
    <row r="823" spans="1:29">
      <c r="A823" s="260"/>
      <c r="B823" s="127"/>
      <c r="C823" s="127" t="s">
        <v>220</v>
      </c>
      <c r="D823" s="128">
        <v>1.01</v>
      </c>
      <c r="E823" s="128">
        <v>1.02</v>
      </c>
      <c r="F823" s="128">
        <v>0.98499999999999999</v>
      </c>
      <c r="G823" s="128">
        <v>0.96499999999999997</v>
      </c>
      <c r="H823" s="128">
        <v>0.96499999999999997</v>
      </c>
      <c r="I823" s="128">
        <v>0.98</v>
      </c>
      <c r="J823" s="129">
        <v>0.99</v>
      </c>
      <c r="K823" s="128">
        <v>1.02</v>
      </c>
      <c r="L823" s="128">
        <v>1.145</v>
      </c>
      <c r="M823" s="128">
        <v>1</v>
      </c>
      <c r="N823" s="128">
        <v>0.97499999999999998</v>
      </c>
      <c r="O823" s="128">
        <v>0.97499999999999998</v>
      </c>
      <c r="P823" s="129">
        <v>1.0249999999999999</v>
      </c>
      <c r="Q823" s="128">
        <v>1.02</v>
      </c>
      <c r="R823" s="128">
        <v>0.96499999999999997</v>
      </c>
      <c r="S823" s="128">
        <v>0.99</v>
      </c>
      <c r="T823" s="128">
        <v>1</v>
      </c>
      <c r="U823" s="128">
        <v>1.04</v>
      </c>
      <c r="V823" s="129">
        <v>0.98</v>
      </c>
      <c r="W823" s="128">
        <v>0.95499999999999996</v>
      </c>
      <c r="X823" s="128">
        <v>1.165</v>
      </c>
      <c r="Y823" s="128">
        <v>0.98499999999999999</v>
      </c>
      <c r="Z823" s="128">
        <v>0.98499999999999999</v>
      </c>
      <c r="AA823" s="128">
        <v>1.0249999999999999</v>
      </c>
      <c r="AB823" s="132">
        <f>_xlfn.STDEV.P(D823:AA823)</f>
        <v>4.9954406295474423E-2</v>
      </c>
      <c r="AC823" s="132"/>
    </row>
    <row r="824" spans="1:29">
      <c r="A824" s="260"/>
      <c r="B824" s="127"/>
      <c r="C824" s="127" t="s">
        <v>221</v>
      </c>
      <c r="D824" s="133">
        <v>0.5</v>
      </c>
      <c r="E824" s="133">
        <v>0.47</v>
      </c>
      <c r="F824" s="133">
        <v>0.49</v>
      </c>
      <c r="G824" s="133">
        <v>0.505</v>
      </c>
      <c r="H824" s="133">
        <v>0.52500000000000002</v>
      </c>
      <c r="I824" s="128">
        <v>0.51500000000000001</v>
      </c>
      <c r="J824" s="134">
        <v>0.51</v>
      </c>
      <c r="K824" s="133">
        <v>0.60499999999999998</v>
      </c>
      <c r="L824" s="133">
        <v>0.375</v>
      </c>
      <c r="M824" s="133">
        <v>0.49</v>
      </c>
      <c r="N824" s="133">
        <v>0.495</v>
      </c>
      <c r="O824" s="128">
        <v>0.48499999999999999</v>
      </c>
      <c r="P824" s="134">
        <v>0.45500000000000002</v>
      </c>
      <c r="Q824" s="133">
        <v>0.46500000000000002</v>
      </c>
      <c r="R824" s="133">
        <v>0.46</v>
      </c>
      <c r="S824" s="133">
        <v>0.495</v>
      </c>
      <c r="T824" s="133">
        <v>0.48499999999999999</v>
      </c>
      <c r="U824" s="128">
        <v>0.46</v>
      </c>
      <c r="V824" s="134">
        <v>0.47499999999999998</v>
      </c>
      <c r="W824" s="133">
        <v>0.51500000000000001</v>
      </c>
      <c r="X824" s="133">
        <v>0.38</v>
      </c>
      <c r="Y824" s="133">
        <v>0.495</v>
      </c>
      <c r="Z824" s="133">
        <v>0.49</v>
      </c>
      <c r="AA824" s="133">
        <v>0.52</v>
      </c>
      <c r="AB824" s="132">
        <f>_xlfn.STDEV.P(D824:AA824)</f>
        <v>4.4080103851460647E-2</v>
      </c>
      <c r="AC824" s="135"/>
    </row>
    <row r="825" spans="1:29">
      <c r="A825" s="260"/>
      <c r="B825" s="169" t="s">
        <v>1849</v>
      </c>
      <c r="C825" s="127"/>
      <c r="D825" s="137" t="s">
        <v>1794</v>
      </c>
      <c r="E825" s="137" t="s">
        <v>1794</v>
      </c>
      <c r="F825" s="137" t="s">
        <v>1794</v>
      </c>
      <c r="G825" s="137" t="s">
        <v>1794</v>
      </c>
      <c r="H825" s="137" t="s">
        <v>1794</v>
      </c>
      <c r="I825" s="138" t="s">
        <v>1794</v>
      </c>
      <c r="J825" s="139" t="s">
        <v>1794</v>
      </c>
      <c r="K825" s="137" t="s">
        <v>1794</v>
      </c>
      <c r="L825" s="137" t="s">
        <v>1794</v>
      </c>
      <c r="M825" s="137" t="s">
        <v>1794</v>
      </c>
      <c r="N825" s="137" t="s">
        <v>1794</v>
      </c>
      <c r="O825" s="138" t="s">
        <v>1794</v>
      </c>
      <c r="P825" s="139" t="s">
        <v>1794</v>
      </c>
      <c r="Q825" s="137" t="s">
        <v>1794</v>
      </c>
      <c r="R825" s="137" t="s">
        <v>1794</v>
      </c>
      <c r="S825" s="137" t="s">
        <v>1794</v>
      </c>
      <c r="T825" s="137" t="s">
        <v>1794</v>
      </c>
      <c r="U825" s="138" t="s">
        <v>1794</v>
      </c>
      <c r="V825" s="139" t="s">
        <v>1794</v>
      </c>
      <c r="W825" s="137" t="s">
        <v>1794</v>
      </c>
      <c r="X825" s="137" t="s">
        <v>1794</v>
      </c>
      <c r="Y825" s="137" t="s">
        <v>1794</v>
      </c>
      <c r="Z825" s="137" t="s">
        <v>1794</v>
      </c>
      <c r="AA825" s="137" t="s">
        <v>1794</v>
      </c>
      <c r="AB825" s="132"/>
      <c r="AC825" s="140" t="s">
        <v>1800</v>
      </c>
    </row>
    <row r="826" spans="1:29">
      <c r="A826" s="260"/>
      <c r="B826" t="s">
        <v>1850</v>
      </c>
      <c r="C826" t="s">
        <v>40</v>
      </c>
      <c r="D826" s="141">
        <v>0.495</v>
      </c>
      <c r="E826" s="141">
        <v>0.51500000000000001</v>
      </c>
      <c r="F826" s="141">
        <v>0.52</v>
      </c>
      <c r="G826" s="141">
        <v>0.52500000000000002</v>
      </c>
      <c r="H826" s="141">
        <v>0.51500000000000001</v>
      </c>
      <c r="I826" s="141">
        <v>0.51500000000000001</v>
      </c>
      <c r="J826" s="142">
        <v>0.53</v>
      </c>
      <c r="K826" s="141">
        <v>0.52500000000000002</v>
      </c>
      <c r="L826" s="141">
        <v>0.51</v>
      </c>
      <c r="M826" s="141">
        <v>0.53</v>
      </c>
      <c r="N826" s="141">
        <v>0.61</v>
      </c>
      <c r="O826" s="141">
        <v>0.49</v>
      </c>
      <c r="P826" s="142">
        <v>0.51</v>
      </c>
      <c r="Q826" s="141">
        <v>0.53</v>
      </c>
      <c r="R826" s="141">
        <v>0.61499999999999999</v>
      </c>
      <c r="S826" s="141">
        <v>0.54500000000000004</v>
      </c>
      <c r="T826" s="141">
        <v>0.55000000000000004</v>
      </c>
      <c r="U826" s="141">
        <v>0.51</v>
      </c>
      <c r="V826" s="142">
        <v>0.53500000000000003</v>
      </c>
      <c r="W826" s="141">
        <v>0.54</v>
      </c>
      <c r="X826" s="141">
        <v>0.51500000000000001</v>
      </c>
      <c r="Y826" s="141">
        <v>0.51500000000000001</v>
      </c>
      <c r="Z826" s="141">
        <v>0.55500000000000005</v>
      </c>
      <c r="AA826" s="141">
        <v>0.54</v>
      </c>
      <c r="AB826" s="143">
        <f>_xlfn.STDEV.P(D826:AA826)</f>
        <v>2.9142847416742852E-2</v>
      </c>
      <c r="AC826" s="143"/>
    </row>
    <row r="827" spans="1:29">
      <c r="A827" s="260"/>
      <c r="C827" t="s">
        <v>220</v>
      </c>
      <c r="D827" s="141">
        <v>0.995</v>
      </c>
      <c r="E827" s="141">
        <v>0.99</v>
      </c>
      <c r="F827" s="141">
        <v>0.995</v>
      </c>
      <c r="G827" s="141">
        <v>0.96499999999999997</v>
      </c>
      <c r="H827" s="141">
        <v>0.96</v>
      </c>
      <c r="I827" s="141">
        <v>1.03</v>
      </c>
      <c r="J827" s="142">
        <v>0.99</v>
      </c>
      <c r="K827" s="141">
        <v>0.98</v>
      </c>
      <c r="L827" s="141">
        <v>0.92500000000000004</v>
      </c>
      <c r="M827" s="141">
        <v>0.98499999999999999</v>
      </c>
      <c r="N827" s="141">
        <v>0.98</v>
      </c>
      <c r="O827" s="141">
        <v>0.995</v>
      </c>
      <c r="P827" s="142">
        <v>1.0549999999999999</v>
      </c>
      <c r="Q827" s="141">
        <v>1</v>
      </c>
      <c r="R827" s="141">
        <v>0.97499999999999998</v>
      </c>
      <c r="S827" s="141">
        <v>0.99</v>
      </c>
      <c r="T827" s="141">
        <v>1</v>
      </c>
      <c r="U827" s="141">
        <v>0.99</v>
      </c>
      <c r="V827" s="142">
        <v>0.995</v>
      </c>
      <c r="W827" s="141">
        <v>0.97499999999999998</v>
      </c>
      <c r="X827" s="141">
        <v>1.03</v>
      </c>
      <c r="Y827" s="141">
        <v>0.98499999999999999</v>
      </c>
      <c r="Z827" s="141">
        <v>1</v>
      </c>
      <c r="AA827" s="141">
        <v>0.98499999999999999</v>
      </c>
      <c r="AB827" s="143">
        <f>_xlfn.STDEV.P(D827:AA827)</f>
        <v>2.4406141076012449E-2</v>
      </c>
      <c r="AC827" s="143"/>
    </row>
    <row r="828" spans="1:29">
      <c r="A828" s="260"/>
      <c r="C828" t="s">
        <v>221</v>
      </c>
      <c r="D828" s="144">
        <v>0.48</v>
      </c>
      <c r="E828" s="144">
        <v>0.495</v>
      </c>
      <c r="F828" s="144">
        <v>0.495</v>
      </c>
      <c r="G828" s="144">
        <v>0.495</v>
      </c>
      <c r="H828" s="144">
        <v>0.49</v>
      </c>
      <c r="I828" s="141">
        <v>0.47</v>
      </c>
      <c r="J828" s="145">
        <v>0.49</v>
      </c>
      <c r="K828" s="144">
        <v>0.52500000000000002</v>
      </c>
      <c r="L828" s="144">
        <v>0.54</v>
      </c>
      <c r="M828" s="144">
        <v>0.47499999999999998</v>
      </c>
      <c r="N828" s="144">
        <v>0.505</v>
      </c>
      <c r="O828" s="141">
        <v>0.49</v>
      </c>
      <c r="P828" s="145">
        <v>0.45500000000000002</v>
      </c>
      <c r="Q828" s="144">
        <v>0.495</v>
      </c>
      <c r="R828" s="144">
        <v>0.495</v>
      </c>
      <c r="S828" s="144">
        <v>0.495</v>
      </c>
      <c r="T828" s="144">
        <v>0.47499999999999998</v>
      </c>
      <c r="U828" s="141">
        <v>0.505</v>
      </c>
      <c r="V828" s="145">
        <v>0.48499999999999999</v>
      </c>
      <c r="W828" s="144">
        <v>0.51500000000000001</v>
      </c>
      <c r="X828" s="144">
        <v>0.48499999999999999</v>
      </c>
      <c r="Y828" s="144">
        <v>0.44</v>
      </c>
      <c r="Z828" s="144">
        <v>0.51</v>
      </c>
      <c r="AA828" s="144">
        <v>0.48499999999999999</v>
      </c>
      <c r="AB828" s="143">
        <f>_xlfn.STDEV.P(D828:AA828)</f>
        <v>2.0476103958842699E-2</v>
      </c>
      <c r="AC828" s="146"/>
    </row>
    <row r="829" spans="1:29">
      <c r="A829" s="260"/>
      <c r="B829" s="147" t="s">
        <v>1851</v>
      </c>
      <c r="D829" s="148" t="s">
        <v>1794</v>
      </c>
      <c r="E829" s="148" t="s">
        <v>1794</v>
      </c>
      <c r="F829" s="148" t="s">
        <v>1794</v>
      </c>
      <c r="G829" s="148" t="s">
        <v>1794</v>
      </c>
      <c r="H829" s="148" t="s">
        <v>1794</v>
      </c>
      <c r="I829" s="149" t="s">
        <v>1794</v>
      </c>
      <c r="J829" s="150" t="s">
        <v>1794</v>
      </c>
      <c r="K829" s="148" t="s">
        <v>1794</v>
      </c>
      <c r="L829" s="148" t="s">
        <v>1794</v>
      </c>
      <c r="M829" s="148" t="s">
        <v>1794</v>
      </c>
      <c r="N829" s="148" t="s">
        <v>1794</v>
      </c>
      <c r="O829" s="149" t="s">
        <v>1794</v>
      </c>
      <c r="P829" s="150" t="s">
        <v>1794</v>
      </c>
      <c r="Q829" s="148" t="s">
        <v>1794</v>
      </c>
      <c r="R829" s="148" t="s">
        <v>1794</v>
      </c>
      <c r="S829" s="148" t="s">
        <v>1794</v>
      </c>
      <c r="T829" s="148" t="s">
        <v>1794</v>
      </c>
      <c r="U829" s="149" t="s">
        <v>1794</v>
      </c>
      <c r="V829" s="150" t="s">
        <v>1794</v>
      </c>
      <c r="W829" s="148" t="s">
        <v>1794</v>
      </c>
      <c r="X829" s="148" t="s">
        <v>1794</v>
      </c>
      <c r="Y829" s="148" t="s">
        <v>1794</v>
      </c>
      <c r="Z829" s="148" t="s">
        <v>1794</v>
      </c>
      <c r="AA829" s="148" t="s">
        <v>1794</v>
      </c>
      <c r="AC829" s="151" t="s">
        <v>1800</v>
      </c>
    </row>
  </sheetData>
  <mergeCells count="15">
    <mergeCell ref="A362:A422"/>
    <mergeCell ref="A423:A563"/>
    <mergeCell ref="A564:A660"/>
    <mergeCell ref="A661:A769"/>
    <mergeCell ref="A770:A829"/>
    <mergeCell ref="A5:A41"/>
    <mergeCell ref="A42:A78"/>
    <mergeCell ref="A79:A175"/>
    <mergeCell ref="A176:A268"/>
    <mergeCell ref="A269:A361"/>
    <mergeCell ref="D1:AA1"/>
    <mergeCell ref="G2:I2"/>
    <mergeCell ref="M2:O2"/>
    <mergeCell ref="S2:U2"/>
    <mergeCell ref="Y2:AA2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3DC864-DA83-418C-A036-D6C6935E17E1}">
  <dimension ref="A1:N2019"/>
  <sheetViews>
    <sheetView workbookViewId="0">
      <selection activeCell="N7" sqref="N7"/>
    </sheetView>
  </sheetViews>
  <sheetFormatPr defaultRowHeight="15"/>
  <cols>
    <col min="7" max="7" width="36.28515625" customWidth="1"/>
  </cols>
  <sheetData>
    <row r="1" spans="1:14" ht="60">
      <c r="A1" s="194" t="s">
        <v>211</v>
      </c>
      <c r="B1" s="194" t="s">
        <v>211</v>
      </c>
      <c r="C1" s="194" t="s">
        <v>212</v>
      </c>
      <c r="D1" s="194" t="s">
        <v>213</v>
      </c>
      <c r="E1" s="195" t="s">
        <v>214</v>
      </c>
      <c r="F1" s="194"/>
      <c r="G1" s="194" t="s">
        <v>219</v>
      </c>
      <c r="H1" s="196" t="s">
        <v>40</v>
      </c>
      <c r="I1" s="196" t="s">
        <v>220</v>
      </c>
      <c r="J1" s="196" t="s">
        <v>221</v>
      </c>
      <c r="K1" s="194" t="s">
        <v>222</v>
      </c>
      <c r="L1" s="196" t="s">
        <v>223</v>
      </c>
      <c r="M1" s="196" t="s">
        <v>224</v>
      </c>
      <c r="N1" s="194" t="s">
        <v>225</v>
      </c>
    </row>
    <row r="2" spans="1:14">
      <c r="A2" s="261" t="s">
        <v>226</v>
      </c>
      <c r="B2" s="261">
        <v>8</v>
      </c>
      <c r="C2" s="197">
        <v>1</v>
      </c>
      <c r="D2" s="261">
        <v>1</v>
      </c>
      <c r="E2" s="198">
        <v>0</v>
      </c>
      <c r="F2" s="197" t="s">
        <v>227</v>
      </c>
      <c r="G2" s="199" t="s">
        <v>228</v>
      </c>
      <c r="H2" s="200">
        <v>0.45500000000000002</v>
      </c>
      <c r="I2" s="200">
        <v>1.0049999999999999</v>
      </c>
      <c r="J2" s="200">
        <v>0.51500000000000001</v>
      </c>
      <c r="K2" s="199" t="s">
        <v>229</v>
      </c>
      <c r="L2" s="200">
        <v>6.9304581378145561E-2</v>
      </c>
      <c r="M2" s="200"/>
      <c r="N2" s="197"/>
    </row>
    <row r="3" spans="1:14">
      <c r="A3" s="262"/>
      <c r="B3" s="262"/>
      <c r="C3" s="197">
        <v>2</v>
      </c>
      <c r="D3" s="262"/>
      <c r="E3" s="198">
        <v>0</v>
      </c>
      <c r="F3" s="197" t="s">
        <v>227</v>
      </c>
      <c r="G3" s="199" t="s">
        <v>230</v>
      </c>
      <c r="H3" s="200"/>
      <c r="I3" s="200"/>
      <c r="J3" s="200"/>
      <c r="K3" s="199"/>
      <c r="L3" s="200">
        <v>0.10016734045461125</v>
      </c>
      <c r="M3" s="200"/>
      <c r="N3" s="197"/>
    </row>
    <row r="4" spans="1:14">
      <c r="A4" s="262"/>
      <c r="B4" s="262"/>
      <c r="C4" s="197">
        <v>3</v>
      </c>
      <c r="D4" s="262"/>
      <c r="E4" s="198">
        <v>352.68789199999998</v>
      </c>
      <c r="F4" s="197"/>
      <c r="G4" s="199" t="s">
        <v>231</v>
      </c>
      <c r="H4" s="200"/>
      <c r="I4" s="200"/>
      <c r="J4" s="200"/>
      <c r="K4" s="199"/>
      <c r="L4" s="200">
        <v>3.4265450438451847E-2</v>
      </c>
      <c r="M4" s="200"/>
      <c r="N4" s="197"/>
    </row>
    <row r="5" spans="1:14">
      <c r="A5" s="262"/>
      <c r="B5" s="262"/>
      <c r="C5" s="197">
        <v>4</v>
      </c>
      <c r="D5" s="262"/>
      <c r="E5" s="198">
        <v>479.72639199999998</v>
      </c>
      <c r="F5" s="197"/>
      <c r="G5" s="199" t="s">
        <v>232</v>
      </c>
      <c r="H5" s="200"/>
      <c r="I5" s="200"/>
      <c r="J5" s="200"/>
      <c r="K5" s="199"/>
      <c r="L5" s="200"/>
      <c r="M5" s="200" t="s">
        <v>233</v>
      </c>
      <c r="N5" s="197" t="s">
        <v>234</v>
      </c>
    </row>
    <row r="6" spans="1:14">
      <c r="A6" s="262"/>
      <c r="B6" s="262"/>
      <c r="C6" s="197">
        <v>5</v>
      </c>
      <c r="D6" s="262"/>
      <c r="E6" s="198">
        <v>359.39926000000003</v>
      </c>
      <c r="F6" s="197"/>
      <c r="G6" s="199" t="s">
        <v>235</v>
      </c>
      <c r="H6" s="200"/>
      <c r="I6" s="200"/>
      <c r="J6" s="200"/>
      <c r="K6" s="199"/>
      <c r="L6" s="200"/>
      <c r="M6" s="200"/>
      <c r="N6" s="197"/>
    </row>
    <row r="7" spans="1:14">
      <c r="A7" s="262"/>
      <c r="B7" s="262"/>
      <c r="C7" s="197">
        <v>6</v>
      </c>
      <c r="D7" s="261">
        <v>2</v>
      </c>
      <c r="E7" s="198">
        <v>0</v>
      </c>
      <c r="F7" s="197" t="s">
        <v>227</v>
      </c>
      <c r="G7" s="199" t="s">
        <v>237</v>
      </c>
      <c r="H7" s="200">
        <v>0.45500000000000002</v>
      </c>
      <c r="I7" s="200">
        <v>1.0049999999999999</v>
      </c>
      <c r="J7" s="200">
        <v>0.51500000000000001</v>
      </c>
      <c r="K7" s="199" t="s">
        <v>229</v>
      </c>
      <c r="L7" s="200"/>
      <c r="M7" s="200"/>
      <c r="N7" s="197"/>
    </row>
    <row r="8" spans="1:14">
      <c r="A8" s="262"/>
      <c r="B8" s="262"/>
      <c r="C8" s="197">
        <v>7</v>
      </c>
      <c r="D8" s="262"/>
      <c r="E8" s="198">
        <v>0</v>
      </c>
      <c r="F8" s="197" t="s">
        <v>227</v>
      </c>
      <c r="G8" s="199" t="s">
        <v>238</v>
      </c>
      <c r="H8" s="200"/>
      <c r="I8" s="200"/>
      <c r="J8" s="200"/>
      <c r="K8" s="199"/>
      <c r="L8" s="200"/>
      <c r="M8" s="200"/>
      <c r="N8" s="197"/>
    </row>
    <row r="9" spans="1:14">
      <c r="A9" s="262"/>
      <c r="B9" s="262"/>
      <c r="C9" s="197">
        <v>8</v>
      </c>
      <c r="D9" s="262"/>
      <c r="E9" s="198">
        <v>0</v>
      </c>
      <c r="F9" s="197" t="s">
        <v>227</v>
      </c>
      <c r="G9" s="199" t="s">
        <v>239</v>
      </c>
      <c r="H9" s="200"/>
      <c r="I9" s="200"/>
      <c r="J9" s="200"/>
      <c r="K9" s="199"/>
      <c r="L9" s="200"/>
      <c r="M9" s="200"/>
      <c r="N9" s="197"/>
    </row>
    <row r="10" spans="1:14">
      <c r="A10" s="262"/>
      <c r="B10" s="262"/>
      <c r="C10" s="197">
        <v>9</v>
      </c>
      <c r="D10" s="262"/>
      <c r="E10" s="198">
        <v>0</v>
      </c>
      <c r="F10" s="197" t="s">
        <v>227</v>
      </c>
      <c r="G10" s="199" t="s">
        <v>240</v>
      </c>
      <c r="H10" s="200"/>
      <c r="I10" s="200"/>
      <c r="J10" s="200"/>
      <c r="K10" s="199"/>
      <c r="L10" s="200"/>
      <c r="M10" s="200"/>
      <c r="N10" s="197"/>
    </row>
    <row r="11" spans="1:14">
      <c r="A11" s="262"/>
      <c r="B11" s="262"/>
      <c r="C11" s="197">
        <v>10</v>
      </c>
      <c r="D11" s="261">
        <v>3</v>
      </c>
      <c r="E11" s="198">
        <v>0</v>
      </c>
      <c r="F11" s="197" t="s">
        <v>227</v>
      </c>
      <c r="G11" s="199" t="s">
        <v>241</v>
      </c>
      <c r="H11" s="200">
        <v>0.51</v>
      </c>
      <c r="I11" s="200">
        <v>1.02</v>
      </c>
      <c r="J11" s="200">
        <v>0.505</v>
      </c>
      <c r="K11" s="199" t="s">
        <v>229</v>
      </c>
      <c r="L11" s="200"/>
      <c r="M11" s="200"/>
      <c r="N11" s="197"/>
    </row>
    <row r="12" spans="1:14">
      <c r="A12" s="262"/>
      <c r="B12" s="262"/>
      <c r="C12" s="197">
        <v>11</v>
      </c>
      <c r="D12" s="262"/>
      <c r="E12" s="198">
        <v>0</v>
      </c>
      <c r="F12" s="197" t="s">
        <v>227</v>
      </c>
      <c r="G12" s="199" t="s">
        <v>242</v>
      </c>
      <c r="H12" s="200"/>
      <c r="I12" s="200"/>
      <c r="J12" s="200"/>
      <c r="K12" s="199"/>
      <c r="L12" s="200"/>
      <c r="M12" s="200"/>
      <c r="N12" s="197"/>
    </row>
    <row r="13" spans="1:14">
      <c r="A13" s="262"/>
      <c r="B13" s="262"/>
      <c r="C13" s="197">
        <v>12</v>
      </c>
      <c r="D13" s="262"/>
      <c r="E13" s="198">
        <v>354.74938200000003</v>
      </c>
      <c r="F13" s="197"/>
      <c r="G13" s="199" t="s">
        <v>243</v>
      </c>
      <c r="H13" s="200"/>
      <c r="I13" s="200"/>
      <c r="J13" s="200"/>
      <c r="K13" s="199"/>
      <c r="L13" s="200"/>
      <c r="M13" s="200"/>
      <c r="N13" s="197"/>
    </row>
    <row r="14" spans="1:14">
      <c r="A14" s="262"/>
      <c r="B14" s="262"/>
      <c r="C14" s="197">
        <v>13</v>
      </c>
      <c r="D14" s="262"/>
      <c r="E14" s="198">
        <v>354.74938200000003</v>
      </c>
      <c r="F14" s="197"/>
      <c r="G14" s="199" t="s">
        <v>244</v>
      </c>
      <c r="H14" s="200"/>
      <c r="I14" s="200"/>
      <c r="J14" s="200"/>
      <c r="K14" s="199"/>
      <c r="L14" s="200"/>
      <c r="M14" s="200"/>
      <c r="N14" s="197"/>
    </row>
    <row r="15" spans="1:14">
      <c r="A15" s="262"/>
      <c r="B15" s="262"/>
      <c r="C15" s="197">
        <v>14</v>
      </c>
      <c r="D15" s="261">
        <v>4</v>
      </c>
      <c r="E15" s="198">
        <v>354.74938200000003</v>
      </c>
      <c r="F15" s="197" t="s">
        <v>227</v>
      </c>
      <c r="G15" s="199" t="s">
        <v>245</v>
      </c>
      <c r="H15" s="200">
        <v>0.64</v>
      </c>
      <c r="I15" s="200">
        <v>1.2549999999999999</v>
      </c>
      <c r="J15" s="200">
        <v>0.60499999999999998</v>
      </c>
      <c r="K15" s="199" t="s">
        <v>229</v>
      </c>
      <c r="L15" s="200"/>
      <c r="M15" s="200"/>
      <c r="N15" s="197"/>
    </row>
    <row r="16" spans="1:14">
      <c r="A16" s="262"/>
      <c r="B16" s="262"/>
      <c r="C16" s="197">
        <v>15</v>
      </c>
      <c r="D16" s="262"/>
      <c r="E16" s="198">
        <v>0</v>
      </c>
      <c r="F16" s="197" t="s">
        <v>227</v>
      </c>
      <c r="G16" s="199" t="s">
        <v>246</v>
      </c>
      <c r="H16" s="200"/>
      <c r="I16" s="200"/>
      <c r="J16" s="200"/>
      <c r="K16" s="199"/>
      <c r="L16" s="200"/>
      <c r="M16" s="200"/>
      <c r="N16" s="197"/>
    </row>
    <row r="17" spans="1:14">
      <c r="A17" s="262"/>
      <c r="B17" s="262"/>
      <c r="C17" s="197">
        <v>16</v>
      </c>
      <c r="D17" s="262"/>
      <c r="E17" s="198">
        <v>0</v>
      </c>
      <c r="F17" s="197" t="s">
        <v>227</v>
      </c>
      <c r="G17" s="199" t="s">
        <v>247</v>
      </c>
      <c r="H17" s="200"/>
      <c r="I17" s="200"/>
      <c r="J17" s="200"/>
      <c r="K17" s="199"/>
      <c r="L17" s="200"/>
      <c r="M17" s="200"/>
      <c r="N17" s="197"/>
    </row>
    <row r="18" spans="1:14">
      <c r="A18" s="262"/>
      <c r="B18" s="262"/>
      <c r="C18" s="197">
        <v>17</v>
      </c>
      <c r="D18" s="262"/>
      <c r="E18" s="198">
        <v>0</v>
      </c>
      <c r="F18" s="197" t="s">
        <v>227</v>
      </c>
      <c r="G18" s="199" t="s">
        <v>248</v>
      </c>
      <c r="H18" s="200"/>
      <c r="I18" s="200"/>
      <c r="J18" s="200"/>
      <c r="K18" s="199"/>
      <c r="L18" s="200"/>
      <c r="M18" s="200"/>
      <c r="N18" s="197"/>
    </row>
    <row r="19" spans="1:14">
      <c r="A19" s="262"/>
      <c r="B19" s="262"/>
      <c r="C19" s="197">
        <v>18</v>
      </c>
      <c r="D19" s="262"/>
      <c r="E19" s="198">
        <v>0</v>
      </c>
      <c r="F19" s="197" t="s">
        <v>227</v>
      </c>
      <c r="G19" s="199" t="s">
        <v>249</v>
      </c>
      <c r="H19" s="200"/>
      <c r="I19" s="200"/>
      <c r="J19" s="200"/>
      <c r="K19" s="199"/>
      <c r="L19" s="200"/>
      <c r="M19" s="200"/>
      <c r="N19" s="197"/>
    </row>
    <row r="20" spans="1:14">
      <c r="A20" s="262"/>
      <c r="B20" s="262"/>
      <c r="C20" s="197">
        <v>19</v>
      </c>
      <c r="D20" s="262"/>
      <c r="E20" s="198">
        <v>0</v>
      </c>
      <c r="F20" s="197" t="s">
        <v>227</v>
      </c>
      <c r="G20" s="199" t="s">
        <v>250</v>
      </c>
      <c r="H20" s="200"/>
      <c r="I20" s="200"/>
      <c r="J20" s="200"/>
      <c r="K20" s="199"/>
      <c r="L20" s="200"/>
      <c r="M20" s="200"/>
      <c r="N20" s="197"/>
    </row>
    <row r="21" spans="1:14">
      <c r="A21" s="262"/>
      <c r="B21" s="262"/>
      <c r="C21" s="197">
        <v>20</v>
      </c>
      <c r="D21" s="262"/>
      <c r="E21" s="198">
        <v>358.71150499999999</v>
      </c>
      <c r="F21" s="197"/>
      <c r="G21" s="199" t="s">
        <v>251</v>
      </c>
      <c r="H21" s="200"/>
      <c r="I21" s="200"/>
      <c r="J21" s="200"/>
      <c r="K21" s="199"/>
      <c r="L21" s="200"/>
      <c r="M21" s="200"/>
      <c r="N21" s="197"/>
    </row>
    <row r="22" spans="1:14">
      <c r="A22" s="262"/>
      <c r="B22" s="262"/>
      <c r="C22" s="197">
        <v>21</v>
      </c>
      <c r="D22" s="262"/>
      <c r="E22" s="198">
        <v>0</v>
      </c>
      <c r="F22" s="197" t="s">
        <v>227</v>
      </c>
      <c r="G22" s="199" t="s">
        <v>252</v>
      </c>
      <c r="H22" s="200"/>
      <c r="I22" s="200"/>
      <c r="J22" s="200"/>
      <c r="K22" s="199"/>
      <c r="L22" s="200"/>
      <c r="M22" s="200"/>
      <c r="N22" s="197"/>
    </row>
    <row r="23" spans="1:14">
      <c r="A23" s="262"/>
      <c r="B23" s="262"/>
      <c r="C23" s="197">
        <v>22</v>
      </c>
      <c r="D23" s="262"/>
      <c r="E23" s="198">
        <v>0</v>
      </c>
      <c r="F23" s="197" t="s">
        <v>227</v>
      </c>
      <c r="G23" s="199" t="s">
        <v>253</v>
      </c>
      <c r="H23" s="200"/>
      <c r="I23" s="200"/>
      <c r="J23" s="200"/>
      <c r="K23" s="199"/>
      <c r="L23" s="200"/>
      <c r="M23" s="200"/>
      <c r="N23" s="197"/>
    </row>
    <row r="24" spans="1:14">
      <c r="A24" s="262"/>
      <c r="B24" s="262"/>
      <c r="C24" s="197">
        <v>23</v>
      </c>
      <c r="D24" s="261">
        <v>5</v>
      </c>
      <c r="E24" s="198">
        <v>0</v>
      </c>
      <c r="F24" s="197" t="s">
        <v>227</v>
      </c>
      <c r="G24" s="199" t="s">
        <v>254</v>
      </c>
      <c r="H24" s="200">
        <v>0.28499999999999998</v>
      </c>
      <c r="I24" s="200">
        <v>0.69499999999999995</v>
      </c>
      <c r="J24" s="200">
        <v>0.59499999999999997</v>
      </c>
      <c r="K24" s="199" t="s">
        <v>229</v>
      </c>
      <c r="L24" s="200"/>
      <c r="M24" s="200"/>
      <c r="N24" s="197"/>
    </row>
    <row r="25" spans="1:14">
      <c r="A25" s="262"/>
      <c r="B25" s="262"/>
      <c r="C25" s="197">
        <v>24</v>
      </c>
      <c r="D25" s="262"/>
      <c r="E25" s="198">
        <v>357.27139199999999</v>
      </c>
      <c r="F25" s="197"/>
      <c r="G25" s="199" t="s">
        <v>255</v>
      </c>
      <c r="H25" s="200"/>
      <c r="I25" s="200"/>
      <c r="J25" s="200"/>
      <c r="K25" s="199"/>
      <c r="L25" s="200"/>
      <c r="M25" s="200"/>
      <c r="N25" s="197"/>
    </row>
    <row r="26" spans="1:14">
      <c r="A26" s="262"/>
      <c r="B26" s="262"/>
      <c r="C26" s="197">
        <v>25</v>
      </c>
      <c r="D26" s="262"/>
      <c r="E26" s="198">
        <v>358.21881300000001</v>
      </c>
      <c r="F26" s="197"/>
      <c r="G26" s="199" t="s">
        <v>256</v>
      </c>
      <c r="H26" s="200"/>
      <c r="I26" s="200"/>
      <c r="J26" s="200"/>
      <c r="K26" s="199"/>
      <c r="L26" s="200"/>
      <c r="M26" s="200"/>
      <c r="N26" s="197"/>
    </row>
    <row r="27" spans="1:14">
      <c r="A27" s="262"/>
      <c r="B27" s="262"/>
      <c r="C27" s="197">
        <v>26</v>
      </c>
      <c r="D27" s="262"/>
      <c r="E27" s="198">
        <v>358.35982200000001</v>
      </c>
      <c r="F27" s="197"/>
      <c r="G27" s="199" t="s">
        <v>257</v>
      </c>
      <c r="H27" s="200"/>
      <c r="I27" s="200"/>
      <c r="J27" s="200"/>
      <c r="K27" s="199"/>
      <c r="L27" s="200"/>
      <c r="M27" s="200"/>
      <c r="N27" s="197"/>
    </row>
    <row r="28" spans="1:14">
      <c r="A28" s="262"/>
      <c r="B28" s="262"/>
      <c r="C28" s="197">
        <v>27</v>
      </c>
      <c r="D28" s="261">
        <v>6</v>
      </c>
      <c r="E28" s="198">
        <v>0</v>
      </c>
      <c r="F28" s="197" t="s">
        <v>227</v>
      </c>
      <c r="G28" s="199" t="s">
        <v>258</v>
      </c>
      <c r="H28" s="200">
        <v>0.42</v>
      </c>
      <c r="I28" s="200">
        <v>0.98</v>
      </c>
      <c r="J28" s="200">
        <v>0.505</v>
      </c>
      <c r="K28" s="199" t="s">
        <v>229</v>
      </c>
      <c r="L28" s="200"/>
      <c r="M28" s="200"/>
      <c r="N28" s="197"/>
    </row>
    <row r="29" spans="1:14">
      <c r="A29" s="262"/>
      <c r="B29" s="262"/>
      <c r="C29" s="197">
        <v>28</v>
      </c>
      <c r="D29" s="262"/>
      <c r="E29" s="198">
        <v>0</v>
      </c>
      <c r="F29" s="197" t="s">
        <v>227</v>
      </c>
      <c r="G29" s="199" t="s">
        <v>259</v>
      </c>
      <c r="H29" s="200"/>
      <c r="I29" s="200"/>
      <c r="J29" s="200"/>
      <c r="K29" s="199"/>
      <c r="L29" s="200"/>
      <c r="M29" s="200"/>
      <c r="N29" s="197"/>
    </row>
    <row r="30" spans="1:14">
      <c r="A30" s="262"/>
      <c r="B30" s="262"/>
      <c r="C30" s="197">
        <v>29</v>
      </c>
      <c r="D30" s="262"/>
      <c r="E30" s="198">
        <v>0</v>
      </c>
      <c r="F30" s="197" t="s">
        <v>227</v>
      </c>
      <c r="G30" s="199" t="s">
        <v>260</v>
      </c>
      <c r="H30" s="200"/>
      <c r="I30" s="200"/>
      <c r="J30" s="200"/>
      <c r="K30" s="199"/>
      <c r="L30" s="200"/>
      <c r="M30" s="200"/>
      <c r="N30" s="197"/>
    </row>
    <row r="31" spans="1:14">
      <c r="A31" s="262"/>
      <c r="B31" s="262"/>
      <c r="C31" s="197">
        <v>30</v>
      </c>
      <c r="D31" s="262"/>
      <c r="E31" s="198">
        <v>323.27038900000002</v>
      </c>
      <c r="F31" s="197"/>
      <c r="G31" s="199" t="s">
        <v>261</v>
      </c>
      <c r="H31" s="200"/>
      <c r="I31" s="200"/>
      <c r="J31" s="200"/>
      <c r="K31" s="199"/>
      <c r="L31" s="200"/>
      <c r="M31" s="200"/>
      <c r="N31" s="197"/>
    </row>
    <row r="32" spans="1:14">
      <c r="A32" s="262"/>
      <c r="B32" s="262"/>
      <c r="C32" s="197">
        <v>31</v>
      </c>
      <c r="D32" s="262"/>
      <c r="E32" s="198">
        <v>0</v>
      </c>
      <c r="F32" s="197" t="s">
        <v>227</v>
      </c>
      <c r="G32" s="199" t="s">
        <v>262</v>
      </c>
      <c r="H32" s="200"/>
      <c r="I32" s="200"/>
      <c r="J32" s="200"/>
      <c r="K32" s="199"/>
      <c r="L32" s="200"/>
      <c r="M32" s="200"/>
      <c r="N32" s="197"/>
    </row>
    <row r="33" spans="1:14">
      <c r="A33" s="262"/>
      <c r="B33" s="262"/>
      <c r="C33" s="197">
        <v>32</v>
      </c>
      <c r="D33" s="261">
        <v>7</v>
      </c>
      <c r="E33" s="198">
        <v>0</v>
      </c>
      <c r="F33" s="197" t="s">
        <v>227</v>
      </c>
      <c r="G33" s="199" t="s">
        <v>263</v>
      </c>
      <c r="H33" s="200">
        <v>0.46</v>
      </c>
      <c r="I33" s="200">
        <v>0.98499999999999999</v>
      </c>
      <c r="J33" s="200">
        <v>0.56000000000000005</v>
      </c>
      <c r="K33" s="199" t="s">
        <v>229</v>
      </c>
      <c r="L33" s="200"/>
      <c r="M33" s="200"/>
      <c r="N33" s="197"/>
    </row>
    <row r="34" spans="1:14">
      <c r="A34" s="262"/>
      <c r="B34" s="262"/>
      <c r="C34" s="197">
        <v>33</v>
      </c>
      <c r="D34" s="262"/>
      <c r="E34" s="198">
        <v>240.527503</v>
      </c>
      <c r="F34" s="197"/>
      <c r="G34" s="199" t="s">
        <v>264</v>
      </c>
      <c r="H34" s="200"/>
      <c r="I34" s="200"/>
      <c r="J34" s="200"/>
      <c r="K34" s="199"/>
      <c r="L34" s="200"/>
      <c r="M34" s="200"/>
      <c r="N34" s="197"/>
    </row>
    <row r="35" spans="1:14">
      <c r="A35" s="262"/>
      <c r="B35" s="262"/>
      <c r="C35" s="197">
        <v>34</v>
      </c>
      <c r="D35" s="262"/>
      <c r="E35" s="198">
        <v>0</v>
      </c>
      <c r="F35" s="197" t="s">
        <v>227</v>
      </c>
      <c r="G35" s="199" t="s">
        <v>265</v>
      </c>
      <c r="H35" s="200"/>
      <c r="I35" s="200"/>
      <c r="J35" s="200"/>
      <c r="K35" s="199"/>
      <c r="L35" s="200"/>
      <c r="M35" s="200"/>
      <c r="N35" s="197"/>
    </row>
    <row r="36" spans="1:14">
      <c r="A36" s="262"/>
      <c r="B36" s="262"/>
      <c r="C36" s="197">
        <v>35</v>
      </c>
      <c r="D36" s="261">
        <v>8</v>
      </c>
      <c r="E36" s="198">
        <v>0</v>
      </c>
      <c r="F36" s="197" t="s">
        <v>227</v>
      </c>
      <c r="G36" s="199" t="s">
        <v>266</v>
      </c>
      <c r="H36" s="200">
        <v>0.52500000000000002</v>
      </c>
      <c r="I36" s="200">
        <v>0.995</v>
      </c>
      <c r="J36" s="200">
        <v>0.49</v>
      </c>
      <c r="K36" s="199" t="s">
        <v>229</v>
      </c>
      <c r="L36" s="200"/>
      <c r="M36" s="200"/>
      <c r="N36" s="197"/>
    </row>
    <row r="37" spans="1:14">
      <c r="A37" s="262"/>
      <c r="B37" s="262"/>
      <c r="C37" s="197">
        <v>36</v>
      </c>
      <c r="D37" s="262"/>
      <c r="E37" s="198">
        <v>0</v>
      </c>
      <c r="F37" s="197" t="s">
        <v>227</v>
      </c>
      <c r="G37" s="199" t="s">
        <v>267</v>
      </c>
      <c r="H37" s="200"/>
      <c r="I37" s="200"/>
      <c r="J37" s="200"/>
      <c r="K37" s="199"/>
      <c r="L37" s="200"/>
      <c r="M37" s="200"/>
      <c r="N37" s="197"/>
    </row>
    <row r="38" spans="1:14">
      <c r="A38" s="262"/>
      <c r="B38" s="262"/>
      <c r="C38" s="197">
        <v>37</v>
      </c>
      <c r="D38" s="262"/>
      <c r="E38" s="198">
        <v>0</v>
      </c>
      <c r="F38" s="197" t="s">
        <v>227</v>
      </c>
      <c r="G38" s="199" t="s">
        <v>268</v>
      </c>
      <c r="H38" s="200"/>
      <c r="I38" s="200"/>
      <c r="J38" s="200"/>
      <c r="K38" s="199"/>
      <c r="L38" s="200"/>
      <c r="M38" s="200"/>
      <c r="N38" s="197"/>
    </row>
    <row r="39" spans="1:14">
      <c r="A39" s="262"/>
      <c r="B39" s="262"/>
      <c r="C39" s="197">
        <v>38</v>
      </c>
      <c r="D39" s="262"/>
      <c r="E39" s="198">
        <v>0</v>
      </c>
      <c r="F39" s="197" t="s">
        <v>227</v>
      </c>
      <c r="G39" s="199" t="s">
        <v>269</v>
      </c>
      <c r="H39" s="200"/>
      <c r="I39" s="200"/>
      <c r="J39" s="200"/>
      <c r="K39" s="199"/>
      <c r="L39" s="200"/>
      <c r="M39" s="200"/>
      <c r="N39" s="197"/>
    </row>
    <row r="40" spans="1:14">
      <c r="A40" s="262"/>
      <c r="B40" s="262"/>
      <c r="C40" s="197">
        <v>39</v>
      </c>
      <c r="D40" s="262"/>
      <c r="E40" s="198">
        <v>0</v>
      </c>
      <c r="F40" s="197" t="s">
        <v>227</v>
      </c>
      <c r="G40" s="199" t="s">
        <v>270</v>
      </c>
      <c r="H40" s="200"/>
      <c r="I40" s="200"/>
      <c r="J40" s="200"/>
      <c r="K40" s="199"/>
      <c r="L40" s="200"/>
      <c r="M40" s="200"/>
      <c r="N40" s="197"/>
    </row>
    <row r="41" spans="1:14">
      <c r="A41" s="262"/>
      <c r="B41" s="262"/>
      <c r="C41" s="197">
        <v>40</v>
      </c>
      <c r="D41" s="262"/>
      <c r="E41" s="198">
        <v>0</v>
      </c>
      <c r="F41" s="197" t="s">
        <v>227</v>
      </c>
      <c r="G41" s="199" t="s">
        <v>271</v>
      </c>
      <c r="H41" s="200"/>
      <c r="I41" s="200"/>
      <c r="J41" s="200"/>
      <c r="K41" s="199"/>
      <c r="L41" s="200"/>
      <c r="M41" s="200"/>
      <c r="N41" s="197"/>
    </row>
    <row r="42" spans="1:14">
      <c r="A42" s="262"/>
      <c r="B42" s="262"/>
      <c r="C42" s="197">
        <v>41</v>
      </c>
      <c r="D42" s="261">
        <v>9</v>
      </c>
      <c r="E42" s="198">
        <v>0</v>
      </c>
      <c r="F42" s="197" t="s">
        <v>227</v>
      </c>
      <c r="G42" s="199" t="s">
        <v>272</v>
      </c>
      <c r="H42" s="200">
        <v>0.45500000000000002</v>
      </c>
      <c r="I42" s="200">
        <v>1.0049999999999999</v>
      </c>
      <c r="J42" s="200">
        <v>0.54</v>
      </c>
      <c r="K42" s="199" t="s">
        <v>229</v>
      </c>
      <c r="L42" s="200"/>
      <c r="M42" s="200"/>
      <c r="N42" s="197"/>
    </row>
    <row r="43" spans="1:14">
      <c r="A43" s="262"/>
      <c r="B43" s="262"/>
      <c r="C43" s="197">
        <v>42</v>
      </c>
      <c r="D43" s="262"/>
      <c r="E43" s="198">
        <v>0</v>
      </c>
      <c r="F43" s="197" t="s">
        <v>227</v>
      </c>
      <c r="G43" s="199" t="s">
        <v>273</v>
      </c>
      <c r="H43" s="200"/>
      <c r="I43" s="200"/>
      <c r="J43" s="200"/>
      <c r="K43" s="199"/>
      <c r="L43" s="200"/>
      <c r="M43" s="200"/>
      <c r="N43" s="197"/>
    </row>
    <row r="44" spans="1:14">
      <c r="A44" s="262"/>
      <c r="B44" s="262"/>
      <c r="C44" s="197">
        <v>43</v>
      </c>
      <c r="D44" s="262"/>
      <c r="E44" s="198">
        <v>0</v>
      </c>
      <c r="F44" s="197" t="s">
        <v>227</v>
      </c>
      <c r="G44" s="199" t="s">
        <v>274</v>
      </c>
      <c r="H44" s="200"/>
      <c r="I44" s="200"/>
      <c r="J44" s="200"/>
      <c r="K44" s="199"/>
      <c r="L44" s="200"/>
      <c r="M44" s="200"/>
      <c r="N44" s="197"/>
    </row>
    <row r="45" spans="1:14">
      <c r="A45" s="262"/>
      <c r="B45" s="262"/>
      <c r="C45" s="197">
        <v>44</v>
      </c>
      <c r="D45" s="262"/>
      <c r="E45" s="198">
        <v>324.63540999999998</v>
      </c>
      <c r="F45" s="197"/>
      <c r="G45" s="199" t="s">
        <v>275</v>
      </c>
      <c r="H45" s="200"/>
      <c r="I45" s="200"/>
      <c r="J45" s="200"/>
      <c r="K45" s="199"/>
      <c r="L45" s="200"/>
      <c r="M45" s="200"/>
      <c r="N45" s="197"/>
    </row>
    <row r="46" spans="1:14">
      <c r="A46" s="262"/>
      <c r="B46" s="262"/>
      <c r="C46" s="197">
        <v>45</v>
      </c>
      <c r="D46" s="262"/>
      <c r="E46" s="198">
        <v>324.66090100000002</v>
      </c>
      <c r="F46" s="197"/>
      <c r="G46" s="199" t="s">
        <v>276</v>
      </c>
      <c r="H46" s="200"/>
      <c r="I46" s="200"/>
      <c r="J46" s="200"/>
      <c r="K46" s="199"/>
      <c r="L46" s="200"/>
      <c r="M46" s="200"/>
      <c r="N46" s="197"/>
    </row>
    <row r="47" spans="1:14">
      <c r="A47" s="262"/>
      <c r="B47" s="262"/>
      <c r="C47" s="197">
        <v>46</v>
      </c>
      <c r="D47" s="261">
        <v>10</v>
      </c>
      <c r="E47" s="198">
        <v>0</v>
      </c>
      <c r="F47" s="197" t="s">
        <v>227</v>
      </c>
      <c r="G47" s="199" t="s">
        <v>277</v>
      </c>
      <c r="H47" s="200">
        <v>0.44500000000000001</v>
      </c>
      <c r="I47" s="200">
        <v>1.0049999999999999</v>
      </c>
      <c r="J47" s="200">
        <v>0.51</v>
      </c>
      <c r="K47" s="199" t="s">
        <v>229</v>
      </c>
      <c r="L47" s="200"/>
      <c r="M47" s="200"/>
      <c r="N47" s="197"/>
    </row>
    <row r="48" spans="1:14">
      <c r="A48" s="262"/>
      <c r="B48" s="262"/>
      <c r="C48" s="197">
        <v>47</v>
      </c>
      <c r="D48" s="262"/>
      <c r="E48" s="198">
        <v>0</v>
      </c>
      <c r="F48" s="197" t="s">
        <v>227</v>
      </c>
      <c r="G48" s="199" t="s">
        <v>278</v>
      </c>
      <c r="H48" s="200"/>
      <c r="I48" s="200"/>
      <c r="J48" s="200"/>
      <c r="K48" s="199"/>
      <c r="L48" s="200"/>
      <c r="M48" s="200"/>
      <c r="N48" s="197"/>
    </row>
    <row r="49" spans="1:14">
      <c r="A49" s="262"/>
      <c r="B49" s="262"/>
      <c r="C49" s="197">
        <v>48</v>
      </c>
      <c r="D49" s="262"/>
      <c r="E49" s="198">
        <v>0</v>
      </c>
      <c r="F49" s="197" t="s">
        <v>227</v>
      </c>
      <c r="G49" s="199" t="s">
        <v>279</v>
      </c>
      <c r="H49" s="200"/>
      <c r="I49" s="200"/>
      <c r="J49" s="200"/>
      <c r="K49" s="199"/>
      <c r="L49" s="200"/>
      <c r="M49" s="200"/>
      <c r="N49" s="197"/>
    </row>
    <row r="50" spans="1:14">
      <c r="A50" s="262"/>
      <c r="B50" s="262"/>
      <c r="C50" s="197">
        <v>49</v>
      </c>
      <c r="D50" s="262"/>
      <c r="E50" s="198">
        <v>242.08223899999999</v>
      </c>
      <c r="F50" s="197"/>
      <c r="G50" s="199" t="s">
        <v>280</v>
      </c>
      <c r="H50" s="200"/>
      <c r="I50" s="200"/>
      <c r="J50" s="200"/>
      <c r="K50" s="199"/>
      <c r="L50" s="200"/>
      <c r="M50" s="200"/>
      <c r="N50" s="197"/>
    </row>
    <row r="51" spans="1:14">
      <c r="A51" s="262"/>
      <c r="B51" s="262"/>
      <c r="C51" s="197">
        <v>50</v>
      </c>
      <c r="D51" s="262"/>
      <c r="E51" s="198">
        <v>362.89086600000002</v>
      </c>
      <c r="F51" s="197" t="s">
        <v>281</v>
      </c>
      <c r="G51" s="199" t="s">
        <v>282</v>
      </c>
      <c r="H51" s="200"/>
      <c r="I51" s="200"/>
      <c r="J51" s="200"/>
      <c r="K51" s="199"/>
      <c r="L51" s="200"/>
      <c r="M51" s="200"/>
      <c r="N51" s="197"/>
    </row>
    <row r="52" spans="1:14">
      <c r="A52" s="262"/>
      <c r="B52" s="262"/>
      <c r="C52" s="197">
        <v>51</v>
      </c>
      <c r="D52" s="261">
        <v>11</v>
      </c>
      <c r="E52" s="198">
        <v>0</v>
      </c>
      <c r="F52" s="197" t="s">
        <v>227</v>
      </c>
      <c r="G52" s="199" t="s">
        <v>283</v>
      </c>
      <c r="H52" s="200">
        <v>0.435</v>
      </c>
      <c r="I52" s="200">
        <v>1</v>
      </c>
      <c r="J52" s="200">
        <v>0.49</v>
      </c>
      <c r="K52" s="199" t="s">
        <v>229</v>
      </c>
      <c r="L52" s="200"/>
      <c r="M52" s="200"/>
      <c r="N52" s="197"/>
    </row>
    <row r="53" spans="1:14">
      <c r="A53" s="262"/>
      <c r="B53" s="262"/>
      <c r="C53" s="197">
        <v>52</v>
      </c>
      <c r="D53" s="262"/>
      <c r="E53" s="198">
        <v>478.91400099999998</v>
      </c>
      <c r="F53" s="197"/>
      <c r="G53" s="199" t="s">
        <v>284</v>
      </c>
      <c r="H53" s="200"/>
      <c r="I53" s="200"/>
      <c r="J53" s="200"/>
      <c r="K53" s="199"/>
      <c r="L53" s="200"/>
      <c r="M53" s="200"/>
      <c r="N53" s="197"/>
    </row>
    <row r="54" spans="1:14">
      <c r="A54" s="262"/>
      <c r="B54" s="262"/>
      <c r="C54" s="197">
        <v>53</v>
      </c>
      <c r="D54" s="262"/>
      <c r="E54" s="198">
        <v>478.37659200000002</v>
      </c>
      <c r="F54" s="197"/>
      <c r="G54" s="199" t="s">
        <v>285</v>
      </c>
      <c r="H54" s="200"/>
      <c r="I54" s="200"/>
      <c r="J54" s="200"/>
      <c r="K54" s="199"/>
      <c r="L54" s="200"/>
      <c r="M54" s="200"/>
      <c r="N54" s="197"/>
    </row>
    <row r="55" spans="1:14">
      <c r="A55" s="262"/>
      <c r="B55" s="262"/>
      <c r="C55" s="197">
        <v>54</v>
      </c>
      <c r="D55" s="261">
        <v>12</v>
      </c>
      <c r="E55" s="198">
        <v>478.94738799999999</v>
      </c>
      <c r="F55" s="197" t="s">
        <v>227</v>
      </c>
      <c r="G55" s="199" t="s">
        <v>286</v>
      </c>
      <c r="H55" s="200">
        <v>0.435</v>
      </c>
      <c r="I55" s="200">
        <v>1.0049999999999999</v>
      </c>
      <c r="J55" s="200">
        <v>0.51</v>
      </c>
      <c r="K55" s="199" t="s">
        <v>229</v>
      </c>
      <c r="L55" s="200"/>
      <c r="M55" s="200"/>
      <c r="N55" s="197"/>
    </row>
    <row r="56" spans="1:14">
      <c r="A56" s="262"/>
      <c r="B56" s="262"/>
      <c r="C56" s="197">
        <v>55</v>
      </c>
      <c r="D56" s="262"/>
      <c r="E56" s="198">
        <v>0</v>
      </c>
      <c r="F56" s="197" t="s">
        <v>227</v>
      </c>
      <c r="G56" s="199" t="s">
        <v>287</v>
      </c>
      <c r="H56" s="200"/>
      <c r="I56" s="200"/>
      <c r="J56" s="200"/>
      <c r="K56" s="199"/>
      <c r="L56" s="200"/>
      <c r="M56" s="200"/>
      <c r="N56" s="197"/>
    </row>
    <row r="57" spans="1:14">
      <c r="A57" s="262"/>
      <c r="B57" s="262"/>
      <c r="C57" s="197">
        <v>56</v>
      </c>
      <c r="D57" s="262"/>
      <c r="E57" s="198">
        <v>0</v>
      </c>
      <c r="F57" s="197" t="s">
        <v>227</v>
      </c>
      <c r="G57" s="199" t="s">
        <v>288</v>
      </c>
      <c r="H57" s="200"/>
      <c r="I57" s="200"/>
      <c r="J57" s="200"/>
      <c r="K57" s="199"/>
      <c r="L57" s="200"/>
      <c r="M57" s="200"/>
      <c r="N57" s="197"/>
    </row>
    <row r="58" spans="1:14">
      <c r="A58" s="262"/>
      <c r="B58" s="262"/>
      <c r="C58" s="197">
        <v>57</v>
      </c>
      <c r="D58" s="262"/>
      <c r="E58" s="198">
        <v>0</v>
      </c>
      <c r="F58" s="197" t="s">
        <v>227</v>
      </c>
      <c r="G58" s="199" t="s">
        <v>289</v>
      </c>
      <c r="H58" s="200"/>
      <c r="I58" s="200"/>
      <c r="J58" s="200"/>
      <c r="K58" s="199"/>
      <c r="L58" s="200"/>
      <c r="M58" s="200"/>
      <c r="N58" s="197"/>
    </row>
    <row r="59" spans="1:14">
      <c r="A59" s="262"/>
      <c r="B59" s="262"/>
      <c r="C59" s="197">
        <v>58</v>
      </c>
      <c r="D59" s="262"/>
      <c r="E59" s="198">
        <v>0</v>
      </c>
      <c r="F59" s="197" t="s">
        <v>227</v>
      </c>
      <c r="G59" s="199" t="s">
        <v>290</v>
      </c>
      <c r="H59" s="200"/>
      <c r="I59" s="200"/>
      <c r="J59" s="200"/>
      <c r="K59" s="199"/>
      <c r="L59" s="200"/>
      <c r="M59" s="200"/>
      <c r="N59" s="197"/>
    </row>
    <row r="60" spans="1:14">
      <c r="A60" s="262"/>
      <c r="B60" s="262"/>
      <c r="C60" s="197">
        <v>59</v>
      </c>
      <c r="D60" s="262"/>
      <c r="E60" s="198">
        <v>324.77957300000003</v>
      </c>
      <c r="F60" s="197"/>
      <c r="G60" s="199" t="s">
        <v>291</v>
      </c>
      <c r="H60" s="200"/>
      <c r="I60" s="200"/>
      <c r="J60" s="200"/>
      <c r="K60" s="199"/>
      <c r="L60" s="200"/>
      <c r="M60" s="200"/>
      <c r="N60" s="197"/>
    </row>
    <row r="61" spans="1:14">
      <c r="A61" s="262"/>
      <c r="B61" s="262"/>
      <c r="C61" s="197">
        <v>60</v>
      </c>
      <c r="D61" s="262"/>
      <c r="E61" s="198">
        <v>0</v>
      </c>
      <c r="F61" s="197" t="s">
        <v>227</v>
      </c>
      <c r="G61" s="199" t="s">
        <v>292</v>
      </c>
      <c r="H61" s="200"/>
      <c r="I61" s="200"/>
      <c r="J61" s="200"/>
      <c r="K61" s="199"/>
      <c r="L61" s="200"/>
      <c r="M61" s="200"/>
      <c r="N61" s="197"/>
    </row>
    <row r="62" spans="1:14">
      <c r="A62" s="262"/>
      <c r="B62" s="262"/>
      <c r="C62" s="197">
        <v>61</v>
      </c>
      <c r="D62" s="262"/>
      <c r="E62" s="198">
        <v>0</v>
      </c>
      <c r="F62" s="197" t="s">
        <v>227</v>
      </c>
      <c r="G62" s="199" t="s">
        <v>293</v>
      </c>
      <c r="H62" s="200"/>
      <c r="I62" s="200"/>
      <c r="J62" s="200"/>
      <c r="K62" s="199"/>
      <c r="L62" s="200"/>
      <c r="M62" s="200"/>
      <c r="N62" s="197"/>
    </row>
    <row r="63" spans="1:14">
      <c r="A63" s="262"/>
      <c r="B63" s="262"/>
      <c r="C63" s="197">
        <v>62</v>
      </c>
      <c r="D63" s="261">
        <v>13</v>
      </c>
      <c r="E63" s="198">
        <v>0</v>
      </c>
      <c r="F63" s="197" t="s">
        <v>227</v>
      </c>
      <c r="G63" s="199" t="s">
        <v>294</v>
      </c>
      <c r="H63" s="200">
        <v>0.44500000000000001</v>
      </c>
      <c r="I63" s="200">
        <v>1.01</v>
      </c>
      <c r="J63" s="200">
        <v>0.53500000000000003</v>
      </c>
      <c r="K63" s="199" t="s">
        <v>229</v>
      </c>
      <c r="L63" s="200"/>
      <c r="M63" s="200"/>
      <c r="N63" s="197"/>
    </row>
    <row r="64" spans="1:14">
      <c r="A64" s="262"/>
      <c r="B64" s="262"/>
      <c r="C64" s="197">
        <v>63</v>
      </c>
      <c r="D64" s="262"/>
      <c r="E64" s="198">
        <v>358.101651</v>
      </c>
      <c r="F64" s="197"/>
      <c r="G64" s="199" t="s">
        <v>295</v>
      </c>
      <c r="H64" s="200"/>
      <c r="I64" s="200"/>
      <c r="J64" s="200"/>
      <c r="K64" s="199"/>
      <c r="L64" s="200"/>
      <c r="M64" s="200"/>
      <c r="N64" s="197"/>
    </row>
    <row r="65" spans="1:14">
      <c r="A65" s="262"/>
      <c r="B65" s="262"/>
      <c r="C65" s="197">
        <v>64</v>
      </c>
      <c r="D65" s="262"/>
      <c r="E65" s="198">
        <v>359.86645499999997</v>
      </c>
      <c r="F65" s="197"/>
      <c r="G65" s="199" t="s">
        <v>296</v>
      </c>
      <c r="H65" s="200"/>
      <c r="I65" s="200"/>
      <c r="J65" s="200"/>
      <c r="K65" s="199"/>
      <c r="L65" s="200"/>
      <c r="M65" s="200"/>
      <c r="N65" s="197"/>
    </row>
    <row r="66" spans="1:14">
      <c r="A66" s="262"/>
      <c r="B66" s="262"/>
      <c r="C66" s="197">
        <v>65</v>
      </c>
      <c r="D66" s="262"/>
      <c r="E66" s="198">
        <v>359.86645499999997</v>
      </c>
      <c r="F66" s="197"/>
      <c r="G66" s="199" t="s">
        <v>297</v>
      </c>
      <c r="H66" s="200"/>
      <c r="I66" s="200"/>
      <c r="J66" s="200"/>
      <c r="K66" s="199"/>
      <c r="L66" s="200"/>
      <c r="M66" s="200"/>
      <c r="N66" s="197"/>
    </row>
    <row r="67" spans="1:14">
      <c r="A67" s="262"/>
      <c r="B67" s="262"/>
      <c r="C67" s="197">
        <v>66</v>
      </c>
      <c r="D67" s="261">
        <v>14</v>
      </c>
      <c r="E67" s="198">
        <v>361.47540300000003</v>
      </c>
      <c r="F67" s="197" t="s">
        <v>227</v>
      </c>
      <c r="G67" s="199" t="s">
        <v>298</v>
      </c>
      <c r="H67" s="200">
        <v>0.435</v>
      </c>
      <c r="I67" s="200">
        <v>1.0149999999999999</v>
      </c>
      <c r="J67" s="200">
        <v>0.49</v>
      </c>
      <c r="K67" s="199" t="s">
        <v>229</v>
      </c>
      <c r="L67" s="200"/>
      <c r="M67" s="200"/>
      <c r="N67" s="197"/>
    </row>
    <row r="68" spans="1:14">
      <c r="A68" s="262"/>
      <c r="B68" s="262"/>
      <c r="C68" s="197">
        <v>67</v>
      </c>
      <c r="D68" s="262"/>
      <c r="E68" s="198">
        <v>0</v>
      </c>
      <c r="F68" s="197" t="s">
        <v>227</v>
      </c>
      <c r="G68" s="199" t="s">
        <v>299</v>
      </c>
      <c r="H68" s="200"/>
      <c r="I68" s="200"/>
      <c r="J68" s="200"/>
      <c r="K68" s="199"/>
      <c r="L68" s="200"/>
      <c r="M68" s="200"/>
      <c r="N68" s="197"/>
    </row>
    <row r="69" spans="1:14">
      <c r="A69" s="262"/>
      <c r="B69" s="262"/>
      <c r="C69" s="197">
        <v>68</v>
      </c>
      <c r="D69" s="262"/>
      <c r="E69" s="198">
        <v>323.87190700000002</v>
      </c>
      <c r="F69" s="197"/>
      <c r="G69" s="199" t="s">
        <v>300</v>
      </c>
      <c r="H69" s="200"/>
      <c r="I69" s="200"/>
      <c r="J69" s="200"/>
      <c r="K69" s="199"/>
      <c r="L69" s="200"/>
      <c r="M69" s="200"/>
      <c r="N69" s="197"/>
    </row>
    <row r="70" spans="1:14">
      <c r="A70" s="262"/>
      <c r="B70" s="262"/>
      <c r="C70" s="197">
        <v>69</v>
      </c>
      <c r="D70" s="261">
        <v>15</v>
      </c>
      <c r="E70" s="198">
        <v>323.71250300000003</v>
      </c>
      <c r="F70" s="197" t="s">
        <v>227</v>
      </c>
      <c r="G70" s="199" t="s">
        <v>301</v>
      </c>
      <c r="H70" s="200">
        <v>0.44</v>
      </c>
      <c r="I70" s="200">
        <v>1.02</v>
      </c>
      <c r="J70" s="200">
        <v>0.5</v>
      </c>
      <c r="K70" s="199" t="s">
        <v>229</v>
      </c>
      <c r="L70" s="200"/>
      <c r="M70" s="200"/>
      <c r="N70" s="197"/>
    </row>
    <row r="71" spans="1:14">
      <c r="A71" s="262"/>
      <c r="B71" s="262"/>
      <c r="C71" s="197">
        <v>70</v>
      </c>
      <c r="D71" s="262"/>
      <c r="E71" s="198">
        <v>0</v>
      </c>
      <c r="F71" s="197" t="s">
        <v>227</v>
      </c>
      <c r="G71" s="199" t="s">
        <v>302</v>
      </c>
      <c r="H71" s="200"/>
      <c r="I71" s="200"/>
      <c r="J71" s="200"/>
      <c r="K71" s="199"/>
      <c r="L71" s="200"/>
      <c r="M71" s="200"/>
      <c r="N71" s="197"/>
    </row>
    <row r="72" spans="1:14">
      <c r="A72" s="262"/>
      <c r="B72" s="262"/>
      <c r="C72" s="197">
        <v>71</v>
      </c>
      <c r="D72" s="262"/>
      <c r="E72" s="198">
        <v>240.55082999999999</v>
      </c>
      <c r="F72" s="197"/>
      <c r="G72" s="199" t="s">
        <v>303</v>
      </c>
      <c r="H72" s="200"/>
      <c r="I72" s="200"/>
      <c r="J72" s="200"/>
      <c r="K72" s="199"/>
      <c r="L72" s="200"/>
      <c r="M72" s="200"/>
      <c r="N72" s="197"/>
    </row>
    <row r="73" spans="1:14">
      <c r="A73" s="262"/>
      <c r="B73" s="262"/>
      <c r="C73" s="197">
        <v>72</v>
      </c>
      <c r="D73" s="262"/>
      <c r="E73" s="198">
        <v>0</v>
      </c>
      <c r="F73" s="197" t="s">
        <v>227</v>
      </c>
      <c r="G73" s="199" t="s">
        <v>304</v>
      </c>
      <c r="H73" s="200"/>
      <c r="I73" s="200"/>
      <c r="J73" s="200"/>
      <c r="K73" s="199"/>
      <c r="L73" s="200"/>
      <c r="M73" s="200"/>
      <c r="N73" s="197"/>
    </row>
    <row r="74" spans="1:14">
      <c r="A74" s="262"/>
      <c r="B74" s="262"/>
      <c r="C74" s="197">
        <v>73</v>
      </c>
      <c r="D74" s="261">
        <v>16</v>
      </c>
      <c r="E74" s="198">
        <v>0</v>
      </c>
      <c r="F74" s="197" t="s">
        <v>227</v>
      </c>
      <c r="G74" s="199" t="s">
        <v>305</v>
      </c>
      <c r="H74" s="200">
        <v>0.4</v>
      </c>
      <c r="I74" s="200">
        <v>1.0249999999999999</v>
      </c>
      <c r="J74" s="200">
        <v>0.51</v>
      </c>
      <c r="K74" s="199" t="s">
        <v>229</v>
      </c>
      <c r="L74" s="200"/>
      <c r="M74" s="200"/>
      <c r="N74" s="197"/>
    </row>
    <row r="75" spans="1:14">
      <c r="A75" s="262"/>
      <c r="B75" s="262"/>
      <c r="C75" s="197">
        <v>74</v>
      </c>
      <c r="D75" s="262"/>
      <c r="E75" s="198">
        <v>0</v>
      </c>
      <c r="F75" s="197" t="s">
        <v>227</v>
      </c>
      <c r="G75" s="199" t="s">
        <v>306</v>
      </c>
      <c r="H75" s="200"/>
      <c r="I75" s="200"/>
      <c r="J75" s="200"/>
      <c r="K75" s="199"/>
      <c r="L75" s="200"/>
      <c r="M75" s="200"/>
      <c r="N75" s="197"/>
    </row>
    <row r="76" spans="1:14">
      <c r="A76" s="262"/>
      <c r="B76" s="262"/>
      <c r="C76" s="197">
        <v>75</v>
      </c>
      <c r="D76" s="262"/>
      <c r="E76" s="198">
        <v>0</v>
      </c>
      <c r="F76" s="197" t="s">
        <v>227</v>
      </c>
      <c r="G76" s="199" t="s">
        <v>307</v>
      </c>
      <c r="H76" s="200"/>
      <c r="I76" s="200"/>
      <c r="J76" s="200"/>
      <c r="K76" s="199"/>
      <c r="L76" s="200"/>
      <c r="M76" s="200"/>
      <c r="N76" s="197"/>
    </row>
    <row r="77" spans="1:14">
      <c r="A77" s="262"/>
      <c r="B77" s="262"/>
      <c r="C77" s="197">
        <v>76</v>
      </c>
      <c r="D77" s="262"/>
      <c r="E77" s="198">
        <v>0</v>
      </c>
      <c r="F77" s="197" t="s">
        <v>227</v>
      </c>
      <c r="G77" s="199" t="s">
        <v>308</v>
      </c>
      <c r="H77" s="200"/>
      <c r="I77" s="200"/>
      <c r="J77" s="200"/>
      <c r="K77" s="199"/>
      <c r="L77" s="200"/>
      <c r="M77" s="200"/>
      <c r="N77" s="197"/>
    </row>
    <row r="78" spans="1:14">
      <c r="A78" s="262"/>
      <c r="B78" s="262"/>
      <c r="C78" s="197">
        <v>77</v>
      </c>
      <c r="D78" s="262"/>
      <c r="E78" s="198">
        <v>0</v>
      </c>
      <c r="F78" s="197" t="s">
        <v>227</v>
      </c>
      <c r="G78" s="199" t="s">
        <v>309</v>
      </c>
      <c r="H78" s="200"/>
      <c r="I78" s="200"/>
      <c r="J78" s="200"/>
      <c r="K78" s="199"/>
      <c r="L78" s="200"/>
      <c r="M78" s="200"/>
      <c r="N78" s="197"/>
    </row>
    <row r="79" spans="1:14">
      <c r="A79" s="262"/>
      <c r="B79" s="262"/>
      <c r="C79" s="197">
        <v>78</v>
      </c>
      <c r="D79" s="262"/>
      <c r="E79" s="198">
        <v>0</v>
      </c>
      <c r="F79" s="197" t="s">
        <v>227</v>
      </c>
      <c r="G79" s="199" t="s">
        <v>310</v>
      </c>
      <c r="H79" s="200"/>
      <c r="I79" s="200"/>
      <c r="J79" s="200"/>
      <c r="K79" s="199"/>
      <c r="L79" s="200"/>
      <c r="M79" s="200"/>
      <c r="N79" s="197"/>
    </row>
    <row r="80" spans="1:14">
      <c r="A80" s="262"/>
      <c r="B80" s="262"/>
      <c r="C80" s="197">
        <v>79</v>
      </c>
      <c r="D80" s="262"/>
      <c r="E80" s="198">
        <v>0</v>
      </c>
      <c r="F80" s="197" t="s">
        <v>227</v>
      </c>
      <c r="G80" s="199" t="s">
        <v>311</v>
      </c>
      <c r="H80" s="200"/>
      <c r="I80" s="200"/>
      <c r="J80" s="200"/>
      <c r="K80" s="199"/>
      <c r="L80" s="200"/>
      <c r="M80" s="200"/>
      <c r="N80" s="197"/>
    </row>
    <row r="81" spans="1:14">
      <c r="A81" s="262"/>
      <c r="B81" s="262"/>
      <c r="C81" s="197">
        <v>80</v>
      </c>
      <c r="D81" s="262"/>
      <c r="E81" s="198">
        <v>0</v>
      </c>
      <c r="F81" s="197" t="s">
        <v>227</v>
      </c>
      <c r="G81" s="199" t="s">
        <v>312</v>
      </c>
      <c r="H81" s="200"/>
      <c r="I81" s="200"/>
      <c r="J81" s="200"/>
      <c r="K81" s="199"/>
      <c r="L81" s="200"/>
      <c r="M81" s="200"/>
      <c r="N81" s="197"/>
    </row>
    <row r="82" spans="1:14">
      <c r="A82" s="262"/>
      <c r="B82" s="262"/>
      <c r="C82" s="197">
        <v>81</v>
      </c>
      <c r="D82" s="262"/>
      <c r="E82" s="198">
        <v>0</v>
      </c>
      <c r="F82" s="197" t="s">
        <v>227</v>
      </c>
      <c r="G82" s="199" t="s">
        <v>313</v>
      </c>
      <c r="H82" s="200"/>
      <c r="I82" s="200"/>
      <c r="J82" s="200"/>
      <c r="K82" s="199"/>
      <c r="L82" s="200"/>
      <c r="M82" s="200"/>
      <c r="N82" s="197"/>
    </row>
    <row r="83" spans="1:14">
      <c r="A83" s="262"/>
      <c r="B83" s="262"/>
      <c r="C83" s="197">
        <v>82</v>
      </c>
      <c r="D83" s="262"/>
      <c r="E83" s="198">
        <v>0</v>
      </c>
      <c r="F83" s="197" t="s">
        <v>227</v>
      </c>
      <c r="G83" s="199" t="s">
        <v>314</v>
      </c>
      <c r="H83" s="200"/>
      <c r="I83" s="200"/>
      <c r="J83" s="200"/>
      <c r="K83" s="199"/>
      <c r="L83" s="200"/>
      <c r="M83" s="200"/>
      <c r="N83" s="197"/>
    </row>
    <row r="84" spans="1:14">
      <c r="A84" s="262"/>
      <c r="B84" s="262"/>
      <c r="C84" s="197">
        <v>83</v>
      </c>
      <c r="D84" s="262"/>
      <c r="E84" s="198">
        <v>0</v>
      </c>
      <c r="F84" s="197" t="s">
        <v>227</v>
      </c>
      <c r="G84" s="199" t="s">
        <v>315</v>
      </c>
      <c r="H84" s="200"/>
      <c r="I84" s="200"/>
      <c r="J84" s="200"/>
      <c r="K84" s="199"/>
      <c r="L84" s="200"/>
      <c r="M84" s="200"/>
      <c r="N84" s="197"/>
    </row>
    <row r="85" spans="1:14">
      <c r="A85" s="262"/>
      <c r="B85" s="262"/>
      <c r="C85" s="197">
        <v>84</v>
      </c>
      <c r="D85" s="262"/>
      <c r="E85" s="198">
        <v>0</v>
      </c>
      <c r="F85" s="197" t="s">
        <v>227</v>
      </c>
      <c r="G85" s="199" t="s">
        <v>316</v>
      </c>
      <c r="H85" s="200"/>
      <c r="I85" s="200"/>
      <c r="J85" s="200"/>
      <c r="K85" s="199"/>
      <c r="L85" s="200"/>
      <c r="M85" s="200"/>
      <c r="N85" s="197"/>
    </row>
    <row r="86" spans="1:14">
      <c r="A86" s="262"/>
      <c r="B86" s="262"/>
      <c r="C86" s="197">
        <v>85</v>
      </c>
      <c r="D86" s="262"/>
      <c r="E86" s="198">
        <v>0</v>
      </c>
      <c r="F86" s="197" t="s">
        <v>227</v>
      </c>
      <c r="G86" s="199" t="s">
        <v>317</v>
      </c>
      <c r="H86" s="200"/>
      <c r="I86" s="200"/>
      <c r="J86" s="200"/>
      <c r="K86" s="199"/>
      <c r="L86" s="200"/>
      <c r="M86" s="200"/>
      <c r="N86" s="197"/>
    </row>
    <row r="87" spans="1:14">
      <c r="A87" s="262"/>
      <c r="B87" s="262"/>
      <c r="C87" s="197">
        <v>86</v>
      </c>
      <c r="D87" s="262"/>
      <c r="E87" s="198">
        <v>0</v>
      </c>
      <c r="F87" s="197" t="s">
        <v>227</v>
      </c>
      <c r="G87" s="199" t="s">
        <v>318</v>
      </c>
      <c r="H87" s="200"/>
      <c r="I87" s="200"/>
      <c r="J87" s="200"/>
      <c r="K87" s="199"/>
      <c r="L87" s="200"/>
      <c r="M87" s="200"/>
      <c r="N87" s="197"/>
    </row>
    <row r="88" spans="1:14">
      <c r="A88" s="262"/>
      <c r="B88" s="262"/>
      <c r="C88" s="197">
        <v>87</v>
      </c>
      <c r="D88" s="262"/>
      <c r="E88" s="198">
        <v>0</v>
      </c>
      <c r="F88" s="197" t="s">
        <v>227</v>
      </c>
      <c r="G88" s="199" t="s">
        <v>319</v>
      </c>
      <c r="H88" s="200"/>
      <c r="I88" s="200"/>
      <c r="J88" s="200"/>
      <c r="K88" s="199"/>
      <c r="L88" s="200"/>
      <c r="M88" s="200"/>
      <c r="N88" s="197"/>
    </row>
    <row r="89" spans="1:14">
      <c r="A89" s="262"/>
      <c r="B89" s="262"/>
      <c r="C89" s="197">
        <v>88</v>
      </c>
      <c r="D89" s="262"/>
      <c r="E89" s="198">
        <v>0</v>
      </c>
      <c r="F89" s="197" t="s">
        <v>227</v>
      </c>
      <c r="G89" s="199" t="s">
        <v>320</v>
      </c>
      <c r="H89" s="200"/>
      <c r="I89" s="200"/>
      <c r="J89" s="200"/>
      <c r="K89" s="199"/>
      <c r="L89" s="200"/>
      <c r="M89" s="200"/>
      <c r="N89" s="197"/>
    </row>
    <row r="90" spans="1:14">
      <c r="A90" s="262"/>
      <c r="B90" s="262"/>
      <c r="C90" s="197">
        <v>89</v>
      </c>
      <c r="D90" s="262"/>
      <c r="E90" s="198">
        <v>0</v>
      </c>
      <c r="F90" s="197" t="s">
        <v>227</v>
      </c>
      <c r="G90" s="199" t="s">
        <v>321</v>
      </c>
      <c r="H90" s="200"/>
      <c r="I90" s="200"/>
      <c r="J90" s="200"/>
      <c r="K90" s="199"/>
      <c r="L90" s="200"/>
      <c r="M90" s="200"/>
      <c r="N90" s="197"/>
    </row>
    <row r="91" spans="1:14">
      <c r="A91" s="262"/>
      <c r="B91" s="262"/>
      <c r="C91" s="197">
        <v>90</v>
      </c>
      <c r="D91" s="262"/>
      <c r="E91" s="198">
        <v>0</v>
      </c>
      <c r="F91" s="197" t="s">
        <v>227</v>
      </c>
      <c r="G91" s="199" t="s">
        <v>322</v>
      </c>
      <c r="H91" s="200"/>
      <c r="I91" s="200"/>
      <c r="J91" s="200"/>
      <c r="K91" s="199"/>
      <c r="L91" s="200"/>
      <c r="M91" s="200"/>
      <c r="N91" s="197"/>
    </row>
    <row r="92" spans="1:14">
      <c r="A92" s="261" t="s">
        <v>323</v>
      </c>
      <c r="B92" s="261">
        <v>4</v>
      </c>
      <c r="C92" s="197">
        <v>1</v>
      </c>
      <c r="D92" s="261">
        <v>1</v>
      </c>
      <c r="E92" s="198">
        <v>0</v>
      </c>
      <c r="F92" s="197" t="s">
        <v>227</v>
      </c>
      <c r="G92" s="199" t="s">
        <v>228</v>
      </c>
      <c r="H92" s="200">
        <v>0.45500000000000002</v>
      </c>
      <c r="I92" s="200">
        <v>1.0049999999999999</v>
      </c>
      <c r="J92" s="200">
        <v>0.505</v>
      </c>
      <c r="K92" s="199" t="s">
        <v>229</v>
      </c>
      <c r="L92" s="200">
        <v>6.4003784067818995E-2</v>
      </c>
      <c r="M92" s="200"/>
      <c r="N92" s="197"/>
    </row>
    <row r="93" spans="1:14">
      <c r="A93" s="262"/>
      <c r="B93" s="262"/>
      <c r="C93" s="197">
        <v>2</v>
      </c>
      <c r="D93" s="262"/>
      <c r="E93" s="198">
        <v>0</v>
      </c>
      <c r="F93" s="197" t="s">
        <v>227</v>
      </c>
      <c r="G93" s="199" t="s">
        <v>230</v>
      </c>
      <c r="H93" s="200"/>
      <c r="I93" s="200"/>
      <c r="J93" s="200"/>
      <c r="K93" s="199"/>
      <c r="L93" s="200">
        <v>7.0654722727854488E-2</v>
      </c>
      <c r="M93" s="200"/>
      <c r="N93" s="197"/>
    </row>
    <row r="94" spans="1:14">
      <c r="A94" s="262"/>
      <c r="B94" s="262"/>
      <c r="C94" s="197">
        <v>3</v>
      </c>
      <c r="D94" s="262"/>
      <c r="E94" s="198">
        <v>0</v>
      </c>
      <c r="F94" s="197" t="s">
        <v>227</v>
      </c>
      <c r="G94" s="199" t="s">
        <v>324</v>
      </c>
      <c r="H94" s="200"/>
      <c r="I94" s="200"/>
      <c r="J94" s="200"/>
      <c r="K94" s="199"/>
      <c r="L94" s="200">
        <v>3.0693482105326544E-2</v>
      </c>
      <c r="M94" s="200"/>
      <c r="N94" s="197"/>
    </row>
    <row r="95" spans="1:14">
      <c r="A95" s="262"/>
      <c r="B95" s="262"/>
      <c r="C95" s="197">
        <v>4</v>
      </c>
      <c r="D95" s="262"/>
      <c r="E95" s="198">
        <v>0</v>
      </c>
      <c r="F95" s="197" t="s">
        <v>227</v>
      </c>
      <c r="G95" s="199" t="s">
        <v>325</v>
      </c>
      <c r="H95" s="200"/>
      <c r="I95" s="200"/>
      <c r="J95" s="200"/>
      <c r="K95" s="199"/>
      <c r="L95" s="200"/>
      <c r="M95" s="200" t="s">
        <v>233</v>
      </c>
      <c r="N95" s="197" t="s">
        <v>326</v>
      </c>
    </row>
    <row r="96" spans="1:14">
      <c r="A96" s="262"/>
      <c r="B96" s="262"/>
      <c r="C96" s="197">
        <v>5</v>
      </c>
      <c r="D96" s="262"/>
      <c r="E96" s="198">
        <v>0</v>
      </c>
      <c r="F96" s="197" t="s">
        <v>227</v>
      </c>
      <c r="G96" s="199" t="s">
        <v>327</v>
      </c>
      <c r="H96" s="200"/>
      <c r="I96" s="200"/>
      <c r="J96" s="200"/>
      <c r="K96" s="199"/>
      <c r="L96" s="200"/>
      <c r="M96" s="200"/>
      <c r="N96" s="197"/>
    </row>
    <row r="97" spans="1:14">
      <c r="A97" s="262"/>
      <c r="B97" s="262"/>
      <c r="C97" s="197">
        <v>6</v>
      </c>
      <c r="D97" s="262"/>
      <c r="E97" s="198">
        <v>359.51086400000003</v>
      </c>
      <c r="F97" s="197"/>
      <c r="G97" s="199" t="s">
        <v>328</v>
      </c>
      <c r="H97" s="200"/>
      <c r="I97" s="200"/>
      <c r="J97" s="200"/>
      <c r="K97" s="199"/>
      <c r="L97" s="200"/>
      <c r="M97" s="200"/>
      <c r="N97" s="197"/>
    </row>
    <row r="98" spans="1:14">
      <c r="A98" s="262"/>
      <c r="B98" s="262"/>
      <c r="C98" s="197">
        <v>7</v>
      </c>
      <c r="D98" s="262"/>
      <c r="E98" s="198">
        <v>364.59991500000001</v>
      </c>
      <c r="F98" s="197"/>
      <c r="G98" s="199" t="s">
        <v>329</v>
      </c>
      <c r="H98" s="200"/>
      <c r="I98" s="200"/>
      <c r="J98" s="200"/>
      <c r="K98" s="199"/>
      <c r="L98" s="200"/>
      <c r="M98" s="200"/>
      <c r="N98" s="197"/>
    </row>
    <row r="99" spans="1:14">
      <c r="A99" s="262"/>
      <c r="B99" s="262"/>
      <c r="C99" s="197">
        <v>8</v>
      </c>
      <c r="D99" s="262"/>
      <c r="E99" s="198">
        <v>364.08788600000003</v>
      </c>
      <c r="F99" s="197"/>
      <c r="G99" s="199" t="s">
        <v>330</v>
      </c>
      <c r="H99" s="200"/>
      <c r="I99" s="200"/>
      <c r="J99" s="200"/>
      <c r="K99" s="199"/>
      <c r="L99" s="200"/>
      <c r="M99" s="200"/>
      <c r="N99" s="197"/>
    </row>
    <row r="100" spans="1:14">
      <c r="A100" s="262"/>
      <c r="B100" s="262"/>
      <c r="C100" s="197">
        <v>9</v>
      </c>
      <c r="D100" s="262"/>
      <c r="E100" s="198">
        <v>364.31351799999999</v>
      </c>
      <c r="F100" s="197"/>
      <c r="G100" s="199" t="s">
        <v>331</v>
      </c>
      <c r="H100" s="200"/>
      <c r="I100" s="200"/>
      <c r="J100" s="200"/>
      <c r="K100" s="199"/>
      <c r="L100" s="200"/>
      <c r="M100" s="200"/>
      <c r="N100" s="197"/>
    </row>
    <row r="101" spans="1:14">
      <c r="A101" s="262"/>
      <c r="B101" s="262"/>
      <c r="C101" s="197">
        <v>10</v>
      </c>
      <c r="D101" s="261">
        <v>2</v>
      </c>
      <c r="E101" s="198">
        <v>0</v>
      </c>
      <c r="F101" s="197" t="s">
        <v>227</v>
      </c>
      <c r="G101" s="199" t="s">
        <v>332</v>
      </c>
      <c r="H101" s="200">
        <v>0.22</v>
      </c>
      <c r="I101" s="200">
        <v>0.76</v>
      </c>
      <c r="J101" s="200">
        <v>0.54500000000000004</v>
      </c>
      <c r="K101" s="199" t="s">
        <v>229</v>
      </c>
      <c r="L101" s="200"/>
      <c r="M101" s="200"/>
      <c r="N101" s="197"/>
    </row>
    <row r="102" spans="1:14">
      <c r="A102" s="262"/>
      <c r="B102" s="262"/>
      <c r="C102" s="197">
        <v>11</v>
      </c>
      <c r="D102" s="262"/>
      <c r="E102" s="198">
        <v>482.619889</v>
      </c>
      <c r="F102" s="197"/>
      <c r="G102" s="199" t="s">
        <v>333</v>
      </c>
      <c r="H102" s="200"/>
      <c r="I102" s="200"/>
      <c r="J102" s="200"/>
      <c r="K102" s="199"/>
      <c r="L102" s="200"/>
      <c r="M102" s="200"/>
      <c r="N102" s="197"/>
    </row>
    <row r="103" spans="1:14">
      <c r="A103" s="262"/>
      <c r="B103" s="262"/>
      <c r="C103" s="197">
        <v>12</v>
      </c>
      <c r="D103" s="262"/>
      <c r="E103" s="198">
        <v>487.11518000000001</v>
      </c>
      <c r="F103" s="197"/>
      <c r="G103" s="199" t="s">
        <v>334</v>
      </c>
      <c r="H103" s="200"/>
      <c r="I103" s="200"/>
      <c r="J103" s="200"/>
      <c r="K103" s="199"/>
      <c r="L103" s="200"/>
      <c r="M103" s="200"/>
      <c r="N103" s="197"/>
    </row>
    <row r="104" spans="1:14">
      <c r="A104" s="262"/>
      <c r="B104" s="262"/>
      <c r="C104" s="197">
        <v>13</v>
      </c>
      <c r="D104" s="262"/>
      <c r="E104" s="198">
        <v>486.47907099999998</v>
      </c>
      <c r="F104" s="197"/>
      <c r="G104" s="199" t="s">
        <v>335</v>
      </c>
      <c r="H104" s="200"/>
      <c r="I104" s="200"/>
      <c r="J104" s="200"/>
      <c r="K104" s="199"/>
      <c r="L104" s="200"/>
      <c r="M104" s="200"/>
      <c r="N104" s="197"/>
    </row>
    <row r="105" spans="1:14">
      <c r="A105" s="262"/>
      <c r="B105" s="262"/>
      <c r="C105" s="197">
        <v>14</v>
      </c>
      <c r="D105" s="262"/>
      <c r="E105" s="198">
        <v>463.99102599999998</v>
      </c>
      <c r="F105" s="197"/>
      <c r="G105" s="199" t="s">
        <v>336</v>
      </c>
      <c r="H105" s="200"/>
      <c r="I105" s="200"/>
      <c r="J105" s="200"/>
      <c r="K105" s="199"/>
      <c r="L105" s="200"/>
      <c r="M105" s="200"/>
      <c r="N105" s="197"/>
    </row>
    <row r="106" spans="1:14">
      <c r="A106" s="262"/>
      <c r="B106" s="262"/>
      <c r="C106" s="197">
        <v>15</v>
      </c>
      <c r="D106" s="261">
        <v>3</v>
      </c>
      <c r="E106" s="198">
        <v>360.54217499999999</v>
      </c>
      <c r="F106" s="197" t="s">
        <v>227</v>
      </c>
      <c r="G106" s="199" t="s">
        <v>337</v>
      </c>
      <c r="H106" s="200">
        <v>0.45</v>
      </c>
      <c r="I106" s="200">
        <v>1.0049999999999999</v>
      </c>
      <c r="J106" s="200">
        <v>0.52500000000000002</v>
      </c>
      <c r="K106" s="199" t="s">
        <v>229</v>
      </c>
      <c r="L106" s="200"/>
      <c r="M106" s="200"/>
      <c r="N106" s="197"/>
    </row>
    <row r="107" spans="1:14">
      <c r="A107" s="262"/>
      <c r="B107" s="262"/>
      <c r="C107" s="197">
        <v>16</v>
      </c>
      <c r="D107" s="262"/>
      <c r="E107" s="198">
        <v>361.996104</v>
      </c>
      <c r="F107" s="197"/>
      <c r="G107" s="199" t="s">
        <v>338</v>
      </c>
      <c r="H107" s="200"/>
      <c r="I107" s="200"/>
      <c r="J107" s="200"/>
      <c r="K107" s="199"/>
      <c r="L107" s="200"/>
      <c r="M107" s="200"/>
      <c r="N107" s="197"/>
    </row>
    <row r="108" spans="1:14">
      <c r="A108" s="262"/>
      <c r="B108" s="262"/>
      <c r="C108" s="197">
        <v>17</v>
      </c>
      <c r="D108" s="262"/>
      <c r="E108" s="198">
        <v>363.55182600000001</v>
      </c>
      <c r="F108" s="197"/>
      <c r="G108" s="199" t="s">
        <v>339</v>
      </c>
      <c r="H108" s="200"/>
      <c r="I108" s="200"/>
      <c r="J108" s="200"/>
      <c r="K108" s="199"/>
      <c r="L108" s="200"/>
      <c r="M108" s="200"/>
      <c r="N108" s="197"/>
    </row>
    <row r="109" spans="1:14">
      <c r="A109" s="262"/>
      <c r="B109" s="262"/>
      <c r="C109" s="197">
        <v>18</v>
      </c>
      <c r="D109" s="261">
        <v>4</v>
      </c>
      <c r="E109" s="198">
        <v>363.26043199999998</v>
      </c>
      <c r="F109" s="197" t="s">
        <v>227</v>
      </c>
      <c r="G109" s="199" t="s">
        <v>340</v>
      </c>
      <c r="H109" s="200">
        <v>0.44500000000000001</v>
      </c>
      <c r="I109" s="200">
        <v>1</v>
      </c>
      <c r="J109" s="200">
        <v>0.53</v>
      </c>
      <c r="K109" s="199" t="s">
        <v>229</v>
      </c>
      <c r="L109" s="200"/>
      <c r="M109" s="200"/>
      <c r="N109" s="197"/>
    </row>
    <row r="110" spans="1:14">
      <c r="A110" s="262"/>
      <c r="B110" s="262"/>
      <c r="C110" s="197">
        <v>19</v>
      </c>
      <c r="D110" s="262"/>
      <c r="E110" s="198">
        <v>362.62599699999998</v>
      </c>
      <c r="F110" s="197"/>
      <c r="G110" s="199" t="s">
        <v>341</v>
      </c>
      <c r="H110" s="200"/>
      <c r="I110" s="200"/>
      <c r="J110" s="200"/>
      <c r="K110" s="199"/>
      <c r="L110" s="200"/>
      <c r="M110" s="200"/>
      <c r="N110" s="197"/>
    </row>
    <row r="111" spans="1:14">
      <c r="A111" s="262"/>
      <c r="B111" s="262"/>
      <c r="C111" s="197">
        <v>20</v>
      </c>
      <c r="D111" s="262"/>
      <c r="E111" s="198">
        <v>365.08856200000002</v>
      </c>
      <c r="F111" s="197"/>
      <c r="G111" s="199" t="s">
        <v>342</v>
      </c>
      <c r="H111" s="200"/>
      <c r="I111" s="200"/>
      <c r="J111" s="200"/>
      <c r="K111" s="199"/>
      <c r="L111" s="200"/>
      <c r="M111" s="200"/>
      <c r="N111" s="197"/>
    </row>
    <row r="112" spans="1:14">
      <c r="A112" s="262"/>
      <c r="B112" s="262"/>
      <c r="C112" s="197">
        <v>21</v>
      </c>
      <c r="D112" s="262"/>
      <c r="E112" s="198">
        <v>364.46784600000001</v>
      </c>
      <c r="F112" s="197"/>
      <c r="G112" s="199" t="s">
        <v>343</v>
      </c>
      <c r="H112" s="200"/>
      <c r="I112" s="200"/>
      <c r="J112" s="200"/>
      <c r="K112" s="199"/>
      <c r="L112" s="200"/>
      <c r="M112" s="200"/>
      <c r="N112" s="197"/>
    </row>
    <row r="113" spans="1:14">
      <c r="A113" s="262"/>
      <c r="B113" s="262"/>
      <c r="C113" s="197">
        <v>22</v>
      </c>
      <c r="D113" s="262"/>
      <c r="E113" s="198">
        <v>364.597264</v>
      </c>
      <c r="F113" s="197"/>
      <c r="G113" s="199" t="s">
        <v>344</v>
      </c>
      <c r="H113" s="200"/>
      <c r="I113" s="200"/>
      <c r="J113" s="200"/>
      <c r="K113" s="199"/>
      <c r="L113" s="200"/>
      <c r="M113" s="200"/>
      <c r="N113" s="197"/>
    </row>
    <row r="114" spans="1:14">
      <c r="A114" s="262"/>
      <c r="B114" s="262"/>
      <c r="C114" s="197">
        <v>23</v>
      </c>
      <c r="D114" s="262"/>
      <c r="E114" s="198">
        <v>365.75830100000002</v>
      </c>
      <c r="F114" s="197"/>
      <c r="G114" s="199" t="s">
        <v>345</v>
      </c>
      <c r="H114" s="200"/>
      <c r="I114" s="200"/>
      <c r="J114" s="200"/>
      <c r="K114" s="199"/>
      <c r="L114" s="200"/>
      <c r="M114" s="200"/>
      <c r="N114" s="197"/>
    </row>
    <row r="115" spans="1:14">
      <c r="A115" s="262"/>
      <c r="B115" s="262"/>
      <c r="C115" s="197">
        <v>24</v>
      </c>
      <c r="D115" s="262"/>
      <c r="E115" s="198">
        <v>364.73684700000001</v>
      </c>
      <c r="F115" s="197"/>
      <c r="G115" s="199" t="s">
        <v>346</v>
      </c>
      <c r="H115" s="200"/>
      <c r="I115" s="200"/>
      <c r="J115" s="200"/>
      <c r="K115" s="199"/>
      <c r="L115" s="200"/>
      <c r="M115" s="200"/>
      <c r="N115" s="197"/>
    </row>
    <row r="116" spans="1:14">
      <c r="A116" s="262"/>
      <c r="B116" s="262"/>
      <c r="C116" s="197">
        <v>25</v>
      </c>
      <c r="D116" s="262"/>
      <c r="E116" s="198">
        <v>364.10171500000001</v>
      </c>
      <c r="F116" s="197"/>
      <c r="G116" s="199" t="s">
        <v>347</v>
      </c>
      <c r="H116" s="200"/>
      <c r="I116" s="200"/>
      <c r="J116" s="200"/>
      <c r="K116" s="199"/>
      <c r="L116" s="200"/>
      <c r="M116" s="200"/>
      <c r="N116" s="197"/>
    </row>
    <row r="117" spans="1:14">
      <c r="A117" s="262"/>
      <c r="B117" s="262"/>
      <c r="C117" s="197">
        <v>26</v>
      </c>
      <c r="D117" s="262"/>
      <c r="E117" s="198">
        <v>364.62142899999998</v>
      </c>
      <c r="F117" s="197"/>
      <c r="G117" s="199" t="s">
        <v>348</v>
      </c>
      <c r="H117" s="200"/>
      <c r="I117" s="200"/>
      <c r="J117" s="200"/>
      <c r="K117" s="199"/>
      <c r="L117" s="200"/>
      <c r="M117" s="200"/>
      <c r="N117" s="197"/>
    </row>
    <row r="118" spans="1:14">
      <c r="A118" s="262"/>
      <c r="B118" s="262"/>
      <c r="C118" s="197">
        <v>27</v>
      </c>
      <c r="D118" s="262"/>
      <c r="E118" s="198">
        <v>365.15924100000001</v>
      </c>
      <c r="F118" s="197"/>
      <c r="G118" s="199" t="s">
        <v>349</v>
      </c>
      <c r="H118" s="200"/>
      <c r="I118" s="200"/>
      <c r="J118" s="200"/>
      <c r="K118" s="199"/>
      <c r="L118" s="200"/>
      <c r="M118" s="200"/>
      <c r="N118" s="197"/>
    </row>
    <row r="119" spans="1:14">
      <c r="A119" s="262"/>
      <c r="B119" s="262"/>
      <c r="C119" s="197">
        <v>28</v>
      </c>
      <c r="D119" s="262"/>
      <c r="E119" s="198">
        <v>363.86138899999997</v>
      </c>
      <c r="F119" s="197"/>
      <c r="G119" s="199" t="s">
        <v>350</v>
      </c>
      <c r="H119" s="200"/>
      <c r="I119" s="200"/>
      <c r="J119" s="200"/>
      <c r="K119" s="199"/>
      <c r="L119" s="200"/>
      <c r="M119" s="200"/>
      <c r="N119" s="197"/>
    </row>
    <row r="120" spans="1:14">
      <c r="A120" s="262"/>
      <c r="B120" s="262"/>
      <c r="C120" s="197">
        <v>29</v>
      </c>
      <c r="D120" s="261">
        <v>5</v>
      </c>
      <c r="E120" s="198">
        <v>364.62919099999999</v>
      </c>
      <c r="F120" s="197" t="s">
        <v>227</v>
      </c>
      <c r="G120" s="199" t="s">
        <v>351</v>
      </c>
      <c r="H120" s="200">
        <v>0.43</v>
      </c>
      <c r="I120" s="200">
        <v>0.995</v>
      </c>
      <c r="J120" s="200">
        <v>0.53</v>
      </c>
      <c r="K120" s="199" t="s">
        <v>229</v>
      </c>
      <c r="L120" s="200"/>
      <c r="M120" s="200"/>
      <c r="N120" s="197"/>
    </row>
    <row r="121" spans="1:14">
      <c r="A121" s="262"/>
      <c r="B121" s="262"/>
      <c r="C121" s="197">
        <v>30</v>
      </c>
      <c r="D121" s="262"/>
      <c r="E121" s="198">
        <v>362.41348299999999</v>
      </c>
      <c r="F121" s="197"/>
      <c r="G121" s="199" t="s">
        <v>352</v>
      </c>
      <c r="H121" s="200"/>
      <c r="I121" s="200"/>
      <c r="J121" s="200"/>
      <c r="K121" s="199"/>
      <c r="L121" s="200"/>
      <c r="M121" s="200"/>
      <c r="N121" s="197"/>
    </row>
    <row r="122" spans="1:14">
      <c r="A122" s="262"/>
      <c r="B122" s="262"/>
      <c r="C122" s="197">
        <v>31</v>
      </c>
      <c r="D122" s="262"/>
      <c r="E122" s="198">
        <v>363.95427699999999</v>
      </c>
      <c r="F122" s="197"/>
      <c r="G122" s="199" t="s">
        <v>353</v>
      </c>
      <c r="H122" s="200"/>
      <c r="I122" s="200"/>
      <c r="J122" s="200"/>
      <c r="K122" s="199"/>
      <c r="L122" s="200"/>
      <c r="M122" s="200"/>
      <c r="N122" s="197"/>
    </row>
    <row r="123" spans="1:14">
      <c r="A123" s="262"/>
      <c r="B123" s="262"/>
      <c r="C123" s="197">
        <v>32</v>
      </c>
      <c r="D123" s="262"/>
      <c r="E123" s="198">
        <v>363.98782299999999</v>
      </c>
      <c r="F123" s="197"/>
      <c r="G123" s="199" t="s">
        <v>354</v>
      </c>
      <c r="H123" s="200"/>
      <c r="I123" s="200"/>
      <c r="J123" s="200"/>
      <c r="K123" s="199"/>
      <c r="L123" s="200"/>
      <c r="M123" s="200"/>
      <c r="N123" s="197"/>
    </row>
    <row r="124" spans="1:14">
      <c r="A124" s="262"/>
      <c r="B124" s="262"/>
      <c r="C124" s="197">
        <v>33</v>
      </c>
      <c r="D124" s="261">
        <v>6</v>
      </c>
      <c r="E124" s="198">
        <v>328.74492600000002</v>
      </c>
      <c r="F124" s="197" t="s">
        <v>227</v>
      </c>
      <c r="G124" s="199" t="s">
        <v>355</v>
      </c>
      <c r="H124" s="200">
        <v>0.435</v>
      </c>
      <c r="I124" s="200">
        <v>0.99</v>
      </c>
      <c r="J124" s="200">
        <v>0.52</v>
      </c>
      <c r="K124" s="199" t="s">
        <v>229</v>
      </c>
      <c r="L124" s="200"/>
      <c r="M124" s="200"/>
      <c r="N124" s="197"/>
    </row>
    <row r="125" spans="1:14">
      <c r="A125" s="262"/>
      <c r="B125" s="262"/>
      <c r="C125" s="197">
        <v>34</v>
      </c>
      <c r="D125" s="262"/>
      <c r="E125" s="198">
        <v>327.749101</v>
      </c>
      <c r="F125" s="197"/>
      <c r="G125" s="199" t="s">
        <v>356</v>
      </c>
      <c r="H125" s="200"/>
      <c r="I125" s="200"/>
      <c r="J125" s="200"/>
      <c r="K125" s="199"/>
      <c r="L125" s="200"/>
      <c r="M125" s="200"/>
      <c r="N125" s="197"/>
    </row>
    <row r="126" spans="1:14">
      <c r="A126" s="262"/>
      <c r="B126" s="262"/>
      <c r="C126" s="197">
        <v>35</v>
      </c>
      <c r="D126" s="262"/>
      <c r="E126" s="198">
        <v>326.88410399999998</v>
      </c>
      <c r="F126" s="197"/>
      <c r="G126" s="199" t="s">
        <v>357</v>
      </c>
      <c r="H126" s="200"/>
      <c r="I126" s="200"/>
      <c r="J126" s="200"/>
      <c r="K126" s="199"/>
      <c r="L126" s="200"/>
      <c r="M126" s="200"/>
      <c r="N126" s="197"/>
    </row>
    <row r="127" spans="1:14">
      <c r="A127" s="262"/>
      <c r="B127" s="262"/>
      <c r="C127" s="197">
        <v>36</v>
      </c>
      <c r="D127" s="261">
        <v>7</v>
      </c>
      <c r="E127" s="198">
        <v>0</v>
      </c>
      <c r="F127" s="197" t="s">
        <v>227</v>
      </c>
      <c r="G127" s="199" t="s">
        <v>358</v>
      </c>
      <c r="H127" s="200">
        <v>0.29499999999999998</v>
      </c>
      <c r="I127" s="200">
        <v>0.82499999999999996</v>
      </c>
      <c r="J127" s="200">
        <v>0.48</v>
      </c>
      <c r="K127" s="199" t="s">
        <v>229</v>
      </c>
      <c r="L127" s="200"/>
      <c r="M127" s="200"/>
      <c r="N127" s="197"/>
    </row>
    <row r="128" spans="1:14">
      <c r="A128" s="262"/>
      <c r="B128" s="262"/>
      <c r="C128" s="197">
        <v>37</v>
      </c>
      <c r="D128" s="262"/>
      <c r="E128" s="198">
        <v>248.03022999999999</v>
      </c>
      <c r="F128" s="197"/>
      <c r="G128" s="199" t="s">
        <v>359</v>
      </c>
      <c r="H128" s="200"/>
      <c r="I128" s="200"/>
      <c r="J128" s="200"/>
      <c r="K128" s="199"/>
      <c r="L128" s="200"/>
      <c r="M128" s="200"/>
      <c r="N128" s="197"/>
    </row>
    <row r="129" spans="1:14">
      <c r="A129" s="262"/>
      <c r="B129" s="262"/>
      <c r="C129" s="197">
        <v>38</v>
      </c>
      <c r="D129" s="262"/>
      <c r="E129" s="198">
        <v>245.921617</v>
      </c>
      <c r="F129" s="197"/>
      <c r="G129" s="199" t="s">
        <v>360</v>
      </c>
      <c r="H129" s="200"/>
      <c r="I129" s="200"/>
      <c r="J129" s="200"/>
      <c r="K129" s="199"/>
      <c r="L129" s="200"/>
      <c r="M129" s="200"/>
      <c r="N129" s="197"/>
    </row>
    <row r="130" spans="1:14">
      <c r="A130" s="262"/>
      <c r="B130" s="262"/>
      <c r="C130" s="197">
        <v>39</v>
      </c>
      <c r="D130" s="262"/>
      <c r="E130" s="198">
        <v>245.51555099999999</v>
      </c>
      <c r="F130" s="197"/>
      <c r="G130" s="199" t="s">
        <v>361</v>
      </c>
      <c r="H130" s="200"/>
      <c r="I130" s="200"/>
      <c r="J130" s="200"/>
      <c r="K130" s="199"/>
      <c r="L130" s="200"/>
      <c r="M130" s="200"/>
      <c r="N130" s="197"/>
    </row>
    <row r="131" spans="1:14">
      <c r="A131" s="262"/>
      <c r="B131" s="262"/>
      <c r="C131" s="197">
        <v>40</v>
      </c>
      <c r="D131" s="262"/>
      <c r="E131" s="198">
        <v>243.75296499999999</v>
      </c>
      <c r="F131" s="197"/>
      <c r="G131" s="199" t="s">
        <v>362</v>
      </c>
      <c r="H131" s="200"/>
      <c r="I131" s="200"/>
      <c r="J131" s="200"/>
      <c r="K131" s="199"/>
      <c r="L131" s="200"/>
      <c r="M131" s="200"/>
      <c r="N131" s="197"/>
    </row>
    <row r="132" spans="1:14">
      <c r="A132" s="262"/>
      <c r="B132" s="262"/>
      <c r="C132" s="197">
        <v>41</v>
      </c>
      <c r="D132" s="261">
        <v>8</v>
      </c>
      <c r="E132" s="198">
        <v>245.01902699999999</v>
      </c>
      <c r="F132" s="197" t="s">
        <v>227</v>
      </c>
      <c r="G132" s="199" t="s">
        <v>363</v>
      </c>
      <c r="H132" s="200">
        <v>0.42</v>
      </c>
      <c r="I132" s="200">
        <v>1.0149999999999999</v>
      </c>
      <c r="J132" s="200">
        <v>0.52500000000000002</v>
      </c>
      <c r="K132" s="199" t="s">
        <v>229</v>
      </c>
      <c r="L132" s="200"/>
      <c r="M132" s="200"/>
      <c r="N132" s="197"/>
    </row>
    <row r="133" spans="1:14">
      <c r="A133" s="262"/>
      <c r="B133" s="262"/>
      <c r="C133" s="197">
        <v>42</v>
      </c>
      <c r="D133" s="262"/>
      <c r="E133" s="198">
        <v>0</v>
      </c>
      <c r="F133" s="197" t="s">
        <v>227</v>
      </c>
      <c r="G133" s="199" t="s">
        <v>364</v>
      </c>
      <c r="H133" s="200"/>
      <c r="I133" s="200"/>
      <c r="J133" s="200"/>
      <c r="K133" s="199"/>
      <c r="L133" s="200"/>
      <c r="M133" s="200"/>
      <c r="N133" s="197"/>
    </row>
    <row r="134" spans="1:14">
      <c r="A134" s="262"/>
      <c r="B134" s="262"/>
      <c r="C134" s="197">
        <v>43</v>
      </c>
      <c r="D134" s="262"/>
      <c r="E134" s="198">
        <v>246.515804</v>
      </c>
      <c r="F134" s="197"/>
      <c r="G134" s="199" t="s">
        <v>365</v>
      </c>
      <c r="H134" s="200"/>
      <c r="I134" s="200"/>
      <c r="J134" s="200"/>
      <c r="K134" s="199"/>
      <c r="L134" s="200"/>
      <c r="M134" s="200"/>
      <c r="N134" s="197"/>
    </row>
    <row r="135" spans="1:14">
      <c r="A135" s="262"/>
      <c r="B135" s="262"/>
      <c r="C135" s="197">
        <v>44</v>
      </c>
      <c r="D135" s="262"/>
      <c r="E135" s="198">
        <v>246.403773</v>
      </c>
      <c r="F135" s="197"/>
      <c r="G135" s="199" t="s">
        <v>366</v>
      </c>
      <c r="H135" s="200"/>
      <c r="I135" s="200"/>
      <c r="J135" s="200"/>
      <c r="K135" s="199"/>
      <c r="L135" s="200"/>
      <c r="M135" s="200"/>
      <c r="N135" s="197"/>
    </row>
    <row r="136" spans="1:14">
      <c r="A136" s="262"/>
      <c r="B136" s="262"/>
      <c r="C136" s="197">
        <v>45</v>
      </c>
      <c r="D136" s="262"/>
      <c r="E136" s="198">
        <v>245.14979500000001</v>
      </c>
      <c r="F136" s="197"/>
      <c r="G136" s="199" t="s">
        <v>367</v>
      </c>
      <c r="H136" s="200"/>
      <c r="I136" s="200"/>
      <c r="J136" s="200"/>
      <c r="K136" s="199"/>
      <c r="L136" s="200"/>
      <c r="M136" s="200"/>
      <c r="N136" s="197"/>
    </row>
    <row r="137" spans="1:14">
      <c r="A137" s="262"/>
      <c r="B137" s="262"/>
      <c r="C137" s="197">
        <v>46</v>
      </c>
      <c r="D137" s="262"/>
      <c r="E137" s="198">
        <v>244.68264500000001</v>
      </c>
      <c r="F137" s="197"/>
      <c r="G137" s="199" t="s">
        <v>368</v>
      </c>
      <c r="H137" s="200"/>
      <c r="I137" s="200"/>
      <c r="J137" s="200"/>
      <c r="K137" s="199"/>
      <c r="L137" s="200"/>
      <c r="M137" s="200"/>
      <c r="N137" s="197"/>
    </row>
    <row r="138" spans="1:14">
      <c r="A138" s="262"/>
      <c r="B138" s="262"/>
      <c r="C138" s="197">
        <v>47</v>
      </c>
      <c r="D138" s="262"/>
      <c r="E138" s="198">
        <v>245.60133400000001</v>
      </c>
      <c r="F138" s="197"/>
      <c r="G138" s="199" t="s">
        <v>369</v>
      </c>
      <c r="H138" s="200"/>
      <c r="I138" s="200"/>
      <c r="J138" s="200"/>
      <c r="K138" s="199"/>
      <c r="L138" s="200"/>
      <c r="M138" s="200"/>
      <c r="N138" s="197"/>
    </row>
    <row r="139" spans="1:14">
      <c r="A139" s="262"/>
      <c r="B139" s="262"/>
      <c r="C139" s="197">
        <v>48</v>
      </c>
      <c r="D139" s="262"/>
      <c r="E139" s="198">
        <v>247.45854199999999</v>
      </c>
      <c r="F139" s="197"/>
      <c r="G139" s="199" t="s">
        <v>370</v>
      </c>
      <c r="H139" s="200"/>
      <c r="I139" s="200"/>
      <c r="J139" s="200"/>
      <c r="K139" s="199"/>
      <c r="L139" s="200"/>
      <c r="M139" s="200"/>
      <c r="N139" s="197"/>
    </row>
    <row r="140" spans="1:14">
      <c r="A140" s="262"/>
      <c r="B140" s="262"/>
      <c r="C140" s="197">
        <v>49</v>
      </c>
      <c r="D140" s="261">
        <v>9</v>
      </c>
      <c r="E140" s="198">
        <v>246.73573500000001</v>
      </c>
      <c r="F140" s="197" t="s">
        <v>227</v>
      </c>
      <c r="G140" s="199" t="s">
        <v>371</v>
      </c>
      <c r="H140" s="200">
        <v>0.42499999999999999</v>
      </c>
      <c r="I140" s="200">
        <v>0.99</v>
      </c>
      <c r="J140" s="200">
        <v>0.51500000000000001</v>
      </c>
      <c r="K140" s="199" t="s">
        <v>229</v>
      </c>
      <c r="L140" s="200"/>
      <c r="M140" s="200"/>
      <c r="N140" s="197"/>
    </row>
    <row r="141" spans="1:14">
      <c r="A141" s="262"/>
      <c r="B141" s="262"/>
      <c r="C141" s="197">
        <v>50</v>
      </c>
      <c r="D141" s="262"/>
      <c r="E141" s="198">
        <v>246.29738599999999</v>
      </c>
      <c r="F141" s="197"/>
      <c r="G141" s="199" t="s">
        <v>372</v>
      </c>
      <c r="H141" s="200"/>
      <c r="I141" s="200"/>
      <c r="J141" s="200"/>
      <c r="K141" s="199"/>
      <c r="L141" s="200"/>
      <c r="M141" s="200"/>
      <c r="N141" s="197"/>
    </row>
    <row r="142" spans="1:14">
      <c r="A142" s="262"/>
      <c r="B142" s="262"/>
      <c r="C142" s="197">
        <v>51</v>
      </c>
      <c r="D142" s="262"/>
      <c r="E142" s="198">
        <v>318.09858300000002</v>
      </c>
      <c r="F142" s="197"/>
      <c r="G142" s="199" t="s">
        <v>373</v>
      </c>
      <c r="H142" s="200"/>
      <c r="I142" s="200"/>
      <c r="J142" s="200"/>
      <c r="K142" s="199"/>
      <c r="L142" s="200"/>
      <c r="M142" s="200"/>
      <c r="N142" s="197"/>
    </row>
    <row r="143" spans="1:14">
      <c r="A143" s="262"/>
      <c r="B143" s="262"/>
      <c r="C143" s="197">
        <v>52</v>
      </c>
      <c r="D143" s="262"/>
      <c r="E143" s="198">
        <v>328.09000800000001</v>
      </c>
      <c r="F143" s="197"/>
      <c r="G143" s="199" t="s">
        <v>374</v>
      </c>
      <c r="H143" s="200"/>
      <c r="I143" s="200"/>
      <c r="J143" s="200"/>
      <c r="K143" s="199"/>
      <c r="L143" s="200"/>
      <c r="M143" s="200"/>
      <c r="N143" s="197"/>
    </row>
    <row r="144" spans="1:14">
      <c r="A144" s="262"/>
      <c r="B144" s="262"/>
      <c r="C144" s="197">
        <v>53</v>
      </c>
      <c r="D144" s="262"/>
      <c r="E144" s="198">
        <v>328.579137</v>
      </c>
      <c r="F144" s="197"/>
      <c r="G144" s="199" t="s">
        <v>375</v>
      </c>
      <c r="H144" s="200"/>
      <c r="I144" s="200"/>
      <c r="J144" s="200"/>
      <c r="K144" s="199"/>
      <c r="L144" s="200"/>
      <c r="M144" s="200"/>
      <c r="N144" s="197"/>
    </row>
    <row r="145" spans="1:14">
      <c r="A145" s="262"/>
      <c r="B145" s="262"/>
      <c r="C145" s="197">
        <v>54</v>
      </c>
      <c r="D145" s="262"/>
      <c r="E145" s="198">
        <v>328.57271400000002</v>
      </c>
      <c r="F145" s="197"/>
      <c r="G145" s="199" t="s">
        <v>376</v>
      </c>
      <c r="H145" s="200"/>
      <c r="I145" s="200"/>
      <c r="J145" s="200"/>
      <c r="K145" s="199"/>
      <c r="L145" s="200"/>
      <c r="M145" s="200"/>
      <c r="N145" s="197"/>
    </row>
    <row r="146" spans="1:14">
      <c r="A146" s="262"/>
      <c r="B146" s="262"/>
      <c r="C146" s="197">
        <v>55</v>
      </c>
      <c r="D146" s="261">
        <v>10</v>
      </c>
      <c r="E146" s="198">
        <v>244.569861</v>
      </c>
      <c r="F146" s="197" t="s">
        <v>227</v>
      </c>
      <c r="G146" s="199" t="s">
        <v>377</v>
      </c>
      <c r="H146" s="200">
        <v>0.435</v>
      </c>
      <c r="I146" s="200">
        <v>1.0049999999999999</v>
      </c>
      <c r="J146" s="200">
        <v>0.51500000000000001</v>
      </c>
      <c r="K146" s="199" t="s">
        <v>229</v>
      </c>
      <c r="L146" s="200"/>
      <c r="M146" s="200"/>
      <c r="N146" s="197"/>
    </row>
    <row r="147" spans="1:14">
      <c r="A147" s="262"/>
      <c r="B147" s="262"/>
      <c r="C147" s="197">
        <v>56</v>
      </c>
      <c r="D147" s="262"/>
      <c r="E147" s="198">
        <v>245.05889099999999</v>
      </c>
      <c r="F147" s="197"/>
      <c r="G147" s="199" t="s">
        <v>378</v>
      </c>
      <c r="H147" s="200"/>
      <c r="I147" s="200"/>
      <c r="J147" s="200"/>
      <c r="K147" s="199"/>
      <c r="L147" s="200"/>
      <c r="M147" s="200"/>
      <c r="N147" s="197"/>
    </row>
    <row r="148" spans="1:14">
      <c r="A148" s="262"/>
      <c r="B148" s="262"/>
      <c r="C148" s="197">
        <v>57</v>
      </c>
      <c r="D148" s="262"/>
      <c r="E148" s="198">
        <v>244.81499199999999</v>
      </c>
      <c r="F148" s="197"/>
      <c r="G148" s="199" t="s">
        <v>379</v>
      </c>
      <c r="H148" s="200"/>
      <c r="I148" s="200"/>
      <c r="J148" s="200"/>
      <c r="K148" s="199"/>
      <c r="L148" s="200"/>
      <c r="M148" s="200"/>
      <c r="N148" s="197"/>
    </row>
    <row r="149" spans="1:14">
      <c r="A149" s="262"/>
      <c r="B149" s="262"/>
      <c r="C149" s="197">
        <v>58</v>
      </c>
      <c r="D149" s="261">
        <v>11</v>
      </c>
      <c r="E149" s="198">
        <v>235.57692</v>
      </c>
      <c r="F149" s="197" t="s">
        <v>227</v>
      </c>
      <c r="G149" s="199" t="s">
        <v>380</v>
      </c>
      <c r="H149" s="200">
        <v>0.47</v>
      </c>
      <c r="I149" s="200">
        <v>0.99</v>
      </c>
      <c r="J149" s="200">
        <v>0.42</v>
      </c>
      <c r="K149" s="199" t="s">
        <v>229</v>
      </c>
      <c r="L149" s="200"/>
      <c r="M149" s="200"/>
      <c r="N149" s="197"/>
    </row>
    <row r="150" spans="1:14">
      <c r="A150" s="262"/>
      <c r="B150" s="262"/>
      <c r="C150" s="197">
        <v>59</v>
      </c>
      <c r="D150" s="262"/>
      <c r="E150" s="198">
        <v>489.52700800000002</v>
      </c>
      <c r="F150" s="197"/>
      <c r="G150" s="199" t="s">
        <v>381</v>
      </c>
      <c r="H150" s="200"/>
      <c r="I150" s="200"/>
      <c r="J150" s="200"/>
      <c r="K150" s="199"/>
      <c r="L150" s="200"/>
      <c r="M150" s="200"/>
      <c r="N150" s="197"/>
    </row>
    <row r="151" spans="1:14">
      <c r="A151" s="262"/>
      <c r="B151" s="262"/>
      <c r="C151" s="197">
        <v>60</v>
      </c>
      <c r="D151" s="262"/>
      <c r="E151" s="198">
        <v>491.92913800000002</v>
      </c>
      <c r="F151" s="197"/>
      <c r="G151" s="199" t="s">
        <v>382</v>
      </c>
      <c r="H151" s="200"/>
      <c r="I151" s="200"/>
      <c r="J151" s="200"/>
      <c r="K151" s="199"/>
      <c r="L151" s="200"/>
      <c r="M151" s="200"/>
      <c r="N151" s="197"/>
    </row>
    <row r="152" spans="1:14">
      <c r="A152" s="262"/>
      <c r="B152" s="262"/>
      <c r="C152" s="197">
        <v>61</v>
      </c>
      <c r="D152" s="262"/>
      <c r="E152" s="198">
        <v>489.284899</v>
      </c>
      <c r="F152" s="197"/>
      <c r="G152" s="199" t="s">
        <v>383</v>
      </c>
      <c r="H152" s="200"/>
      <c r="I152" s="200"/>
      <c r="J152" s="200"/>
      <c r="K152" s="199"/>
      <c r="L152" s="200"/>
      <c r="M152" s="200"/>
      <c r="N152" s="197"/>
    </row>
    <row r="153" spans="1:14">
      <c r="A153" s="262"/>
      <c r="B153" s="262"/>
      <c r="C153" s="197">
        <v>62</v>
      </c>
      <c r="D153" s="261">
        <v>12</v>
      </c>
      <c r="E153" s="198">
        <v>316.84702099999998</v>
      </c>
      <c r="F153" s="197" t="s">
        <v>227</v>
      </c>
      <c r="G153" s="199" t="s">
        <v>384</v>
      </c>
      <c r="H153" s="200">
        <v>0.44</v>
      </c>
      <c r="I153" s="200">
        <v>1</v>
      </c>
      <c r="J153" s="200">
        <v>0.495</v>
      </c>
      <c r="K153" s="199" t="s">
        <v>229</v>
      </c>
      <c r="L153" s="200"/>
      <c r="M153" s="200"/>
      <c r="N153" s="197"/>
    </row>
    <row r="154" spans="1:14">
      <c r="A154" s="262"/>
      <c r="B154" s="262"/>
      <c r="C154" s="197">
        <v>63</v>
      </c>
      <c r="D154" s="262"/>
      <c r="E154" s="198">
        <v>0</v>
      </c>
      <c r="F154" s="197" t="s">
        <v>227</v>
      </c>
      <c r="G154" s="199" t="s">
        <v>385</v>
      </c>
      <c r="H154" s="200"/>
      <c r="I154" s="200"/>
      <c r="J154" s="200"/>
      <c r="K154" s="199"/>
      <c r="L154" s="200"/>
      <c r="M154" s="200"/>
      <c r="N154" s="197"/>
    </row>
    <row r="155" spans="1:14">
      <c r="A155" s="262"/>
      <c r="B155" s="262"/>
      <c r="C155" s="197">
        <v>64</v>
      </c>
      <c r="D155" s="262"/>
      <c r="E155" s="198">
        <v>0</v>
      </c>
      <c r="F155" s="197" t="s">
        <v>227</v>
      </c>
      <c r="G155" s="199" t="s">
        <v>386</v>
      </c>
      <c r="H155" s="200"/>
      <c r="I155" s="200"/>
      <c r="J155" s="200"/>
      <c r="K155" s="199"/>
      <c r="L155" s="200"/>
      <c r="M155" s="200"/>
      <c r="N155" s="197"/>
    </row>
    <row r="156" spans="1:14">
      <c r="A156" s="262"/>
      <c r="B156" s="262"/>
      <c r="C156" s="197">
        <v>65</v>
      </c>
      <c r="D156" s="262"/>
      <c r="E156" s="198">
        <v>329.10199299999999</v>
      </c>
      <c r="F156" s="197"/>
      <c r="G156" s="199" t="s">
        <v>387</v>
      </c>
      <c r="H156" s="200"/>
      <c r="I156" s="200"/>
      <c r="J156" s="200"/>
      <c r="K156" s="199"/>
      <c r="L156" s="200"/>
      <c r="M156" s="200"/>
      <c r="N156" s="197"/>
    </row>
    <row r="157" spans="1:14">
      <c r="A157" s="262"/>
      <c r="B157" s="262"/>
      <c r="C157" s="197">
        <v>66</v>
      </c>
      <c r="D157" s="262"/>
      <c r="E157" s="198">
        <v>329.29529700000001</v>
      </c>
      <c r="F157" s="197"/>
      <c r="G157" s="199" t="s">
        <v>388</v>
      </c>
      <c r="H157" s="200"/>
      <c r="I157" s="200"/>
      <c r="J157" s="200"/>
      <c r="K157" s="199"/>
      <c r="L157" s="200"/>
      <c r="M157" s="200"/>
      <c r="N157" s="197"/>
    </row>
    <row r="158" spans="1:14">
      <c r="A158" s="262"/>
      <c r="B158" s="262"/>
      <c r="C158" s="197">
        <v>67</v>
      </c>
      <c r="D158" s="262"/>
      <c r="E158" s="198">
        <v>329.57671399999998</v>
      </c>
      <c r="F158" s="197"/>
      <c r="G158" s="199" t="s">
        <v>389</v>
      </c>
      <c r="H158" s="200"/>
      <c r="I158" s="200"/>
      <c r="J158" s="200"/>
      <c r="K158" s="199"/>
      <c r="L158" s="200"/>
      <c r="M158" s="200"/>
      <c r="N158" s="197"/>
    </row>
    <row r="159" spans="1:14">
      <c r="A159" s="262"/>
      <c r="B159" s="262"/>
      <c r="C159" s="197">
        <v>68</v>
      </c>
      <c r="D159" s="262"/>
      <c r="E159" s="198">
        <v>329.51296100000002</v>
      </c>
      <c r="F159" s="197"/>
      <c r="G159" s="199" t="s">
        <v>390</v>
      </c>
      <c r="H159" s="200"/>
      <c r="I159" s="200"/>
      <c r="J159" s="200"/>
      <c r="K159" s="199"/>
      <c r="L159" s="200"/>
      <c r="M159" s="200"/>
      <c r="N159" s="197"/>
    </row>
    <row r="160" spans="1:14">
      <c r="A160" s="262"/>
      <c r="B160" s="262"/>
      <c r="C160" s="197">
        <v>69</v>
      </c>
      <c r="D160" s="262"/>
      <c r="E160" s="198">
        <v>328.75245999999999</v>
      </c>
      <c r="F160" s="197"/>
      <c r="G160" s="199" t="s">
        <v>391</v>
      </c>
      <c r="H160" s="200"/>
      <c r="I160" s="200"/>
      <c r="J160" s="200"/>
      <c r="K160" s="199"/>
      <c r="L160" s="200"/>
      <c r="M160" s="200"/>
      <c r="N160" s="197"/>
    </row>
    <row r="161" spans="1:14">
      <c r="A161" s="262"/>
      <c r="B161" s="262"/>
      <c r="C161" s="197">
        <v>70</v>
      </c>
      <c r="D161" s="262"/>
      <c r="E161" s="198">
        <v>329.03470900000002</v>
      </c>
      <c r="F161" s="197"/>
      <c r="G161" s="199" t="s">
        <v>392</v>
      </c>
      <c r="H161" s="200"/>
      <c r="I161" s="200"/>
      <c r="J161" s="200"/>
      <c r="K161" s="199"/>
      <c r="L161" s="200"/>
      <c r="M161" s="200"/>
      <c r="N161" s="197"/>
    </row>
    <row r="162" spans="1:14">
      <c r="A162" s="262"/>
      <c r="B162" s="262"/>
      <c r="C162" s="197">
        <v>71</v>
      </c>
      <c r="D162" s="262"/>
      <c r="E162" s="198">
        <v>330.12233199999997</v>
      </c>
      <c r="F162" s="197"/>
      <c r="G162" s="199" t="s">
        <v>393</v>
      </c>
      <c r="H162" s="200"/>
      <c r="I162" s="200"/>
      <c r="J162" s="200"/>
      <c r="K162" s="199"/>
      <c r="L162" s="200"/>
      <c r="M162" s="200"/>
      <c r="N162" s="197"/>
    </row>
    <row r="163" spans="1:14">
      <c r="A163" s="262"/>
      <c r="B163" s="262"/>
      <c r="C163" s="197">
        <v>72</v>
      </c>
      <c r="D163" s="262"/>
      <c r="E163" s="198">
        <v>343.09937200000002</v>
      </c>
      <c r="F163" s="197"/>
      <c r="G163" s="199" t="s">
        <v>394</v>
      </c>
      <c r="H163" s="200"/>
      <c r="I163" s="200"/>
      <c r="J163" s="200"/>
      <c r="K163" s="199"/>
      <c r="L163" s="200"/>
      <c r="M163" s="200"/>
      <c r="N163" s="197"/>
    </row>
    <row r="164" spans="1:14">
      <c r="A164" s="262"/>
      <c r="B164" s="262"/>
      <c r="C164" s="197">
        <v>73</v>
      </c>
      <c r="D164" s="261">
        <v>13</v>
      </c>
      <c r="E164" s="198">
        <v>362.66449</v>
      </c>
      <c r="F164" s="197" t="s">
        <v>227</v>
      </c>
      <c r="G164" s="199" t="s">
        <v>395</v>
      </c>
      <c r="H164" s="200">
        <v>0.44</v>
      </c>
      <c r="I164" s="200">
        <v>1</v>
      </c>
      <c r="J164" s="200">
        <v>0.51</v>
      </c>
      <c r="K164" s="199" t="s">
        <v>229</v>
      </c>
      <c r="L164" s="200"/>
      <c r="M164" s="200"/>
      <c r="N164" s="197"/>
    </row>
    <row r="165" spans="1:14">
      <c r="A165" s="262"/>
      <c r="B165" s="262"/>
      <c r="C165" s="197">
        <v>74</v>
      </c>
      <c r="D165" s="262"/>
      <c r="E165" s="198">
        <v>364.93902600000001</v>
      </c>
      <c r="F165" s="197"/>
      <c r="G165" s="199" t="s">
        <v>396</v>
      </c>
      <c r="H165" s="200"/>
      <c r="I165" s="200"/>
      <c r="J165" s="200"/>
      <c r="K165" s="199"/>
      <c r="L165" s="200"/>
      <c r="M165" s="200"/>
      <c r="N165" s="197"/>
    </row>
    <row r="166" spans="1:14">
      <c r="A166" s="262"/>
      <c r="B166" s="262"/>
      <c r="C166" s="197">
        <v>75</v>
      </c>
      <c r="D166" s="262"/>
      <c r="E166" s="198">
        <v>490.721227</v>
      </c>
      <c r="F166" s="197"/>
      <c r="G166" s="199" t="s">
        <v>397</v>
      </c>
      <c r="H166" s="200"/>
      <c r="I166" s="200"/>
      <c r="J166" s="200"/>
      <c r="K166" s="199"/>
      <c r="L166" s="200"/>
      <c r="M166" s="200"/>
      <c r="N166" s="197"/>
    </row>
    <row r="167" spans="1:14">
      <c r="A167" s="262"/>
      <c r="B167" s="262"/>
      <c r="C167" s="197">
        <v>76</v>
      </c>
      <c r="D167" s="261">
        <v>14</v>
      </c>
      <c r="E167" s="198">
        <v>328.26466699999997</v>
      </c>
      <c r="F167" s="197" t="s">
        <v>227</v>
      </c>
      <c r="G167" s="199" t="s">
        <v>398</v>
      </c>
      <c r="H167" s="200">
        <v>0.44</v>
      </c>
      <c r="I167" s="200">
        <v>1</v>
      </c>
      <c r="J167" s="200">
        <v>0.505</v>
      </c>
      <c r="K167" s="199" t="s">
        <v>229</v>
      </c>
      <c r="L167" s="200"/>
      <c r="M167" s="200"/>
      <c r="N167" s="197"/>
    </row>
    <row r="168" spans="1:14">
      <c r="A168" s="262"/>
      <c r="B168" s="262"/>
      <c r="C168" s="197">
        <v>77</v>
      </c>
      <c r="D168" s="262"/>
      <c r="E168" s="198">
        <v>327.53340800000001</v>
      </c>
      <c r="F168" s="197"/>
      <c r="G168" s="199" t="s">
        <v>399</v>
      </c>
      <c r="H168" s="200"/>
      <c r="I168" s="200"/>
      <c r="J168" s="200"/>
      <c r="K168" s="199"/>
      <c r="L168" s="200"/>
      <c r="M168" s="200"/>
      <c r="N168" s="197"/>
    </row>
    <row r="169" spans="1:14">
      <c r="A169" s="262"/>
      <c r="B169" s="262"/>
      <c r="C169" s="197">
        <v>78</v>
      </c>
      <c r="D169" s="262"/>
      <c r="E169" s="198">
        <v>327.74850400000003</v>
      </c>
      <c r="F169" s="197"/>
      <c r="G169" s="199" t="s">
        <v>400</v>
      </c>
      <c r="H169" s="200"/>
      <c r="I169" s="200"/>
      <c r="J169" s="200"/>
      <c r="K169" s="199"/>
      <c r="L169" s="200"/>
      <c r="M169" s="200"/>
      <c r="N169" s="197"/>
    </row>
    <row r="170" spans="1:14">
      <c r="A170" s="262"/>
      <c r="B170" s="262"/>
      <c r="C170" s="197">
        <v>79</v>
      </c>
      <c r="D170" s="261">
        <v>15</v>
      </c>
      <c r="E170" s="198">
        <v>0</v>
      </c>
      <c r="F170" s="197" t="s">
        <v>227</v>
      </c>
      <c r="G170" s="199" t="s">
        <v>401</v>
      </c>
      <c r="H170" s="200">
        <v>0.44500000000000001</v>
      </c>
      <c r="I170" s="200">
        <v>1.01</v>
      </c>
      <c r="J170" s="200">
        <v>0.505</v>
      </c>
      <c r="K170" s="199" t="s">
        <v>229</v>
      </c>
      <c r="L170" s="200"/>
      <c r="M170" s="200"/>
      <c r="N170" s="197"/>
    </row>
    <row r="171" spans="1:14">
      <c r="A171" s="262"/>
      <c r="B171" s="262"/>
      <c r="C171" s="197">
        <v>80</v>
      </c>
      <c r="D171" s="262"/>
      <c r="E171" s="198">
        <v>244.34333000000001</v>
      </c>
      <c r="F171" s="197"/>
      <c r="G171" s="199" t="s">
        <v>402</v>
      </c>
      <c r="H171" s="200"/>
      <c r="I171" s="200"/>
      <c r="J171" s="200"/>
      <c r="K171" s="199"/>
      <c r="L171" s="200"/>
      <c r="M171" s="200"/>
      <c r="N171" s="197"/>
    </row>
    <row r="172" spans="1:14">
      <c r="A172" s="262"/>
      <c r="B172" s="262"/>
      <c r="C172" s="197">
        <v>81</v>
      </c>
      <c r="D172" s="262"/>
      <c r="E172" s="198">
        <v>0</v>
      </c>
      <c r="F172" s="197" t="s">
        <v>227</v>
      </c>
      <c r="G172" s="199" t="s">
        <v>403</v>
      </c>
      <c r="H172" s="200"/>
      <c r="I172" s="200"/>
      <c r="J172" s="200"/>
      <c r="K172" s="199"/>
      <c r="L172" s="200"/>
      <c r="M172" s="200"/>
      <c r="N172" s="197"/>
    </row>
    <row r="173" spans="1:14">
      <c r="A173" s="262"/>
      <c r="B173" s="262"/>
      <c r="C173" s="197">
        <v>82</v>
      </c>
      <c r="D173" s="262"/>
      <c r="E173" s="198">
        <v>0</v>
      </c>
      <c r="F173" s="197" t="s">
        <v>227</v>
      </c>
      <c r="G173" s="199" t="s">
        <v>404</v>
      </c>
      <c r="H173" s="200"/>
      <c r="I173" s="200"/>
      <c r="J173" s="200"/>
      <c r="K173" s="199"/>
      <c r="L173" s="200"/>
      <c r="M173" s="200"/>
      <c r="N173" s="197"/>
    </row>
    <row r="174" spans="1:14">
      <c r="A174" s="262"/>
      <c r="B174" s="262"/>
      <c r="C174" s="197">
        <v>83</v>
      </c>
      <c r="D174" s="262"/>
      <c r="E174" s="198">
        <v>0</v>
      </c>
      <c r="F174" s="197" t="s">
        <v>227</v>
      </c>
      <c r="G174" s="199" t="s">
        <v>405</v>
      </c>
      <c r="H174" s="200"/>
      <c r="I174" s="200"/>
      <c r="J174" s="200"/>
      <c r="K174" s="199"/>
      <c r="L174" s="200"/>
      <c r="M174" s="200"/>
      <c r="N174" s="197"/>
    </row>
    <row r="175" spans="1:14">
      <c r="A175" s="262"/>
      <c r="B175" s="262"/>
      <c r="C175" s="197">
        <v>84</v>
      </c>
      <c r="D175" s="262"/>
      <c r="E175" s="198">
        <v>0</v>
      </c>
      <c r="F175" s="197" t="s">
        <v>227</v>
      </c>
      <c r="G175" s="199" t="s">
        <v>406</v>
      </c>
      <c r="H175" s="200"/>
      <c r="I175" s="200"/>
      <c r="J175" s="200"/>
      <c r="K175" s="199"/>
      <c r="L175" s="200"/>
      <c r="M175" s="200"/>
      <c r="N175" s="197"/>
    </row>
    <row r="176" spans="1:14">
      <c r="A176" s="262"/>
      <c r="B176" s="262"/>
      <c r="C176" s="197">
        <v>85</v>
      </c>
      <c r="D176" s="197">
        <v>16</v>
      </c>
      <c r="E176" s="198">
        <v>0</v>
      </c>
      <c r="F176" s="197" t="s">
        <v>227</v>
      </c>
      <c r="G176" s="199" t="s">
        <v>317</v>
      </c>
      <c r="H176" s="200">
        <v>0.36499999999999999</v>
      </c>
      <c r="I176" s="200">
        <v>0.92500000000000004</v>
      </c>
      <c r="J176" s="200">
        <v>0.45</v>
      </c>
      <c r="K176" s="199" t="s">
        <v>229</v>
      </c>
      <c r="L176" s="200"/>
      <c r="M176" s="200"/>
      <c r="N176" s="197"/>
    </row>
    <row r="177" spans="1:14">
      <c r="A177" s="261" t="s">
        <v>407</v>
      </c>
      <c r="B177" s="261">
        <v>5</v>
      </c>
      <c r="C177" s="197">
        <v>1</v>
      </c>
      <c r="D177" s="261">
        <v>1</v>
      </c>
      <c r="E177" s="198">
        <v>0</v>
      </c>
      <c r="F177" s="197" t="s">
        <v>227</v>
      </c>
      <c r="G177" s="199" t="s">
        <v>228</v>
      </c>
      <c r="H177" s="200">
        <v>0.505</v>
      </c>
      <c r="I177" s="200">
        <v>1.02</v>
      </c>
      <c r="J177" s="200">
        <v>0.48499999999999999</v>
      </c>
      <c r="K177" s="199" t="s">
        <v>408</v>
      </c>
      <c r="L177" s="200">
        <v>8.6610997244864929E-2</v>
      </c>
      <c r="M177" s="200"/>
      <c r="N177" s="197"/>
    </row>
    <row r="178" spans="1:14">
      <c r="A178" s="262"/>
      <c r="B178" s="262"/>
      <c r="C178" s="197">
        <v>2</v>
      </c>
      <c r="D178" s="262"/>
      <c r="E178" s="198">
        <v>0</v>
      </c>
      <c r="F178" s="197" t="s">
        <v>227</v>
      </c>
      <c r="G178" s="199" t="s">
        <v>230</v>
      </c>
      <c r="H178" s="200"/>
      <c r="I178" s="200"/>
      <c r="J178" s="200"/>
      <c r="K178" s="199"/>
      <c r="L178" s="200">
        <v>7.3441489253350492E-2</v>
      </c>
      <c r="M178" s="200"/>
      <c r="N178" s="197"/>
    </row>
    <row r="179" spans="1:14">
      <c r="A179" s="262"/>
      <c r="B179" s="262"/>
      <c r="C179" s="197">
        <v>3</v>
      </c>
      <c r="D179" s="262"/>
      <c r="E179" s="198">
        <v>366.46844199999998</v>
      </c>
      <c r="F179" s="197"/>
      <c r="G179" s="199" t="s">
        <v>409</v>
      </c>
      <c r="H179" s="200"/>
      <c r="I179" s="200"/>
      <c r="J179" s="200"/>
      <c r="K179" s="199"/>
      <c r="L179" s="200">
        <v>2.7823031713851743E-2</v>
      </c>
      <c r="M179" s="200"/>
      <c r="N179" s="197"/>
    </row>
    <row r="180" spans="1:14">
      <c r="A180" s="262"/>
      <c r="B180" s="262"/>
      <c r="C180" s="197">
        <v>4</v>
      </c>
      <c r="D180" s="262"/>
      <c r="E180" s="198">
        <v>368.19464699999997</v>
      </c>
      <c r="F180" s="197"/>
      <c r="G180" s="199" t="s">
        <v>410</v>
      </c>
      <c r="H180" s="200"/>
      <c r="I180" s="200"/>
      <c r="J180" s="200"/>
      <c r="K180" s="199"/>
      <c r="L180" s="200"/>
      <c r="M180" s="200" t="s">
        <v>411</v>
      </c>
      <c r="N180" s="197" t="s">
        <v>412</v>
      </c>
    </row>
    <row r="181" spans="1:14">
      <c r="A181" s="262"/>
      <c r="B181" s="262"/>
      <c r="C181" s="197">
        <v>5</v>
      </c>
      <c r="D181" s="262"/>
      <c r="E181" s="198">
        <v>368.58508999999998</v>
      </c>
      <c r="F181" s="197"/>
      <c r="G181" s="199" t="s">
        <v>413</v>
      </c>
      <c r="H181" s="200"/>
      <c r="I181" s="200"/>
      <c r="J181" s="200"/>
      <c r="K181" s="199"/>
      <c r="L181" s="200"/>
      <c r="M181" s="200"/>
      <c r="N181" s="197"/>
    </row>
    <row r="182" spans="1:14">
      <c r="A182" s="262"/>
      <c r="B182" s="262"/>
      <c r="C182" s="197">
        <v>6</v>
      </c>
      <c r="D182" s="262"/>
      <c r="E182" s="198">
        <v>368.36332700000003</v>
      </c>
      <c r="F182" s="197"/>
      <c r="G182" s="199" t="s">
        <v>414</v>
      </c>
      <c r="H182" s="200"/>
      <c r="I182" s="200"/>
      <c r="J182" s="200"/>
      <c r="K182" s="199"/>
      <c r="L182" s="200"/>
      <c r="M182" s="200"/>
      <c r="N182" s="197"/>
    </row>
    <row r="183" spans="1:14">
      <c r="A183" s="262"/>
      <c r="B183" s="262"/>
      <c r="C183" s="197">
        <v>7</v>
      </c>
      <c r="D183" s="262"/>
      <c r="E183" s="198">
        <v>0</v>
      </c>
      <c r="F183" s="197" t="s">
        <v>227</v>
      </c>
      <c r="G183" s="199" t="s">
        <v>415</v>
      </c>
      <c r="H183" s="200"/>
      <c r="I183" s="200"/>
      <c r="J183" s="200"/>
      <c r="K183" s="199"/>
      <c r="L183" s="200"/>
      <c r="M183" s="200"/>
      <c r="N183" s="197"/>
    </row>
    <row r="184" spans="1:14">
      <c r="A184" s="262"/>
      <c r="B184" s="262"/>
      <c r="C184" s="197">
        <v>8</v>
      </c>
      <c r="D184" s="261">
        <v>2</v>
      </c>
      <c r="E184" s="198">
        <v>489.68800700000003</v>
      </c>
      <c r="F184" s="197"/>
      <c r="G184" s="199" t="s">
        <v>416</v>
      </c>
      <c r="H184" s="200">
        <v>0.48499999999999999</v>
      </c>
      <c r="I184" s="200">
        <v>1.03</v>
      </c>
      <c r="J184" s="200">
        <v>0.49</v>
      </c>
      <c r="K184" s="199" t="s">
        <v>417</v>
      </c>
      <c r="L184" s="200"/>
      <c r="M184" s="200"/>
      <c r="N184" s="197"/>
    </row>
    <row r="185" spans="1:14">
      <c r="A185" s="262"/>
      <c r="B185" s="262"/>
      <c r="C185" s="197">
        <v>9</v>
      </c>
      <c r="D185" s="262"/>
      <c r="E185" s="198">
        <v>488.36849599999999</v>
      </c>
      <c r="F185" s="197"/>
      <c r="G185" s="199" t="s">
        <v>418</v>
      </c>
      <c r="H185" s="200"/>
      <c r="I185" s="200"/>
      <c r="J185" s="200"/>
      <c r="K185" s="199"/>
      <c r="L185" s="200"/>
      <c r="M185" s="200"/>
      <c r="N185" s="197"/>
    </row>
    <row r="186" spans="1:14">
      <c r="A186" s="262"/>
      <c r="B186" s="262"/>
      <c r="C186" s="197">
        <v>10</v>
      </c>
      <c r="D186" s="262"/>
      <c r="E186" s="198">
        <v>489.09591999999998</v>
      </c>
      <c r="F186" s="197"/>
      <c r="G186" s="199" t="s">
        <v>419</v>
      </c>
      <c r="H186" s="200"/>
      <c r="I186" s="200"/>
      <c r="J186" s="200"/>
      <c r="K186" s="199"/>
      <c r="L186" s="200"/>
      <c r="M186" s="200"/>
      <c r="N186" s="197"/>
    </row>
    <row r="187" spans="1:14">
      <c r="A187" s="262"/>
      <c r="B187" s="262"/>
      <c r="C187" s="197">
        <v>11</v>
      </c>
      <c r="D187" s="262"/>
      <c r="E187" s="198">
        <v>485.58936499999999</v>
      </c>
      <c r="F187" s="197"/>
      <c r="G187" s="199" t="s">
        <v>420</v>
      </c>
      <c r="H187" s="200"/>
      <c r="I187" s="200"/>
      <c r="J187" s="200"/>
      <c r="K187" s="199"/>
      <c r="L187" s="200"/>
      <c r="M187" s="200"/>
      <c r="N187" s="197"/>
    </row>
    <row r="188" spans="1:14">
      <c r="A188" s="262"/>
      <c r="B188" s="262"/>
      <c r="C188" s="197">
        <v>12</v>
      </c>
      <c r="D188" s="261">
        <v>3</v>
      </c>
      <c r="E188" s="198">
        <v>363.53167999999999</v>
      </c>
      <c r="F188" s="197" t="s">
        <v>227</v>
      </c>
      <c r="G188" s="199" t="s">
        <v>421</v>
      </c>
      <c r="H188" s="200">
        <v>0.44</v>
      </c>
      <c r="I188" s="200">
        <v>1.0049999999999999</v>
      </c>
      <c r="J188" s="200">
        <v>0.505</v>
      </c>
      <c r="K188" s="199" t="s">
        <v>408</v>
      </c>
      <c r="L188" s="200"/>
      <c r="M188" s="200"/>
      <c r="N188" s="197"/>
    </row>
    <row r="189" spans="1:14">
      <c r="A189" s="262"/>
      <c r="B189" s="262"/>
      <c r="C189" s="197">
        <v>13</v>
      </c>
      <c r="D189" s="262"/>
      <c r="E189" s="198">
        <v>366.40114399999999</v>
      </c>
      <c r="F189" s="197"/>
      <c r="G189" s="199" t="s">
        <v>422</v>
      </c>
      <c r="H189" s="200"/>
      <c r="I189" s="200"/>
      <c r="J189" s="200"/>
      <c r="K189" s="199"/>
      <c r="L189" s="200"/>
      <c r="M189" s="200"/>
      <c r="N189" s="197"/>
    </row>
    <row r="190" spans="1:14">
      <c r="A190" s="262"/>
      <c r="B190" s="262"/>
      <c r="C190" s="197">
        <v>14</v>
      </c>
      <c r="D190" s="262"/>
      <c r="E190" s="198">
        <v>366.36323499999997</v>
      </c>
      <c r="F190" s="197"/>
      <c r="G190" s="199" t="s">
        <v>423</v>
      </c>
      <c r="H190" s="200"/>
      <c r="I190" s="200"/>
      <c r="J190" s="200"/>
      <c r="K190" s="199"/>
      <c r="L190" s="200"/>
      <c r="M190" s="200"/>
      <c r="N190" s="197"/>
    </row>
    <row r="191" spans="1:14">
      <c r="A191" s="262"/>
      <c r="B191" s="262"/>
      <c r="C191" s="197">
        <v>15</v>
      </c>
      <c r="D191" s="261">
        <v>4</v>
      </c>
      <c r="E191" s="198">
        <v>366.944031</v>
      </c>
      <c r="F191" s="197" t="s">
        <v>227</v>
      </c>
      <c r="G191" s="199" t="s">
        <v>424</v>
      </c>
      <c r="H191" s="200">
        <v>0.37</v>
      </c>
      <c r="I191" s="200">
        <v>0.98</v>
      </c>
      <c r="J191" s="200">
        <v>0.45500000000000002</v>
      </c>
      <c r="K191" s="199" t="s">
        <v>229</v>
      </c>
      <c r="L191" s="200"/>
      <c r="M191" s="200"/>
      <c r="N191" s="197"/>
    </row>
    <row r="192" spans="1:14">
      <c r="A192" s="262"/>
      <c r="B192" s="262"/>
      <c r="C192" s="197">
        <v>16</v>
      </c>
      <c r="D192" s="262"/>
      <c r="E192" s="198">
        <v>366.48199499999998</v>
      </c>
      <c r="F192" s="197"/>
      <c r="G192" s="199" t="s">
        <v>425</v>
      </c>
      <c r="H192" s="200"/>
      <c r="I192" s="200"/>
      <c r="J192" s="200"/>
      <c r="K192" s="199"/>
      <c r="L192" s="200"/>
      <c r="M192" s="200"/>
      <c r="N192" s="197"/>
    </row>
    <row r="193" spans="1:14">
      <c r="A193" s="262"/>
      <c r="B193" s="262"/>
      <c r="C193" s="197">
        <v>17</v>
      </c>
      <c r="D193" s="262"/>
      <c r="E193" s="198">
        <v>366.77488499999998</v>
      </c>
      <c r="F193" s="197"/>
      <c r="G193" s="199" t="s">
        <v>426</v>
      </c>
      <c r="H193" s="200"/>
      <c r="I193" s="200"/>
      <c r="J193" s="200"/>
      <c r="K193" s="199"/>
      <c r="L193" s="200"/>
      <c r="M193" s="200"/>
      <c r="N193" s="197"/>
    </row>
    <row r="194" spans="1:14">
      <c r="A194" s="262"/>
      <c r="B194" s="262"/>
      <c r="C194" s="197">
        <v>18</v>
      </c>
      <c r="D194" s="262"/>
      <c r="E194" s="198">
        <v>367.00167699999997</v>
      </c>
      <c r="F194" s="197"/>
      <c r="G194" s="199" t="s">
        <v>427</v>
      </c>
      <c r="H194" s="200"/>
      <c r="I194" s="200"/>
      <c r="J194" s="200"/>
      <c r="K194" s="199"/>
      <c r="L194" s="200"/>
      <c r="M194" s="200"/>
      <c r="N194" s="197"/>
    </row>
    <row r="195" spans="1:14">
      <c r="A195" s="262"/>
      <c r="B195" s="262"/>
      <c r="C195" s="197">
        <v>19</v>
      </c>
      <c r="D195" s="262"/>
      <c r="E195" s="198">
        <v>366.81851599999999</v>
      </c>
      <c r="F195" s="197"/>
      <c r="G195" s="199" t="s">
        <v>428</v>
      </c>
      <c r="H195" s="200"/>
      <c r="I195" s="200"/>
      <c r="J195" s="200"/>
      <c r="K195" s="199"/>
      <c r="L195" s="200"/>
      <c r="M195" s="200"/>
      <c r="N195" s="197"/>
    </row>
    <row r="196" spans="1:14">
      <c r="A196" s="262"/>
      <c r="B196" s="262"/>
      <c r="C196" s="197">
        <v>20</v>
      </c>
      <c r="D196" s="262"/>
      <c r="E196" s="198">
        <v>366.87135599999999</v>
      </c>
      <c r="F196" s="197"/>
      <c r="G196" s="199" t="s">
        <v>429</v>
      </c>
      <c r="H196" s="200"/>
      <c r="I196" s="200"/>
      <c r="J196" s="200"/>
      <c r="K196" s="199"/>
      <c r="L196" s="200"/>
      <c r="M196" s="200"/>
      <c r="N196" s="197"/>
    </row>
    <row r="197" spans="1:14">
      <c r="A197" s="262"/>
      <c r="B197" s="262"/>
      <c r="C197" s="197">
        <v>21</v>
      </c>
      <c r="D197" s="262"/>
      <c r="E197" s="198">
        <v>366.92325</v>
      </c>
      <c r="F197" s="197"/>
      <c r="G197" s="199" t="s">
        <v>430</v>
      </c>
      <c r="H197" s="200"/>
      <c r="I197" s="200"/>
      <c r="J197" s="200"/>
      <c r="K197" s="199"/>
      <c r="L197" s="200"/>
      <c r="M197" s="200"/>
      <c r="N197" s="197"/>
    </row>
    <row r="198" spans="1:14">
      <c r="A198" s="262"/>
      <c r="B198" s="262"/>
      <c r="C198" s="197">
        <v>22</v>
      </c>
      <c r="D198" s="262"/>
      <c r="E198" s="198">
        <v>366.89914299999998</v>
      </c>
      <c r="F198" s="197"/>
      <c r="G198" s="199" t="s">
        <v>431</v>
      </c>
      <c r="H198" s="200"/>
      <c r="I198" s="200"/>
      <c r="J198" s="200"/>
      <c r="K198" s="199"/>
      <c r="L198" s="200"/>
      <c r="M198" s="200"/>
      <c r="N198" s="197"/>
    </row>
    <row r="199" spans="1:14">
      <c r="A199" s="262"/>
      <c r="B199" s="262"/>
      <c r="C199" s="197">
        <v>23</v>
      </c>
      <c r="D199" s="262"/>
      <c r="E199" s="198">
        <v>367.5</v>
      </c>
      <c r="F199" s="197"/>
      <c r="G199" s="199" t="s">
        <v>432</v>
      </c>
      <c r="H199" s="200"/>
      <c r="I199" s="200"/>
      <c r="J199" s="200"/>
      <c r="K199" s="199"/>
      <c r="L199" s="200"/>
      <c r="M199" s="200"/>
      <c r="N199" s="197"/>
    </row>
    <row r="200" spans="1:14">
      <c r="A200" s="262"/>
      <c r="B200" s="262"/>
      <c r="C200" s="197">
        <v>24</v>
      </c>
      <c r="D200" s="261">
        <v>5</v>
      </c>
      <c r="E200" s="198">
        <v>368.52368200000001</v>
      </c>
      <c r="F200" s="197" t="s">
        <v>227</v>
      </c>
      <c r="G200" s="199" t="s">
        <v>433</v>
      </c>
      <c r="H200" s="200">
        <v>0.44500000000000001</v>
      </c>
      <c r="I200" s="200">
        <v>1.01</v>
      </c>
      <c r="J200" s="200">
        <v>0.51500000000000001</v>
      </c>
      <c r="K200" s="199" t="s">
        <v>417</v>
      </c>
      <c r="L200" s="200"/>
      <c r="M200" s="200"/>
      <c r="N200" s="197"/>
    </row>
    <row r="201" spans="1:14">
      <c r="A201" s="262"/>
      <c r="B201" s="262"/>
      <c r="C201" s="197">
        <v>25</v>
      </c>
      <c r="D201" s="262"/>
      <c r="E201" s="198">
        <v>367.82266199999998</v>
      </c>
      <c r="F201" s="197"/>
      <c r="G201" s="199" t="s">
        <v>434</v>
      </c>
      <c r="H201" s="200"/>
      <c r="I201" s="200"/>
      <c r="J201" s="200"/>
      <c r="K201" s="199"/>
      <c r="L201" s="200"/>
      <c r="M201" s="200"/>
      <c r="N201" s="197"/>
    </row>
    <row r="202" spans="1:14">
      <c r="A202" s="262"/>
      <c r="B202" s="262"/>
      <c r="C202" s="197">
        <v>26</v>
      </c>
      <c r="D202" s="262"/>
      <c r="E202" s="198">
        <v>367.17666700000001</v>
      </c>
      <c r="F202" s="197"/>
      <c r="G202" s="199" t="s">
        <v>435</v>
      </c>
      <c r="H202" s="200"/>
      <c r="I202" s="200"/>
      <c r="J202" s="200"/>
      <c r="K202" s="199"/>
      <c r="L202" s="200"/>
      <c r="M202" s="200"/>
      <c r="N202" s="197"/>
    </row>
    <row r="203" spans="1:14">
      <c r="A203" s="262"/>
      <c r="B203" s="262"/>
      <c r="C203" s="197">
        <v>27</v>
      </c>
      <c r="D203" s="261">
        <v>6</v>
      </c>
      <c r="E203" s="198">
        <v>365.80641200000002</v>
      </c>
      <c r="F203" s="197" t="s">
        <v>227</v>
      </c>
      <c r="G203" s="199" t="s">
        <v>436</v>
      </c>
      <c r="H203" s="200">
        <v>0.61</v>
      </c>
      <c r="I203" s="200">
        <v>1.17</v>
      </c>
      <c r="J203" s="200">
        <v>0.505</v>
      </c>
      <c r="K203" s="199" t="s">
        <v>417</v>
      </c>
      <c r="L203" s="200"/>
      <c r="M203" s="200"/>
      <c r="N203" s="197"/>
    </row>
    <row r="204" spans="1:14">
      <c r="A204" s="262"/>
      <c r="B204" s="262"/>
      <c r="C204" s="197">
        <v>28</v>
      </c>
      <c r="D204" s="262"/>
      <c r="E204" s="198">
        <v>329.20869800000003</v>
      </c>
      <c r="F204" s="197"/>
      <c r="G204" s="199" t="s">
        <v>437</v>
      </c>
      <c r="H204" s="200"/>
      <c r="I204" s="200"/>
      <c r="J204" s="200"/>
      <c r="K204" s="199"/>
      <c r="L204" s="200"/>
      <c r="M204" s="200"/>
      <c r="N204" s="197"/>
    </row>
    <row r="205" spans="1:14">
      <c r="A205" s="262"/>
      <c r="B205" s="262"/>
      <c r="C205" s="197">
        <v>29</v>
      </c>
      <c r="D205" s="262"/>
      <c r="E205" s="198">
        <v>327.13650100000001</v>
      </c>
      <c r="F205" s="197"/>
      <c r="G205" s="199" t="s">
        <v>438</v>
      </c>
      <c r="H205" s="200"/>
      <c r="I205" s="200"/>
      <c r="J205" s="200"/>
      <c r="K205" s="199"/>
      <c r="L205" s="200"/>
      <c r="M205" s="200"/>
      <c r="N205" s="197"/>
    </row>
    <row r="206" spans="1:14">
      <c r="A206" s="262"/>
      <c r="B206" s="262"/>
      <c r="C206" s="197">
        <v>30</v>
      </c>
      <c r="D206" s="262"/>
      <c r="E206" s="198">
        <v>327.82053000000002</v>
      </c>
      <c r="F206" s="197"/>
      <c r="G206" s="199" t="s">
        <v>439</v>
      </c>
      <c r="H206" s="200"/>
      <c r="I206" s="200"/>
      <c r="J206" s="200"/>
      <c r="K206" s="199"/>
      <c r="L206" s="200"/>
      <c r="M206" s="200"/>
      <c r="N206" s="197"/>
    </row>
    <row r="207" spans="1:14">
      <c r="A207" s="262"/>
      <c r="B207" s="262"/>
      <c r="C207" s="197">
        <v>31</v>
      </c>
      <c r="D207" s="261">
        <v>7</v>
      </c>
      <c r="E207" s="198">
        <v>408.33334400000001</v>
      </c>
      <c r="F207" s="197" t="s">
        <v>227</v>
      </c>
      <c r="G207" s="199" t="s">
        <v>440</v>
      </c>
      <c r="H207" s="200">
        <v>0.42</v>
      </c>
      <c r="I207" s="200">
        <v>1.01</v>
      </c>
      <c r="J207" s="200">
        <v>0.51</v>
      </c>
      <c r="K207" s="199" t="s">
        <v>417</v>
      </c>
      <c r="L207" s="200"/>
      <c r="M207" s="200"/>
      <c r="N207" s="197"/>
    </row>
    <row r="208" spans="1:14">
      <c r="A208" s="262"/>
      <c r="B208" s="262"/>
      <c r="C208" s="197">
        <v>32</v>
      </c>
      <c r="D208" s="262"/>
      <c r="E208" s="198">
        <v>244.81055499999999</v>
      </c>
      <c r="F208" s="197"/>
      <c r="G208" s="199" t="s">
        <v>441</v>
      </c>
      <c r="H208" s="200"/>
      <c r="I208" s="200"/>
      <c r="J208" s="200"/>
      <c r="K208" s="199"/>
      <c r="L208" s="200"/>
      <c r="M208" s="200"/>
      <c r="N208" s="197"/>
    </row>
    <row r="209" spans="1:14">
      <c r="A209" s="262"/>
      <c r="B209" s="262"/>
      <c r="C209" s="197">
        <v>33</v>
      </c>
      <c r="D209" s="262"/>
      <c r="E209" s="198">
        <v>247.80319700000001</v>
      </c>
      <c r="F209" s="197"/>
      <c r="G209" s="199" t="s">
        <v>442</v>
      </c>
      <c r="H209" s="200"/>
      <c r="I209" s="200"/>
      <c r="J209" s="200"/>
      <c r="K209" s="199"/>
      <c r="L209" s="200"/>
      <c r="M209" s="200"/>
      <c r="N209" s="197"/>
    </row>
    <row r="210" spans="1:14">
      <c r="A210" s="262"/>
      <c r="B210" s="262"/>
      <c r="C210" s="197">
        <v>34</v>
      </c>
      <c r="D210" s="262"/>
      <c r="E210" s="198">
        <v>247.02605800000001</v>
      </c>
      <c r="F210" s="197"/>
      <c r="G210" s="199" t="s">
        <v>443</v>
      </c>
      <c r="H210" s="200"/>
      <c r="I210" s="200"/>
      <c r="J210" s="200"/>
      <c r="K210" s="199"/>
      <c r="L210" s="200"/>
      <c r="M210" s="200"/>
      <c r="N210" s="197"/>
    </row>
    <row r="211" spans="1:14">
      <c r="A211" s="262"/>
      <c r="B211" s="262"/>
      <c r="C211" s="197">
        <v>35</v>
      </c>
      <c r="D211" s="261">
        <v>8</v>
      </c>
      <c r="E211" s="198">
        <v>246.89785599999999</v>
      </c>
      <c r="F211" s="197" t="s">
        <v>227</v>
      </c>
      <c r="G211" s="199" t="s">
        <v>444</v>
      </c>
      <c r="H211" s="200">
        <v>0.42499999999999999</v>
      </c>
      <c r="I211" s="200">
        <v>1.0449999999999999</v>
      </c>
      <c r="J211" s="200">
        <v>0.48499999999999999</v>
      </c>
      <c r="K211" s="199" t="s">
        <v>229</v>
      </c>
      <c r="L211" s="200"/>
      <c r="M211" s="200"/>
      <c r="N211" s="197"/>
    </row>
    <row r="212" spans="1:14">
      <c r="A212" s="262"/>
      <c r="B212" s="262"/>
      <c r="C212" s="197">
        <v>36</v>
      </c>
      <c r="D212" s="262"/>
      <c r="E212" s="198">
        <v>246.72833900000001</v>
      </c>
      <c r="F212" s="197"/>
      <c r="G212" s="199" t="s">
        <v>445</v>
      </c>
      <c r="H212" s="200"/>
      <c r="I212" s="200"/>
      <c r="J212" s="200"/>
      <c r="K212" s="199"/>
      <c r="L212" s="200"/>
      <c r="M212" s="200"/>
      <c r="N212" s="197"/>
    </row>
    <row r="213" spans="1:14">
      <c r="A213" s="262"/>
      <c r="B213" s="262"/>
      <c r="C213" s="197">
        <v>37</v>
      </c>
      <c r="D213" s="262"/>
      <c r="E213" s="198">
        <v>245.67425600000001</v>
      </c>
      <c r="F213" s="197"/>
      <c r="G213" s="199" t="s">
        <v>446</v>
      </c>
      <c r="H213" s="200"/>
      <c r="I213" s="200"/>
      <c r="J213" s="200"/>
      <c r="K213" s="199"/>
      <c r="L213" s="200"/>
      <c r="M213" s="200"/>
      <c r="N213" s="197"/>
    </row>
    <row r="214" spans="1:14">
      <c r="A214" s="262"/>
      <c r="B214" s="262"/>
      <c r="C214" s="197">
        <v>38</v>
      </c>
      <c r="D214" s="262"/>
      <c r="E214" s="198">
        <v>246.644711</v>
      </c>
      <c r="F214" s="197"/>
      <c r="G214" s="199" t="s">
        <v>447</v>
      </c>
      <c r="H214" s="200"/>
      <c r="I214" s="200"/>
      <c r="J214" s="200"/>
      <c r="K214" s="199"/>
      <c r="L214" s="200"/>
      <c r="M214" s="200"/>
      <c r="N214" s="197"/>
    </row>
    <row r="215" spans="1:14">
      <c r="A215" s="262"/>
      <c r="B215" s="262"/>
      <c r="C215" s="197">
        <v>39</v>
      </c>
      <c r="D215" s="262"/>
      <c r="E215" s="198">
        <v>247.080388</v>
      </c>
      <c r="F215" s="197"/>
      <c r="G215" s="199" t="s">
        <v>448</v>
      </c>
      <c r="H215" s="200"/>
      <c r="I215" s="200"/>
      <c r="J215" s="200"/>
      <c r="K215" s="199"/>
      <c r="L215" s="200"/>
      <c r="M215" s="200"/>
      <c r="N215" s="197"/>
    </row>
    <row r="216" spans="1:14">
      <c r="A216" s="262"/>
      <c r="B216" s="262"/>
      <c r="C216" s="197">
        <v>40</v>
      </c>
      <c r="D216" s="262"/>
      <c r="E216" s="198">
        <v>247.723184</v>
      </c>
      <c r="F216" s="197"/>
      <c r="G216" s="199" t="s">
        <v>449</v>
      </c>
      <c r="H216" s="200"/>
      <c r="I216" s="200"/>
      <c r="J216" s="200"/>
      <c r="K216" s="199"/>
      <c r="L216" s="200"/>
      <c r="M216" s="200"/>
      <c r="N216" s="197"/>
    </row>
    <row r="217" spans="1:14">
      <c r="A217" s="262"/>
      <c r="B217" s="262"/>
      <c r="C217" s="197">
        <v>41</v>
      </c>
      <c r="D217" s="262"/>
      <c r="E217" s="198">
        <v>247.220381</v>
      </c>
      <c r="F217" s="197"/>
      <c r="G217" s="199" t="s">
        <v>450</v>
      </c>
      <c r="H217" s="200"/>
      <c r="I217" s="200"/>
      <c r="J217" s="200"/>
      <c r="K217" s="199"/>
      <c r="L217" s="200"/>
      <c r="M217" s="200"/>
      <c r="N217" s="197"/>
    </row>
    <row r="218" spans="1:14">
      <c r="A218" s="262"/>
      <c r="B218" s="262"/>
      <c r="C218" s="197">
        <v>42</v>
      </c>
      <c r="D218" s="262"/>
      <c r="E218" s="198">
        <v>245.221923</v>
      </c>
      <c r="F218" s="197"/>
      <c r="G218" s="199" t="s">
        <v>451</v>
      </c>
      <c r="H218" s="200"/>
      <c r="I218" s="200"/>
      <c r="J218" s="200"/>
      <c r="K218" s="199"/>
      <c r="L218" s="200"/>
      <c r="M218" s="200"/>
      <c r="N218" s="197"/>
    </row>
    <row r="219" spans="1:14">
      <c r="A219" s="262"/>
      <c r="B219" s="262"/>
      <c r="C219" s="197">
        <v>43</v>
      </c>
      <c r="D219" s="261">
        <v>9</v>
      </c>
      <c r="E219" s="198">
        <v>327.89257600000002</v>
      </c>
      <c r="F219" s="197" t="s">
        <v>227</v>
      </c>
      <c r="G219" s="199" t="s">
        <v>452</v>
      </c>
      <c r="H219" s="200">
        <v>0.42</v>
      </c>
      <c r="I219" s="200">
        <v>1.01</v>
      </c>
      <c r="J219" s="200">
        <v>0.54</v>
      </c>
      <c r="K219" s="199" t="s">
        <v>417</v>
      </c>
      <c r="L219" s="200"/>
      <c r="M219" s="200"/>
      <c r="N219" s="197"/>
    </row>
    <row r="220" spans="1:14">
      <c r="A220" s="262"/>
      <c r="B220" s="262"/>
      <c r="C220" s="197">
        <v>44</v>
      </c>
      <c r="D220" s="262"/>
      <c r="E220" s="198">
        <v>329.04613599999999</v>
      </c>
      <c r="F220" s="197"/>
      <c r="G220" s="199" t="s">
        <v>453</v>
      </c>
      <c r="H220" s="200"/>
      <c r="I220" s="200"/>
      <c r="J220" s="200"/>
      <c r="K220" s="199"/>
      <c r="L220" s="200"/>
      <c r="M220" s="200"/>
      <c r="N220" s="197"/>
    </row>
    <row r="221" spans="1:14">
      <c r="A221" s="262"/>
      <c r="B221" s="262"/>
      <c r="C221" s="197">
        <v>45</v>
      </c>
      <c r="D221" s="262"/>
      <c r="E221" s="198">
        <v>328.585194</v>
      </c>
      <c r="F221" s="197"/>
      <c r="G221" s="199" t="s">
        <v>454</v>
      </c>
      <c r="H221" s="200"/>
      <c r="I221" s="200"/>
      <c r="J221" s="200"/>
      <c r="K221" s="199"/>
      <c r="L221" s="200"/>
      <c r="M221" s="200"/>
      <c r="N221" s="197"/>
    </row>
    <row r="222" spans="1:14">
      <c r="A222" s="262"/>
      <c r="B222" s="262"/>
      <c r="C222" s="197">
        <v>46</v>
      </c>
      <c r="D222" s="261">
        <v>10</v>
      </c>
      <c r="E222" s="198">
        <v>328.79840300000001</v>
      </c>
      <c r="F222" s="197" t="s">
        <v>227</v>
      </c>
      <c r="G222" s="199" t="s">
        <v>455</v>
      </c>
      <c r="H222" s="200">
        <v>0.44</v>
      </c>
      <c r="I222" s="200">
        <v>1</v>
      </c>
      <c r="J222" s="200">
        <v>0.51</v>
      </c>
      <c r="K222" s="199" t="s">
        <v>417</v>
      </c>
      <c r="L222" s="200"/>
      <c r="M222" s="200"/>
      <c r="N222" s="197"/>
    </row>
    <row r="223" spans="1:14">
      <c r="A223" s="262"/>
      <c r="B223" s="262"/>
      <c r="C223" s="197">
        <v>47</v>
      </c>
      <c r="D223" s="262"/>
      <c r="E223" s="198">
        <v>236.25</v>
      </c>
      <c r="F223" s="197"/>
      <c r="G223" s="199" t="s">
        <v>456</v>
      </c>
      <c r="H223" s="200"/>
      <c r="I223" s="200"/>
      <c r="J223" s="200"/>
      <c r="K223" s="199"/>
      <c r="L223" s="200"/>
      <c r="M223" s="200"/>
      <c r="N223" s="197"/>
    </row>
    <row r="224" spans="1:14">
      <c r="A224" s="262"/>
      <c r="B224" s="262"/>
      <c r="C224" s="197">
        <v>48</v>
      </c>
      <c r="D224" s="262"/>
      <c r="E224" s="198">
        <v>247.719032</v>
      </c>
      <c r="F224" s="197"/>
      <c r="G224" s="199" t="s">
        <v>457</v>
      </c>
      <c r="H224" s="200"/>
      <c r="I224" s="200"/>
      <c r="J224" s="200"/>
      <c r="K224" s="199"/>
      <c r="L224" s="200"/>
      <c r="M224" s="200"/>
      <c r="N224" s="197"/>
    </row>
    <row r="225" spans="1:14">
      <c r="A225" s="262"/>
      <c r="B225" s="262"/>
      <c r="C225" s="197">
        <v>49</v>
      </c>
      <c r="D225" s="262"/>
      <c r="E225" s="198">
        <v>246.76151200000001</v>
      </c>
      <c r="F225" s="197"/>
      <c r="G225" s="199" t="s">
        <v>458</v>
      </c>
      <c r="H225" s="200"/>
      <c r="I225" s="200"/>
      <c r="J225" s="200"/>
      <c r="K225" s="199"/>
      <c r="L225" s="200"/>
      <c r="M225" s="200"/>
      <c r="N225" s="197"/>
    </row>
    <row r="226" spans="1:14">
      <c r="A226" s="262"/>
      <c r="B226" s="262"/>
      <c r="C226" s="197">
        <v>50</v>
      </c>
      <c r="D226" s="262"/>
      <c r="E226" s="198">
        <v>247.29884100000001</v>
      </c>
      <c r="F226" s="197"/>
      <c r="G226" s="199" t="s">
        <v>459</v>
      </c>
      <c r="H226" s="200"/>
      <c r="I226" s="200"/>
      <c r="J226" s="200"/>
      <c r="K226" s="199"/>
      <c r="L226" s="200"/>
      <c r="M226" s="200"/>
      <c r="N226" s="197"/>
    </row>
    <row r="227" spans="1:14">
      <c r="A227" s="262"/>
      <c r="B227" s="262"/>
      <c r="C227" s="197">
        <v>51</v>
      </c>
      <c r="D227" s="261">
        <v>11</v>
      </c>
      <c r="E227" s="198">
        <v>0</v>
      </c>
      <c r="F227" s="197" t="s">
        <v>227</v>
      </c>
      <c r="G227" s="199" t="s">
        <v>283</v>
      </c>
      <c r="H227" s="200">
        <v>0.45500000000000002</v>
      </c>
      <c r="I227" s="200">
        <v>1.0649999999999999</v>
      </c>
      <c r="J227" s="200">
        <v>0.505</v>
      </c>
      <c r="K227" s="199" t="s">
        <v>417</v>
      </c>
      <c r="L227" s="200"/>
      <c r="M227" s="200"/>
      <c r="N227" s="197"/>
    </row>
    <row r="228" spans="1:14">
      <c r="A228" s="262"/>
      <c r="B228" s="262"/>
      <c r="C228" s="197">
        <v>52</v>
      </c>
      <c r="D228" s="262"/>
      <c r="E228" s="198">
        <v>488.33927</v>
      </c>
      <c r="F228" s="197"/>
      <c r="G228" s="199" t="s">
        <v>460</v>
      </c>
      <c r="H228" s="200"/>
      <c r="I228" s="200"/>
      <c r="J228" s="200"/>
      <c r="K228" s="199"/>
      <c r="L228" s="200"/>
      <c r="M228" s="200"/>
      <c r="N228" s="197"/>
    </row>
    <row r="229" spans="1:14">
      <c r="A229" s="262"/>
      <c r="B229" s="262"/>
      <c r="C229" s="197">
        <v>53</v>
      </c>
      <c r="D229" s="262"/>
      <c r="E229" s="198">
        <v>490.387227</v>
      </c>
      <c r="F229" s="197"/>
      <c r="G229" s="199" t="s">
        <v>461</v>
      </c>
      <c r="H229" s="200"/>
      <c r="I229" s="200"/>
      <c r="J229" s="200"/>
      <c r="K229" s="199"/>
      <c r="L229" s="200"/>
      <c r="M229" s="200"/>
      <c r="N229" s="197"/>
    </row>
    <row r="230" spans="1:14">
      <c r="A230" s="262"/>
      <c r="B230" s="262"/>
      <c r="C230" s="197">
        <v>54</v>
      </c>
      <c r="D230" s="262"/>
      <c r="E230" s="198">
        <v>491.98152800000003</v>
      </c>
      <c r="F230" s="197"/>
      <c r="G230" s="199" t="s">
        <v>462</v>
      </c>
      <c r="H230" s="200"/>
      <c r="I230" s="200"/>
      <c r="J230" s="200"/>
      <c r="K230" s="199"/>
      <c r="L230" s="200"/>
      <c r="M230" s="200"/>
      <c r="N230" s="197"/>
    </row>
    <row r="231" spans="1:14">
      <c r="A231" s="262"/>
      <c r="B231" s="262"/>
      <c r="C231" s="197">
        <v>55</v>
      </c>
      <c r="D231" s="261">
        <v>12</v>
      </c>
      <c r="E231" s="198">
        <v>470.04865799999999</v>
      </c>
      <c r="F231" s="197" t="s">
        <v>227</v>
      </c>
      <c r="G231" s="199" t="s">
        <v>463</v>
      </c>
      <c r="H231" s="200">
        <v>0.44500000000000001</v>
      </c>
      <c r="I231" s="200">
        <v>1.02</v>
      </c>
      <c r="J231" s="200">
        <v>0.52500000000000002</v>
      </c>
      <c r="K231" s="199" t="s">
        <v>417</v>
      </c>
      <c r="L231" s="200"/>
      <c r="M231" s="200"/>
      <c r="N231" s="197"/>
    </row>
    <row r="232" spans="1:14">
      <c r="A232" s="262"/>
      <c r="B232" s="262"/>
      <c r="C232" s="197">
        <v>56</v>
      </c>
      <c r="D232" s="262"/>
      <c r="E232" s="198">
        <v>0</v>
      </c>
      <c r="F232" s="197" t="s">
        <v>227</v>
      </c>
      <c r="G232" s="199" t="s">
        <v>288</v>
      </c>
      <c r="H232" s="200"/>
      <c r="I232" s="200"/>
      <c r="J232" s="200"/>
      <c r="K232" s="199"/>
      <c r="L232" s="200"/>
      <c r="M232" s="200"/>
      <c r="N232" s="197"/>
    </row>
    <row r="233" spans="1:14">
      <c r="A233" s="262"/>
      <c r="B233" s="262"/>
      <c r="C233" s="197">
        <v>57</v>
      </c>
      <c r="D233" s="262"/>
      <c r="E233" s="198">
        <v>331.87828100000002</v>
      </c>
      <c r="F233" s="197"/>
      <c r="G233" s="199" t="s">
        <v>464</v>
      </c>
      <c r="H233" s="200"/>
      <c r="I233" s="200"/>
      <c r="J233" s="200"/>
      <c r="K233" s="199"/>
      <c r="L233" s="200"/>
      <c r="M233" s="200"/>
      <c r="N233" s="197"/>
    </row>
    <row r="234" spans="1:14">
      <c r="A234" s="262"/>
      <c r="B234" s="262"/>
      <c r="C234" s="197">
        <v>58</v>
      </c>
      <c r="D234" s="262"/>
      <c r="E234" s="198">
        <v>330.83927699999998</v>
      </c>
      <c r="F234" s="197"/>
      <c r="G234" s="199" t="s">
        <v>465</v>
      </c>
      <c r="H234" s="200"/>
      <c r="I234" s="200"/>
      <c r="J234" s="200"/>
      <c r="K234" s="199"/>
      <c r="L234" s="200"/>
      <c r="M234" s="200"/>
      <c r="N234" s="197"/>
    </row>
    <row r="235" spans="1:14">
      <c r="A235" s="262"/>
      <c r="B235" s="262"/>
      <c r="C235" s="197">
        <v>59</v>
      </c>
      <c r="D235" s="262"/>
      <c r="E235" s="198">
        <v>329.41610400000002</v>
      </c>
      <c r="F235" s="197"/>
      <c r="G235" s="199" t="s">
        <v>466</v>
      </c>
      <c r="H235" s="200"/>
      <c r="I235" s="200"/>
      <c r="J235" s="200"/>
      <c r="K235" s="199"/>
      <c r="L235" s="200"/>
      <c r="M235" s="200"/>
      <c r="N235" s="197"/>
    </row>
    <row r="236" spans="1:14">
      <c r="A236" s="262"/>
      <c r="B236" s="262"/>
      <c r="C236" s="197">
        <v>60</v>
      </c>
      <c r="D236" s="262"/>
      <c r="E236" s="198">
        <v>329.55082399999998</v>
      </c>
      <c r="F236" s="197"/>
      <c r="G236" s="199" t="s">
        <v>467</v>
      </c>
      <c r="H236" s="200"/>
      <c r="I236" s="200"/>
      <c r="J236" s="200"/>
      <c r="K236" s="199"/>
      <c r="L236" s="200"/>
      <c r="M236" s="200"/>
      <c r="N236" s="197"/>
    </row>
    <row r="237" spans="1:14">
      <c r="A237" s="262"/>
      <c r="B237" s="262"/>
      <c r="C237" s="197">
        <v>61</v>
      </c>
      <c r="D237" s="262"/>
      <c r="E237" s="198">
        <v>329.987121</v>
      </c>
      <c r="F237" s="197"/>
      <c r="G237" s="199" t="s">
        <v>468</v>
      </c>
      <c r="H237" s="200"/>
      <c r="I237" s="200"/>
      <c r="J237" s="200"/>
      <c r="K237" s="199"/>
      <c r="L237" s="200"/>
      <c r="M237" s="200"/>
      <c r="N237" s="197"/>
    </row>
    <row r="238" spans="1:14">
      <c r="A238" s="262"/>
      <c r="B238" s="262"/>
      <c r="C238" s="197">
        <v>62</v>
      </c>
      <c r="D238" s="262"/>
      <c r="E238" s="198">
        <v>330.77131400000002</v>
      </c>
      <c r="F238" s="197"/>
      <c r="G238" s="199" t="s">
        <v>469</v>
      </c>
      <c r="H238" s="200"/>
      <c r="I238" s="200"/>
      <c r="J238" s="200"/>
      <c r="K238" s="199"/>
      <c r="L238" s="200"/>
      <c r="M238" s="200"/>
      <c r="N238" s="197"/>
    </row>
    <row r="239" spans="1:14">
      <c r="A239" s="262"/>
      <c r="B239" s="262"/>
      <c r="C239" s="197">
        <v>63</v>
      </c>
      <c r="D239" s="261">
        <v>13</v>
      </c>
      <c r="E239" s="198">
        <v>0</v>
      </c>
      <c r="F239" s="197" t="s">
        <v>227</v>
      </c>
      <c r="G239" s="199" t="s">
        <v>470</v>
      </c>
      <c r="H239" s="200">
        <v>0.43</v>
      </c>
      <c r="I239" s="200">
        <v>1</v>
      </c>
      <c r="J239" s="200">
        <v>0.5</v>
      </c>
      <c r="K239" s="199" t="s">
        <v>408</v>
      </c>
      <c r="L239" s="200"/>
      <c r="M239" s="200"/>
      <c r="N239" s="197"/>
    </row>
    <row r="240" spans="1:14">
      <c r="A240" s="262"/>
      <c r="B240" s="262"/>
      <c r="C240" s="197">
        <v>64</v>
      </c>
      <c r="D240" s="262"/>
      <c r="E240" s="198">
        <v>366.76237700000001</v>
      </c>
      <c r="F240" s="197"/>
      <c r="G240" s="199" t="s">
        <v>471</v>
      </c>
      <c r="H240" s="200"/>
      <c r="I240" s="200"/>
      <c r="J240" s="200"/>
      <c r="K240" s="199"/>
      <c r="L240" s="200"/>
      <c r="M240" s="200"/>
      <c r="N240" s="197"/>
    </row>
    <row r="241" spans="1:14">
      <c r="A241" s="262"/>
      <c r="B241" s="262"/>
      <c r="C241" s="197">
        <v>65</v>
      </c>
      <c r="D241" s="262"/>
      <c r="E241" s="198">
        <v>367.51490200000001</v>
      </c>
      <c r="F241" s="197"/>
      <c r="G241" s="199" t="s">
        <v>472</v>
      </c>
      <c r="H241" s="200"/>
      <c r="I241" s="200"/>
      <c r="J241" s="200"/>
      <c r="K241" s="199"/>
      <c r="L241" s="200"/>
      <c r="M241" s="200"/>
      <c r="N241" s="197"/>
    </row>
    <row r="242" spans="1:14">
      <c r="A242" s="262"/>
      <c r="B242" s="262"/>
      <c r="C242" s="197">
        <v>66</v>
      </c>
      <c r="D242" s="262"/>
      <c r="E242" s="198">
        <v>366.93208399999997</v>
      </c>
      <c r="F242" s="197"/>
      <c r="G242" s="199" t="s">
        <v>473</v>
      </c>
      <c r="H242" s="200"/>
      <c r="I242" s="200"/>
      <c r="J242" s="200"/>
      <c r="K242" s="199"/>
      <c r="L242" s="200"/>
      <c r="M242" s="200"/>
      <c r="N242" s="197"/>
    </row>
    <row r="243" spans="1:14">
      <c r="A243" s="262"/>
      <c r="B243" s="262"/>
      <c r="C243" s="197">
        <v>67</v>
      </c>
      <c r="D243" s="261">
        <v>14</v>
      </c>
      <c r="E243" s="198">
        <v>363.78642500000001</v>
      </c>
      <c r="F243" s="197" t="s">
        <v>227</v>
      </c>
      <c r="G243" s="199" t="s">
        <v>474</v>
      </c>
      <c r="H243" s="200">
        <v>0.745</v>
      </c>
      <c r="I243" s="200">
        <v>1.2649999999999999</v>
      </c>
      <c r="J243" s="200">
        <v>0.59</v>
      </c>
      <c r="K243" s="199" t="s">
        <v>417</v>
      </c>
      <c r="L243" s="200"/>
      <c r="M243" s="200"/>
      <c r="N243" s="197"/>
    </row>
    <row r="244" spans="1:14">
      <c r="A244" s="262"/>
      <c r="B244" s="262"/>
      <c r="C244" s="197">
        <v>68</v>
      </c>
      <c r="D244" s="262"/>
      <c r="E244" s="198">
        <v>328.21396199999998</v>
      </c>
      <c r="F244" s="197"/>
      <c r="G244" s="199" t="s">
        <v>475</v>
      </c>
      <c r="H244" s="200"/>
      <c r="I244" s="200"/>
      <c r="J244" s="200"/>
      <c r="K244" s="199"/>
      <c r="L244" s="200"/>
      <c r="M244" s="200"/>
      <c r="N244" s="197"/>
    </row>
    <row r="245" spans="1:14">
      <c r="A245" s="262"/>
      <c r="B245" s="262"/>
      <c r="C245" s="197">
        <v>69</v>
      </c>
      <c r="D245" s="262"/>
      <c r="E245" s="198">
        <v>329.74903999999998</v>
      </c>
      <c r="F245" s="197"/>
      <c r="G245" s="199" t="s">
        <v>476</v>
      </c>
      <c r="H245" s="200"/>
      <c r="I245" s="200"/>
      <c r="J245" s="200"/>
      <c r="K245" s="199"/>
      <c r="L245" s="200"/>
      <c r="M245" s="200"/>
      <c r="N245" s="197"/>
    </row>
    <row r="246" spans="1:14">
      <c r="A246" s="262"/>
      <c r="B246" s="262"/>
      <c r="C246" s="197">
        <v>70</v>
      </c>
      <c r="D246" s="262"/>
      <c r="E246" s="198">
        <v>328.64177799999999</v>
      </c>
      <c r="F246" s="197"/>
      <c r="G246" s="199" t="s">
        <v>477</v>
      </c>
      <c r="H246" s="200"/>
      <c r="I246" s="200"/>
      <c r="J246" s="200"/>
      <c r="K246" s="199"/>
      <c r="L246" s="200"/>
      <c r="M246" s="200"/>
      <c r="N246" s="197"/>
    </row>
    <row r="247" spans="1:14">
      <c r="A247" s="262"/>
      <c r="B247" s="262"/>
      <c r="C247" s="197">
        <v>71</v>
      </c>
      <c r="D247" s="261">
        <v>15</v>
      </c>
      <c r="E247" s="198">
        <v>244.456772</v>
      </c>
      <c r="F247" s="197" t="s">
        <v>227</v>
      </c>
      <c r="G247" s="199" t="s">
        <v>478</v>
      </c>
      <c r="H247" s="200">
        <v>0.45500000000000002</v>
      </c>
      <c r="I247" s="200">
        <v>0.98499999999999999</v>
      </c>
      <c r="J247" s="200">
        <v>0.505</v>
      </c>
      <c r="K247" s="199" t="s">
        <v>417</v>
      </c>
      <c r="L247" s="200"/>
      <c r="M247" s="200"/>
      <c r="N247" s="197"/>
    </row>
    <row r="248" spans="1:14">
      <c r="A248" s="262"/>
      <c r="B248" s="262"/>
      <c r="C248" s="197">
        <v>72</v>
      </c>
      <c r="D248" s="262"/>
      <c r="E248" s="198">
        <v>246.30915300000001</v>
      </c>
      <c r="F248" s="197"/>
      <c r="G248" s="199" t="s">
        <v>479</v>
      </c>
      <c r="H248" s="200"/>
      <c r="I248" s="200"/>
      <c r="J248" s="200"/>
      <c r="K248" s="199"/>
      <c r="L248" s="200"/>
      <c r="M248" s="200"/>
      <c r="N248" s="197"/>
    </row>
    <row r="249" spans="1:14">
      <c r="A249" s="262"/>
      <c r="B249" s="262"/>
      <c r="C249" s="197">
        <v>73</v>
      </c>
      <c r="D249" s="262"/>
      <c r="E249" s="198">
        <v>246.95627899999999</v>
      </c>
      <c r="F249" s="197"/>
      <c r="G249" s="199" t="s">
        <v>480</v>
      </c>
      <c r="H249" s="200"/>
      <c r="I249" s="200"/>
      <c r="J249" s="200"/>
      <c r="K249" s="199"/>
      <c r="L249" s="200"/>
      <c r="M249" s="200"/>
      <c r="N249" s="197"/>
    </row>
    <row r="250" spans="1:14">
      <c r="A250" s="262"/>
      <c r="B250" s="262"/>
      <c r="C250" s="197">
        <v>74</v>
      </c>
      <c r="D250" s="262"/>
      <c r="E250" s="198">
        <v>245.84973600000001</v>
      </c>
      <c r="F250" s="197"/>
      <c r="G250" s="199" t="s">
        <v>481</v>
      </c>
      <c r="H250" s="200"/>
      <c r="I250" s="200"/>
      <c r="J250" s="200"/>
      <c r="K250" s="199"/>
      <c r="L250" s="200"/>
      <c r="M250" s="200"/>
      <c r="N250" s="197"/>
    </row>
    <row r="251" spans="1:14">
      <c r="A251" s="262"/>
      <c r="B251" s="262"/>
      <c r="C251" s="197">
        <v>75</v>
      </c>
      <c r="D251" s="261">
        <v>16</v>
      </c>
      <c r="E251" s="198">
        <v>246.67416700000001</v>
      </c>
      <c r="F251" s="197" t="s">
        <v>227</v>
      </c>
      <c r="G251" s="199" t="s">
        <v>482</v>
      </c>
      <c r="H251" s="200">
        <v>0.435</v>
      </c>
      <c r="I251" s="200">
        <v>0.98</v>
      </c>
      <c r="J251" s="200">
        <v>0.51</v>
      </c>
      <c r="K251" s="199" t="s">
        <v>229</v>
      </c>
      <c r="L251" s="200"/>
      <c r="M251" s="200"/>
      <c r="N251" s="197"/>
    </row>
    <row r="252" spans="1:14">
      <c r="A252" s="262"/>
      <c r="B252" s="262"/>
      <c r="C252" s="197">
        <v>76</v>
      </c>
      <c r="D252" s="262"/>
      <c r="E252" s="198">
        <v>245.51915700000001</v>
      </c>
      <c r="F252" s="197"/>
      <c r="G252" s="199" t="s">
        <v>483</v>
      </c>
      <c r="H252" s="200"/>
      <c r="I252" s="200"/>
      <c r="J252" s="200"/>
      <c r="K252" s="199"/>
      <c r="L252" s="200"/>
      <c r="M252" s="200"/>
      <c r="N252" s="197"/>
    </row>
    <row r="253" spans="1:14">
      <c r="A253" s="262"/>
      <c r="B253" s="262"/>
      <c r="C253" s="197">
        <v>77</v>
      </c>
      <c r="D253" s="262"/>
      <c r="E253" s="198">
        <v>246.07197099999999</v>
      </c>
      <c r="F253" s="197"/>
      <c r="G253" s="199" t="s">
        <v>484</v>
      </c>
      <c r="H253" s="200"/>
      <c r="I253" s="200"/>
      <c r="J253" s="200"/>
      <c r="K253" s="199"/>
      <c r="L253" s="200"/>
      <c r="M253" s="200"/>
      <c r="N253" s="197"/>
    </row>
    <row r="254" spans="1:14">
      <c r="A254" s="262"/>
      <c r="B254" s="262"/>
      <c r="C254" s="197">
        <v>78</v>
      </c>
      <c r="D254" s="262"/>
      <c r="E254" s="198">
        <v>245.73903999999999</v>
      </c>
      <c r="F254" s="197"/>
      <c r="G254" s="199" t="s">
        <v>485</v>
      </c>
      <c r="H254" s="200"/>
      <c r="I254" s="200"/>
      <c r="J254" s="200"/>
      <c r="K254" s="199"/>
      <c r="L254" s="200"/>
      <c r="M254" s="200"/>
      <c r="N254" s="197"/>
    </row>
    <row r="255" spans="1:14">
      <c r="A255" s="262"/>
      <c r="B255" s="262"/>
      <c r="C255" s="197">
        <v>79</v>
      </c>
      <c r="D255" s="262"/>
      <c r="E255" s="198">
        <v>246.07683900000001</v>
      </c>
      <c r="F255" s="197"/>
      <c r="G255" s="199" t="s">
        <v>486</v>
      </c>
      <c r="H255" s="200"/>
      <c r="I255" s="200"/>
      <c r="J255" s="200"/>
      <c r="K255" s="199"/>
      <c r="L255" s="200"/>
      <c r="M255" s="200"/>
      <c r="N255" s="197"/>
    </row>
    <row r="256" spans="1:14">
      <c r="A256" s="262"/>
      <c r="B256" s="262"/>
      <c r="C256" s="197">
        <v>80</v>
      </c>
      <c r="D256" s="262"/>
      <c r="E256" s="198">
        <v>246.71064100000001</v>
      </c>
      <c r="F256" s="197"/>
      <c r="G256" s="199" t="s">
        <v>487</v>
      </c>
      <c r="H256" s="200"/>
      <c r="I256" s="200"/>
      <c r="J256" s="200"/>
      <c r="K256" s="199"/>
      <c r="L256" s="200"/>
      <c r="M256" s="200"/>
      <c r="N256" s="197"/>
    </row>
    <row r="257" spans="1:14">
      <c r="A257" s="262"/>
      <c r="B257" s="262"/>
      <c r="C257" s="197">
        <v>81</v>
      </c>
      <c r="D257" s="262"/>
      <c r="E257" s="198">
        <v>0</v>
      </c>
      <c r="F257" s="197" t="s">
        <v>227</v>
      </c>
      <c r="G257" s="199" t="s">
        <v>313</v>
      </c>
      <c r="H257" s="200"/>
      <c r="I257" s="200"/>
      <c r="J257" s="200"/>
      <c r="K257" s="199"/>
      <c r="L257" s="200"/>
      <c r="M257" s="200"/>
      <c r="N257" s="197"/>
    </row>
    <row r="258" spans="1:14">
      <c r="A258" s="261" t="s">
        <v>488</v>
      </c>
      <c r="B258" s="261">
        <v>8</v>
      </c>
      <c r="C258" s="197">
        <v>1</v>
      </c>
      <c r="D258" s="261">
        <v>1</v>
      </c>
      <c r="E258" s="198">
        <v>0</v>
      </c>
      <c r="F258" s="197" t="s">
        <v>227</v>
      </c>
      <c r="G258" s="199" t="s">
        <v>228</v>
      </c>
      <c r="H258" s="200">
        <v>0.47</v>
      </c>
      <c r="I258" s="200">
        <v>1.0049999999999999</v>
      </c>
      <c r="J258" s="200">
        <v>0.45</v>
      </c>
      <c r="K258" s="199" t="s">
        <v>417</v>
      </c>
      <c r="L258" s="200">
        <v>5.3193889157966266E-2</v>
      </c>
      <c r="M258" s="200"/>
      <c r="N258" s="197"/>
    </row>
    <row r="259" spans="1:14">
      <c r="A259" s="262"/>
      <c r="B259" s="262"/>
      <c r="C259" s="197">
        <v>2</v>
      </c>
      <c r="D259" s="262"/>
      <c r="E259" s="198">
        <v>0</v>
      </c>
      <c r="F259" s="197" t="s">
        <v>227</v>
      </c>
      <c r="G259" s="199" t="s">
        <v>230</v>
      </c>
      <c r="H259" s="200"/>
      <c r="I259" s="200"/>
      <c r="J259" s="200"/>
      <c r="K259" s="199"/>
      <c r="L259" s="200">
        <v>4.312839660536897E-2</v>
      </c>
      <c r="M259" s="200"/>
      <c r="N259" s="197"/>
    </row>
    <row r="260" spans="1:14">
      <c r="A260" s="262"/>
      <c r="B260" s="262"/>
      <c r="C260" s="197">
        <v>3</v>
      </c>
      <c r="D260" s="262"/>
      <c r="E260" s="198">
        <v>0</v>
      </c>
      <c r="F260" s="197" t="s">
        <v>227</v>
      </c>
      <c r="G260" s="199" t="s">
        <v>324</v>
      </c>
      <c r="H260" s="200"/>
      <c r="I260" s="200"/>
      <c r="J260" s="200"/>
      <c r="K260" s="199"/>
      <c r="L260" s="200">
        <v>3.0815732589052621E-2</v>
      </c>
      <c r="M260" s="200"/>
      <c r="N260" s="197"/>
    </row>
    <row r="261" spans="1:14">
      <c r="A261" s="262"/>
      <c r="B261" s="262"/>
      <c r="C261" s="197">
        <v>4</v>
      </c>
      <c r="D261" s="262"/>
      <c r="E261" s="198">
        <v>366.055091</v>
      </c>
      <c r="F261" s="197"/>
      <c r="G261" s="199" t="s">
        <v>489</v>
      </c>
      <c r="H261" s="200"/>
      <c r="I261" s="200"/>
      <c r="J261" s="200"/>
      <c r="K261" s="199"/>
      <c r="L261" s="200"/>
      <c r="M261" s="200" t="s">
        <v>490</v>
      </c>
      <c r="N261" s="197" t="s">
        <v>491</v>
      </c>
    </row>
    <row r="262" spans="1:14">
      <c r="A262" s="262"/>
      <c r="B262" s="262"/>
      <c r="C262" s="197">
        <v>5</v>
      </c>
      <c r="D262" s="262"/>
      <c r="E262" s="198">
        <v>367.901275</v>
      </c>
      <c r="F262" s="197"/>
      <c r="G262" s="199" t="s">
        <v>492</v>
      </c>
      <c r="H262" s="200"/>
      <c r="I262" s="200"/>
      <c r="J262" s="200"/>
      <c r="K262" s="199"/>
      <c r="L262" s="200"/>
      <c r="M262" s="200"/>
      <c r="N262" s="197"/>
    </row>
    <row r="263" spans="1:14">
      <c r="A263" s="262"/>
      <c r="B263" s="262"/>
      <c r="C263" s="197">
        <v>6</v>
      </c>
      <c r="D263" s="262"/>
      <c r="E263" s="198">
        <v>368.43663299999997</v>
      </c>
      <c r="F263" s="197"/>
      <c r="G263" s="199" t="s">
        <v>493</v>
      </c>
      <c r="H263" s="200"/>
      <c r="I263" s="200"/>
      <c r="J263" s="200"/>
      <c r="K263" s="199"/>
      <c r="L263" s="200"/>
      <c r="M263" s="200"/>
      <c r="N263" s="197"/>
    </row>
    <row r="264" spans="1:14">
      <c r="A264" s="262"/>
      <c r="B264" s="262"/>
      <c r="C264" s="197">
        <v>7</v>
      </c>
      <c r="D264" s="262"/>
      <c r="E264" s="198">
        <v>368.79400600000002</v>
      </c>
      <c r="F264" s="197"/>
      <c r="G264" s="199" t="s">
        <v>494</v>
      </c>
      <c r="H264" s="200"/>
      <c r="I264" s="200"/>
      <c r="J264" s="200"/>
      <c r="K264" s="199"/>
      <c r="L264" s="200"/>
      <c r="M264" s="200"/>
      <c r="N264" s="197"/>
    </row>
    <row r="265" spans="1:14">
      <c r="A265" s="262"/>
      <c r="B265" s="262"/>
      <c r="C265" s="197">
        <v>8</v>
      </c>
      <c r="D265" s="261">
        <v>2</v>
      </c>
      <c r="E265" s="198">
        <v>368.57960600000001</v>
      </c>
      <c r="F265" s="197" t="s">
        <v>227</v>
      </c>
      <c r="G265" s="199" t="s">
        <v>495</v>
      </c>
      <c r="H265" s="200">
        <v>0.55500000000000005</v>
      </c>
      <c r="I265" s="200">
        <v>1.125</v>
      </c>
      <c r="J265" s="200">
        <v>0.53</v>
      </c>
      <c r="K265" s="199" t="s">
        <v>417</v>
      </c>
      <c r="L265" s="200"/>
      <c r="M265" s="200"/>
      <c r="N265" s="197"/>
    </row>
    <row r="266" spans="1:14">
      <c r="A266" s="262"/>
      <c r="B266" s="262"/>
      <c r="C266" s="197">
        <v>9</v>
      </c>
      <c r="D266" s="262"/>
      <c r="E266" s="198">
        <v>369.63737500000002</v>
      </c>
      <c r="F266" s="197" t="s">
        <v>281</v>
      </c>
      <c r="G266" s="199" t="s">
        <v>496</v>
      </c>
      <c r="H266" s="200"/>
      <c r="I266" s="200"/>
      <c r="J266" s="200"/>
      <c r="K266" s="199"/>
      <c r="L266" s="200"/>
      <c r="M266" s="200"/>
      <c r="N266" s="197"/>
    </row>
    <row r="267" spans="1:14">
      <c r="A267" s="262"/>
      <c r="B267" s="262"/>
      <c r="C267" s="197">
        <v>10</v>
      </c>
      <c r="D267" s="262"/>
      <c r="E267" s="198">
        <v>512.44578200000001</v>
      </c>
      <c r="F267" s="197"/>
      <c r="G267" s="199" t="s">
        <v>497</v>
      </c>
      <c r="H267" s="200"/>
      <c r="I267" s="200"/>
      <c r="J267" s="200"/>
      <c r="K267" s="199"/>
      <c r="L267" s="200"/>
      <c r="M267" s="200"/>
      <c r="N267" s="197"/>
    </row>
    <row r="268" spans="1:14">
      <c r="A268" s="262"/>
      <c r="B268" s="262"/>
      <c r="C268" s="197">
        <v>11</v>
      </c>
      <c r="D268" s="262"/>
      <c r="E268" s="198">
        <v>502.65411699999999</v>
      </c>
      <c r="F268" s="197"/>
      <c r="G268" s="199" t="s">
        <v>498</v>
      </c>
      <c r="H268" s="200"/>
      <c r="I268" s="200"/>
      <c r="J268" s="200"/>
      <c r="K268" s="199"/>
      <c r="L268" s="200"/>
      <c r="M268" s="200"/>
      <c r="N268" s="197"/>
    </row>
    <row r="269" spans="1:14">
      <c r="A269" s="262"/>
      <c r="B269" s="262"/>
      <c r="C269" s="197">
        <v>12</v>
      </c>
      <c r="D269" s="262"/>
      <c r="E269" s="198">
        <v>499.940338</v>
      </c>
      <c r="F269" s="197"/>
      <c r="G269" s="199" t="s">
        <v>499</v>
      </c>
      <c r="H269" s="200"/>
      <c r="I269" s="200"/>
      <c r="J269" s="200"/>
      <c r="K269" s="199"/>
      <c r="L269" s="200"/>
      <c r="M269" s="200"/>
      <c r="N269" s="197"/>
    </row>
    <row r="270" spans="1:14">
      <c r="A270" s="262"/>
      <c r="B270" s="262"/>
      <c r="C270" s="197">
        <v>13</v>
      </c>
      <c r="D270" s="262"/>
      <c r="E270" s="198">
        <v>497.05363599999998</v>
      </c>
      <c r="F270" s="197"/>
      <c r="G270" s="199" t="s">
        <v>500</v>
      </c>
      <c r="H270" s="200"/>
      <c r="I270" s="200"/>
      <c r="J270" s="200"/>
      <c r="K270" s="199"/>
      <c r="L270" s="200"/>
      <c r="M270" s="200"/>
      <c r="N270" s="197"/>
    </row>
    <row r="271" spans="1:14">
      <c r="A271" s="262"/>
      <c r="B271" s="262"/>
      <c r="C271" s="197">
        <v>14</v>
      </c>
      <c r="D271" s="261">
        <v>3</v>
      </c>
      <c r="E271" s="198">
        <v>489.85729900000001</v>
      </c>
      <c r="F271" s="197" t="s">
        <v>227</v>
      </c>
      <c r="G271" s="199" t="s">
        <v>501</v>
      </c>
      <c r="H271" s="200">
        <v>0.54</v>
      </c>
      <c r="I271" s="200">
        <v>1.105</v>
      </c>
      <c r="J271" s="200">
        <v>0.56499999999999995</v>
      </c>
      <c r="K271" s="199" t="s">
        <v>417</v>
      </c>
      <c r="L271" s="200"/>
      <c r="M271" s="200"/>
      <c r="N271" s="197"/>
    </row>
    <row r="272" spans="1:14">
      <c r="A272" s="262"/>
      <c r="B272" s="262"/>
      <c r="C272" s="197">
        <v>15</v>
      </c>
      <c r="D272" s="262"/>
      <c r="E272" s="198">
        <v>367.98219899999998</v>
      </c>
      <c r="F272" s="197"/>
      <c r="G272" s="199" t="s">
        <v>502</v>
      </c>
      <c r="H272" s="200"/>
      <c r="I272" s="200"/>
      <c r="J272" s="200"/>
      <c r="K272" s="199"/>
      <c r="L272" s="200"/>
      <c r="M272" s="200"/>
      <c r="N272" s="197"/>
    </row>
    <row r="273" spans="1:14">
      <c r="A273" s="262"/>
      <c r="B273" s="262"/>
      <c r="C273" s="197">
        <v>16</v>
      </c>
      <c r="D273" s="262"/>
      <c r="E273" s="198">
        <v>367.19264399999997</v>
      </c>
      <c r="F273" s="197"/>
      <c r="G273" s="199" t="s">
        <v>503</v>
      </c>
      <c r="H273" s="200"/>
      <c r="I273" s="200"/>
      <c r="J273" s="200"/>
      <c r="K273" s="199"/>
      <c r="L273" s="200"/>
      <c r="M273" s="200"/>
      <c r="N273" s="197"/>
    </row>
    <row r="274" spans="1:14">
      <c r="A274" s="262"/>
      <c r="B274" s="262"/>
      <c r="C274" s="197">
        <v>17</v>
      </c>
      <c r="D274" s="261">
        <v>4</v>
      </c>
      <c r="E274" s="198">
        <v>368.72909499999997</v>
      </c>
      <c r="F274" s="197" t="s">
        <v>227</v>
      </c>
      <c r="G274" s="199" t="s">
        <v>504</v>
      </c>
      <c r="H274" s="200">
        <v>0.41</v>
      </c>
      <c r="I274" s="200">
        <v>1.0149999999999999</v>
      </c>
      <c r="J274" s="200">
        <v>0.56000000000000005</v>
      </c>
      <c r="K274" s="199" t="s">
        <v>417</v>
      </c>
      <c r="L274" s="200"/>
      <c r="M274" s="200"/>
      <c r="N274" s="197"/>
    </row>
    <row r="275" spans="1:14">
      <c r="A275" s="262"/>
      <c r="B275" s="262"/>
      <c r="C275" s="197">
        <v>18</v>
      </c>
      <c r="D275" s="262"/>
      <c r="E275" s="198">
        <v>367.10431599999998</v>
      </c>
      <c r="F275" s="197"/>
      <c r="G275" s="199" t="s">
        <v>505</v>
      </c>
      <c r="H275" s="200"/>
      <c r="I275" s="200"/>
      <c r="J275" s="200"/>
      <c r="K275" s="199"/>
      <c r="L275" s="200"/>
      <c r="M275" s="200"/>
      <c r="N275" s="197"/>
    </row>
    <row r="276" spans="1:14">
      <c r="A276" s="262"/>
      <c r="B276" s="262"/>
      <c r="C276" s="197">
        <v>19</v>
      </c>
      <c r="D276" s="262"/>
      <c r="E276" s="198">
        <v>366.75834400000002</v>
      </c>
      <c r="F276" s="197"/>
      <c r="G276" s="199" t="s">
        <v>506</v>
      </c>
      <c r="H276" s="200"/>
      <c r="I276" s="200"/>
      <c r="J276" s="200"/>
      <c r="K276" s="199"/>
      <c r="L276" s="200"/>
      <c r="M276" s="200"/>
      <c r="N276" s="197"/>
    </row>
    <row r="277" spans="1:14">
      <c r="A277" s="262"/>
      <c r="B277" s="262"/>
      <c r="C277" s="197">
        <v>20</v>
      </c>
      <c r="D277" s="262"/>
      <c r="E277" s="198">
        <v>367.83589699999999</v>
      </c>
      <c r="F277" s="197"/>
      <c r="G277" s="199" t="s">
        <v>507</v>
      </c>
      <c r="H277" s="200"/>
      <c r="I277" s="200"/>
      <c r="J277" s="200"/>
      <c r="K277" s="199"/>
      <c r="L277" s="200"/>
      <c r="M277" s="200"/>
      <c r="N277" s="197"/>
    </row>
    <row r="278" spans="1:14">
      <c r="A278" s="262"/>
      <c r="B278" s="262"/>
      <c r="C278" s="197">
        <v>21</v>
      </c>
      <c r="D278" s="262"/>
      <c r="E278" s="198">
        <v>366.94352900000001</v>
      </c>
      <c r="F278" s="197"/>
      <c r="G278" s="199" t="s">
        <v>508</v>
      </c>
      <c r="H278" s="200"/>
      <c r="I278" s="200"/>
      <c r="J278" s="200"/>
      <c r="K278" s="199"/>
      <c r="L278" s="200"/>
      <c r="M278" s="200"/>
      <c r="N278" s="197"/>
    </row>
    <row r="279" spans="1:14">
      <c r="A279" s="262"/>
      <c r="B279" s="262"/>
      <c r="C279" s="197">
        <v>22</v>
      </c>
      <c r="D279" s="262"/>
      <c r="E279" s="198">
        <v>367.806488</v>
      </c>
      <c r="F279" s="197"/>
      <c r="G279" s="199" t="s">
        <v>509</v>
      </c>
      <c r="H279" s="200"/>
      <c r="I279" s="200"/>
      <c r="J279" s="200"/>
      <c r="K279" s="199"/>
      <c r="L279" s="200"/>
      <c r="M279" s="200"/>
      <c r="N279" s="197"/>
    </row>
    <row r="280" spans="1:14">
      <c r="A280" s="262"/>
      <c r="B280" s="262"/>
      <c r="C280" s="197">
        <v>23</v>
      </c>
      <c r="D280" s="262"/>
      <c r="E280" s="198">
        <v>368.31848100000002</v>
      </c>
      <c r="F280" s="197"/>
      <c r="G280" s="199" t="s">
        <v>510</v>
      </c>
      <c r="H280" s="200"/>
      <c r="I280" s="200"/>
      <c r="J280" s="200"/>
      <c r="K280" s="199"/>
      <c r="L280" s="200"/>
      <c r="M280" s="200"/>
      <c r="N280" s="197"/>
    </row>
    <row r="281" spans="1:14">
      <c r="A281" s="262"/>
      <c r="B281" s="262"/>
      <c r="C281" s="197">
        <v>24</v>
      </c>
      <c r="D281" s="262"/>
      <c r="E281" s="198">
        <v>368.79400600000002</v>
      </c>
      <c r="F281" s="197"/>
      <c r="G281" s="199" t="s">
        <v>511</v>
      </c>
      <c r="H281" s="200"/>
      <c r="I281" s="200"/>
      <c r="J281" s="200"/>
      <c r="K281" s="199"/>
      <c r="L281" s="200"/>
      <c r="M281" s="200"/>
      <c r="N281" s="197"/>
    </row>
    <row r="282" spans="1:14">
      <c r="A282" s="262"/>
      <c r="B282" s="262"/>
      <c r="C282" s="197">
        <v>25</v>
      </c>
      <c r="D282" s="262"/>
      <c r="E282" s="198">
        <v>368.05764799999997</v>
      </c>
      <c r="F282" s="197"/>
      <c r="G282" s="199" t="s">
        <v>512</v>
      </c>
      <c r="H282" s="200"/>
      <c r="I282" s="200"/>
      <c r="J282" s="200"/>
      <c r="K282" s="199"/>
      <c r="L282" s="200"/>
      <c r="M282" s="200"/>
      <c r="N282" s="197"/>
    </row>
    <row r="283" spans="1:14">
      <c r="A283" s="262"/>
      <c r="B283" s="262"/>
      <c r="C283" s="197">
        <v>26</v>
      </c>
      <c r="D283" s="261">
        <v>5</v>
      </c>
      <c r="E283" s="198">
        <v>368.26721199999997</v>
      </c>
      <c r="F283" s="197" t="s">
        <v>227</v>
      </c>
      <c r="G283" s="199" t="s">
        <v>513</v>
      </c>
      <c r="H283" s="200">
        <v>0.46500000000000002</v>
      </c>
      <c r="I283" s="200">
        <v>0.97499999999999998</v>
      </c>
      <c r="J283" s="200">
        <v>0.56999999999999995</v>
      </c>
      <c r="K283" s="199" t="s">
        <v>417</v>
      </c>
      <c r="L283" s="200"/>
      <c r="M283" s="200"/>
      <c r="N283" s="197"/>
    </row>
    <row r="284" spans="1:14">
      <c r="A284" s="262"/>
      <c r="B284" s="262"/>
      <c r="C284" s="197">
        <v>27</v>
      </c>
      <c r="D284" s="262"/>
      <c r="E284" s="198">
        <v>368.48260499999998</v>
      </c>
      <c r="F284" s="197"/>
      <c r="G284" s="199" t="s">
        <v>514</v>
      </c>
      <c r="H284" s="200"/>
      <c r="I284" s="200"/>
      <c r="J284" s="200"/>
      <c r="K284" s="199"/>
      <c r="L284" s="200"/>
      <c r="M284" s="200"/>
      <c r="N284" s="197"/>
    </row>
    <row r="285" spans="1:14">
      <c r="A285" s="262"/>
      <c r="B285" s="262"/>
      <c r="C285" s="197">
        <v>28</v>
      </c>
      <c r="D285" s="262"/>
      <c r="E285" s="198">
        <v>369.16320200000001</v>
      </c>
      <c r="F285" s="197"/>
      <c r="G285" s="199" t="s">
        <v>515</v>
      </c>
      <c r="H285" s="200"/>
      <c r="I285" s="200"/>
      <c r="J285" s="200"/>
      <c r="K285" s="199"/>
      <c r="L285" s="200"/>
      <c r="M285" s="200"/>
      <c r="N285" s="197"/>
    </row>
    <row r="286" spans="1:14">
      <c r="A286" s="262"/>
      <c r="B286" s="262"/>
      <c r="C286" s="197">
        <v>29</v>
      </c>
      <c r="D286" s="261">
        <v>6</v>
      </c>
      <c r="E286" s="198">
        <v>366.55809900000003</v>
      </c>
      <c r="F286" s="197" t="s">
        <v>227</v>
      </c>
      <c r="G286" s="199" t="s">
        <v>516</v>
      </c>
      <c r="H286" s="200">
        <v>0.40500000000000003</v>
      </c>
      <c r="I286" s="200">
        <v>0.97499999999999998</v>
      </c>
      <c r="J286" s="200">
        <v>0.53</v>
      </c>
      <c r="K286" s="199" t="s">
        <v>417</v>
      </c>
      <c r="L286" s="200"/>
      <c r="M286" s="200"/>
      <c r="N286" s="197"/>
    </row>
    <row r="287" spans="1:14">
      <c r="A287" s="262"/>
      <c r="B287" s="262"/>
      <c r="C287" s="197">
        <v>30</v>
      </c>
      <c r="D287" s="262"/>
      <c r="E287" s="198">
        <v>331.26070399999998</v>
      </c>
      <c r="F287" s="197"/>
      <c r="G287" s="199" t="s">
        <v>517</v>
      </c>
      <c r="H287" s="200"/>
      <c r="I287" s="200"/>
      <c r="J287" s="200"/>
      <c r="K287" s="199"/>
      <c r="L287" s="200"/>
      <c r="M287" s="200"/>
      <c r="N287" s="197"/>
    </row>
    <row r="288" spans="1:14">
      <c r="A288" s="262"/>
      <c r="B288" s="262"/>
      <c r="C288" s="197">
        <v>31</v>
      </c>
      <c r="D288" s="262"/>
      <c r="E288" s="198">
        <v>329.46647000000002</v>
      </c>
      <c r="F288" s="197"/>
      <c r="G288" s="199" t="s">
        <v>518</v>
      </c>
      <c r="H288" s="200"/>
      <c r="I288" s="200"/>
      <c r="J288" s="200"/>
      <c r="K288" s="199"/>
      <c r="L288" s="200"/>
      <c r="M288" s="200"/>
      <c r="N288" s="197"/>
    </row>
    <row r="289" spans="1:14">
      <c r="A289" s="262"/>
      <c r="B289" s="262"/>
      <c r="C289" s="197">
        <v>32</v>
      </c>
      <c r="D289" s="262"/>
      <c r="E289" s="198">
        <v>330.16935899999999</v>
      </c>
      <c r="F289" s="197"/>
      <c r="G289" s="199" t="s">
        <v>519</v>
      </c>
      <c r="H289" s="200"/>
      <c r="I289" s="200"/>
      <c r="J289" s="200"/>
      <c r="K289" s="199"/>
      <c r="L289" s="200"/>
      <c r="M289" s="200"/>
      <c r="N289" s="197"/>
    </row>
    <row r="290" spans="1:14">
      <c r="A290" s="262"/>
      <c r="B290" s="262"/>
      <c r="C290" s="197">
        <v>33</v>
      </c>
      <c r="D290" s="261">
        <v>7</v>
      </c>
      <c r="E290" s="198">
        <v>241.81227000000001</v>
      </c>
      <c r="F290" s="197" t="s">
        <v>227</v>
      </c>
      <c r="G290" s="199" t="s">
        <v>520</v>
      </c>
      <c r="H290" s="200">
        <v>0.38500000000000001</v>
      </c>
      <c r="I290" s="200">
        <v>0.98</v>
      </c>
      <c r="J290" s="200">
        <v>0.52500000000000002</v>
      </c>
      <c r="K290" s="199" t="s">
        <v>417</v>
      </c>
      <c r="L290" s="200"/>
      <c r="M290" s="200"/>
      <c r="N290" s="197"/>
    </row>
    <row r="291" spans="1:14">
      <c r="A291" s="262"/>
      <c r="B291" s="262"/>
      <c r="C291" s="197">
        <v>34</v>
      </c>
      <c r="D291" s="262"/>
      <c r="E291" s="198">
        <v>249.24012400000001</v>
      </c>
      <c r="F291" s="197"/>
      <c r="G291" s="199" t="s">
        <v>521</v>
      </c>
      <c r="H291" s="200"/>
      <c r="I291" s="200"/>
      <c r="J291" s="200"/>
      <c r="K291" s="199"/>
      <c r="L291" s="200"/>
      <c r="M291" s="200"/>
      <c r="N291" s="197"/>
    </row>
    <row r="292" spans="1:14">
      <c r="A292" s="262"/>
      <c r="B292" s="262"/>
      <c r="C292" s="197">
        <v>35</v>
      </c>
      <c r="D292" s="262"/>
      <c r="E292" s="198">
        <v>248.87006600000001</v>
      </c>
      <c r="F292" s="197"/>
      <c r="G292" s="199" t="s">
        <v>522</v>
      </c>
      <c r="H292" s="200"/>
      <c r="I292" s="200"/>
      <c r="J292" s="200"/>
      <c r="K292" s="199"/>
      <c r="L292" s="200"/>
      <c r="M292" s="200"/>
      <c r="N292" s="197"/>
    </row>
    <row r="293" spans="1:14">
      <c r="A293" s="262"/>
      <c r="B293" s="262"/>
      <c r="C293" s="197">
        <v>36</v>
      </c>
      <c r="D293" s="262"/>
      <c r="E293" s="198">
        <v>248.30345700000001</v>
      </c>
      <c r="F293" s="197"/>
      <c r="G293" s="199" t="s">
        <v>523</v>
      </c>
      <c r="H293" s="200"/>
      <c r="I293" s="200"/>
      <c r="J293" s="200"/>
      <c r="K293" s="199"/>
      <c r="L293" s="200"/>
      <c r="M293" s="200"/>
      <c r="N293" s="197"/>
    </row>
    <row r="294" spans="1:14">
      <c r="A294" s="262"/>
      <c r="B294" s="262"/>
      <c r="C294" s="197">
        <v>37</v>
      </c>
      <c r="D294" s="261">
        <v>8</v>
      </c>
      <c r="E294" s="198">
        <v>248.56608299999999</v>
      </c>
      <c r="F294" s="197" t="s">
        <v>227</v>
      </c>
      <c r="G294" s="199" t="s">
        <v>524</v>
      </c>
      <c r="H294" s="200">
        <v>0.39</v>
      </c>
      <c r="I294" s="200">
        <v>1.03</v>
      </c>
      <c r="J294" s="200">
        <v>0.51500000000000001</v>
      </c>
      <c r="K294" s="199" t="s">
        <v>229</v>
      </c>
      <c r="L294" s="200"/>
      <c r="M294" s="200"/>
      <c r="N294" s="197"/>
    </row>
    <row r="295" spans="1:14">
      <c r="A295" s="262"/>
      <c r="B295" s="262"/>
      <c r="C295" s="197">
        <v>38</v>
      </c>
      <c r="D295" s="262"/>
      <c r="E295" s="198">
        <v>0</v>
      </c>
      <c r="F295" s="197" t="s">
        <v>227</v>
      </c>
      <c r="G295" s="199" t="s">
        <v>269</v>
      </c>
      <c r="H295" s="200"/>
      <c r="I295" s="200"/>
      <c r="J295" s="200"/>
      <c r="K295" s="199"/>
      <c r="L295" s="200"/>
      <c r="M295" s="200"/>
      <c r="N295" s="197"/>
    </row>
    <row r="296" spans="1:14">
      <c r="A296" s="262"/>
      <c r="B296" s="262"/>
      <c r="C296" s="197">
        <v>39</v>
      </c>
      <c r="D296" s="262"/>
      <c r="E296" s="198">
        <v>0</v>
      </c>
      <c r="F296" s="197" t="s">
        <v>227</v>
      </c>
      <c r="G296" s="199" t="s">
        <v>270</v>
      </c>
      <c r="H296" s="200"/>
      <c r="I296" s="200"/>
      <c r="J296" s="200"/>
      <c r="K296" s="199"/>
      <c r="L296" s="200"/>
      <c r="M296" s="200"/>
      <c r="N296" s="197"/>
    </row>
    <row r="297" spans="1:14">
      <c r="A297" s="262"/>
      <c r="B297" s="262"/>
      <c r="C297" s="197">
        <v>40</v>
      </c>
      <c r="D297" s="262"/>
      <c r="E297" s="198">
        <v>248.151138</v>
      </c>
      <c r="F297" s="197"/>
      <c r="G297" s="199" t="s">
        <v>525</v>
      </c>
      <c r="H297" s="200"/>
      <c r="I297" s="200"/>
      <c r="J297" s="200"/>
      <c r="K297" s="199"/>
      <c r="L297" s="200"/>
      <c r="M297" s="200"/>
      <c r="N297" s="197"/>
    </row>
    <row r="298" spans="1:14">
      <c r="A298" s="262"/>
      <c r="B298" s="262"/>
      <c r="C298" s="197">
        <v>41</v>
      </c>
      <c r="D298" s="262"/>
      <c r="E298" s="198">
        <v>248.14760200000001</v>
      </c>
      <c r="F298" s="197"/>
      <c r="G298" s="199" t="s">
        <v>526</v>
      </c>
      <c r="H298" s="200"/>
      <c r="I298" s="200"/>
      <c r="J298" s="200"/>
      <c r="K298" s="199"/>
      <c r="L298" s="200"/>
      <c r="M298" s="200"/>
      <c r="N298" s="197"/>
    </row>
    <row r="299" spans="1:14">
      <c r="A299" s="262"/>
      <c r="B299" s="262"/>
      <c r="C299" s="197">
        <v>42</v>
      </c>
      <c r="D299" s="262"/>
      <c r="E299" s="198">
        <v>248.141211</v>
      </c>
      <c r="F299" s="197"/>
      <c r="G299" s="199" t="s">
        <v>527</v>
      </c>
      <c r="H299" s="200"/>
      <c r="I299" s="200"/>
      <c r="J299" s="200"/>
      <c r="K299" s="199"/>
      <c r="L299" s="200"/>
      <c r="M299" s="200"/>
      <c r="N299" s="197"/>
    </row>
    <row r="300" spans="1:14">
      <c r="A300" s="262"/>
      <c r="B300" s="262"/>
      <c r="C300" s="197">
        <v>43</v>
      </c>
      <c r="D300" s="262"/>
      <c r="E300" s="198">
        <v>247.53209699999999</v>
      </c>
      <c r="F300" s="197"/>
      <c r="G300" s="199" t="s">
        <v>528</v>
      </c>
      <c r="H300" s="200"/>
      <c r="I300" s="200"/>
      <c r="J300" s="200"/>
      <c r="K300" s="199"/>
      <c r="L300" s="200"/>
      <c r="M300" s="200"/>
      <c r="N300" s="197"/>
    </row>
    <row r="301" spans="1:14">
      <c r="A301" s="262"/>
      <c r="B301" s="262"/>
      <c r="C301" s="197">
        <v>44</v>
      </c>
      <c r="D301" s="261">
        <v>9</v>
      </c>
      <c r="E301" s="198">
        <v>249.02565100000001</v>
      </c>
      <c r="F301" s="197" t="s">
        <v>227</v>
      </c>
      <c r="G301" s="199" t="s">
        <v>529</v>
      </c>
      <c r="H301" s="200">
        <v>0.40500000000000003</v>
      </c>
      <c r="I301" s="200">
        <v>0.995</v>
      </c>
      <c r="J301" s="200">
        <v>0.49</v>
      </c>
      <c r="K301" s="199" t="s">
        <v>417</v>
      </c>
      <c r="L301" s="200"/>
      <c r="M301" s="200"/>
      <c r="N301" s="197"/>
    </row>
    <row r="302" spans="1:14">
      <c r="A302" s="262"/>
      <c r="B302" s="262"/>
      <c r="C302" s="197">
        <v>45</v>
      </c>
      <c r="D302" s="262"/>
      <c r="E302" s="198">
        <v>321.89779700000003</v>
      </c>
      <c r="F302" s="197"/>
      <c r="G302" s="199" t="s">
        <v>530</v>
      </c>
      <c r="H302" s="200"/>
      <c r="I302" s="200"/>
      <c r="J302" s="200"/>
      <c r="K302" s="199"/>
      <c r="L302" s="200"/>
      <c r="M302" s="200"/>
      <c r="N302" s="197"/>
    </row>
    <row r="303" spans="1:14">
      <c r="A303" s="262"/>
      <c r="B303" s="262"/>
      <c r="C303" s="197">
        <v>46</v>
      </c>
      <c r="D303" s="262"/>
      <c r="E303" s="198">
        <v>329.60100299999999</v>
      </c>
      <c r="F303" s="197"/>
      <c r="G303" s="199" t="s">
        <v>531</v>
      </c>
      <c r="H303" s="200"/>
      <c r="I303" s="200"/>
      <c r="J303" s="200"/>
      <c r="K303" s="199"/>
      <c r="L303" s="200"/>
      <c r="M303" s="200"/>
      <c r="N303" s="197"/>
    </row>
    <row r="304" spans="1:14">
      <c r="A304" s="262"/>
      <c r="B304" s="262"/>
      <c r="C304" s="197">
        <v>47</v>
      </c>
      <c r="D304" s="262"/>
      <c r="E304" s="198">
        <v>330.853408</v>
      </c>
      <c r="F304" s="197"/>
      <c r="G304" s="199" t="s">
        <v>532</v>
      </c>
      <c r="H304" s="200"/>
      <c r="I304" s="200"/>
      <c r="J304" s="200"/>
      <c r="K304" s="199"/>
      <c r="L304" s="200"/>
      <c r="M304" s="200"/>
      <c r="N304" s="197"/>
    </row>
    <row r="305" spans="1:14">
      <c r="A305" s="262"/>
      <c r="B305" s="262"/>
      <c r="C305" s="197">
        <v>48</v>
      </c>
      <c r="D305" s="262"/>
      <c r="E305" s="198">
        <v>330.436262</v>
      </c>
      <c r="F305" s="197"/>
      <c r="G305" s="199" t="s">
        <v>533</v>
      </c>
      <c r="H305" s="200"/>
      <c r="I305" s="200"/>
      <c r="J305" s="200"/>
      <c r="K305" s="199"/>
      <c r="L305" s="200"/>
      <c r="M305" s="200"/>
      <c r="N305" s="197"/>
    </row>
    <row r="306" spans="1:14">
      <c r="A306" s="262"/>
      <c r="B306" s="262"/>
      <c r="C306" s="197">
        <v>49</v>
      </c>
      <c r="D306" s="261">
        <v>10</v>
      </c>
      <c r="E306" s="198">
        <v>296.153839</v>
      </c>
      <c r="F306" s="197" t="s">
        <v>227</v>
      </c>
      <c r="G306" s="199" t="s">
        <v>534</v>
      </c>
      <c r="H306" s="200">
        <v>0.375</v>
      </c>
      <c r="I306" s="200">
        <v>0.98499999999999999</v>
      </c>
      <c r="J306" s="200">
        <v>0.48</v>
      </c>
      <c r="K306" s="199" t="s">
        <v>408</v>
      </c>
      <c r="L306" s="200"/>
      <c r="M306" s="200"/>
      <c r="N306" s="197"/>
    </row>
    <row r="307" spans="1:14">
      <c r="A307" s="262"/>
      <c r="B307" s="262"/>
      <c r="C307" s="197">
        <v>50</v>
      </c>
      <c r="D307" s="262"/>
      <c r="E307" s="198">
        <v>250.11800500000001</v>
      </c>
      <c r="F307" s="197"/>
      <c r="G307" s="199" t="s">
        <v>535</v>
      </c>
      <c r="H307" s="200"/>
      <c r="I307" s="200"/>
      <c r="J307" s="200"/>
      <c r="K307" s="199"/>
      <c r="L307" s="200"/>
      <c r="M307" s="200"/>
      <c r="N307" s="197"/>
    </row>
    <row r="308" spans="1:14">
      <c r="A308" s="262"/>
      <c r="B308" s="262"/>
      <c r="C308" s="197">
        <v>51</v>
      </c>
      <c r="D308" s="262"/>
      <c r="E308" s="198">
        <v>251.15338199999999</v>
      </c>
      <c r="F308" s="197"/>
      <c r="G308" s="199" t="s">
        <v>536</v>
      </c>
      <c r="H308" s="200"/>
      <c r="I308" s="200"/>
      <c r="J308" s="200"/>
      <c r="K308" s="199"/>
      <c r="L308" s="200"/>
      <c r="M308" s="200"/>
      <c r="N308" s="197"/>
    </row>
    <row r="309" spans="1:14">
      <c r="A309" s="262"/>
      <c r="B309" s="262"/>
      <c r="C309" s="197">
        <v>52</v>
      </c>
      <c r="D309" s="262"/>
      <c r="E309" s="198">
        <v>248.36500000000001</v>
      </c>
      <c r="F309" s="197"/>
      <c r="G309" s="199" t="s">
        <v>537</v>
      </c>
      <c r="H309" s="200"/>
      <c r="I309" s="200"/>
      <c r="J309" s="200"/>
      <c r="K309" s="199"/>
      <c r="L309" s="200"/>
      <c r="M309" s="200"/>
      <c r="N309" s="197"/>
    </row>
    <row r="310" spans="1:14">
      <c r="A310" s="262"/>
      <c r="B310" s="262"/>
      <c r="C310" s="197">
        <v>53</v>
      </c>
      <c r="D310" s="261">
        <v>11</v>
      </c>
      <c r="E310" s="198">
        <v>497.02868699999999</v>
      </c>
      <c r="F310" s="197" t="s">
        <v>227</v>
      </c>
      <c r="G310" s="199" t="s">
        <v>538</v>
      </c>
      <c r="H310" s="200">
        <v>0.36499999999999999</v>
      </c>
      <c r="I310" s="200">
        <v>1.0049999999999999</v>
      </c>
      <c r="J310" s="200">
        <v>0.48499999999999999</v>
      </c>
      <c r="K310" s="199" t="s">
        <v>408</v>
      </c>
      <c r="L310" s="200"/>
      <c r="M310" s="200"/>
      <c r="N310" s="197"/>
    </row>
    <row r="311" spans="1:14">
      <c r="A311" s="262"/>
      <c r="B311" s="262"/>
      <c r="C311" s="197">
        <v>54</v>
      </c>
      <c r="D311" s="262"/>
      <c r="E311" s="198">
        <v>498.97628800000001</v>
      </c>
      <c r="F311" s="197"/>
      <c r="G311" s="199" t="s">
        <v>539</v>
      </c>
      <c r="H311" s="200"/>
      <c r="I311" s="200"/>
      <c r="J311" s="200"/>
      <c r="K311" s="199"/>
      <c r="L311" s="200"/>
      <c r="M311" s="200"/>
      <c r="N311" s="197"/>
    </row>
    <row r="312" spans="1:14">
      <c r="A312" s="262"/>
      <c r="B312" s="262"/>
      <c r="C312" s="197">
        <v>55</v>
      </c>
      <c r="D312" s="262"/>
      <c r="E312" s="198">
        <v>501.13635299999999</v>
      </c>
      <c r="F312" s="197"/>
      <c r="G312" s="199" t="s">
        <v>540</v>
      </c>
      <c r="H312" s="200"/>
      <c r="I312" s="200"/>
      <c r="J312" s="200"/>
      <c r="K312" s="199"/>
      <c r="L312" s="200"/>
      <c r="M312" s="200"/>
      <c r="N312" s="197"/>
    </row>
    <row r="313" spans="1:14">
      <c r="A313" s="262"/>
      <c r="B313" s="262"/>
      <c r="C313" s="197">
        <v>56</v>
      </c>
      <c r="D313" s="262"/>
      <c r="E313" s="198">
        <v>500.00003099999998</v>
      </c>
      <c r="F313" s="197"/>
      <c r="G313" s="199" t="s">
        <v>541</v>
      </c>
      <c r="H313" s="200"/>
      <c r="I313" s="200"/>
      <c r="J313" s="200"/>
      <c r="K313" s="199"/>
      <c r="L313" s="200"/>
      <c r="M313" s="200"/>
      <c r="N313" s="197"/>
    </row>
    <row r="314" spans="1:14">
      <c r="A314" s="262"/>
      <c r="B314" s="262"/>
      <c r="C314" s="197">
        <v>57</v>
      </c>
      <c r="D314" s="261">
        <v>12</v>
      </c>
      <c r="E314" s="198">
        <v>0</v>
      </c>
      <c r="F314" s="197" t="s">
        <v>227</v>
      </c>
      <c r="G314" s="199" t="s">
        <v>289</v>
      </c>
      <c r="H314" s="200">
        <v>0.45</v>
      </c>
      <c r="I314" s="200">
        <v>1</v>
      </c>
      <c r="J314" s="200">
        <v>0.52</v>
      </c>
      <c r="K314" s="199" t="s">
        <v>417</v>
      </c>
      <c r="L314" s="200"/>
      <c r="M314" s="200"/>
      <c r="N314" s="197"/>
    </row>
    <row r="315" spans="1:14">
      <c r="A315" s="262"/>
      <c r="B315" s="262"/>
      <c r="C315" s="197">
        <v>58</v>
      </c>
      <c r="D315" s="262"/>
      <c r="E315" s="198">
        <v>331.51476700000001</v>
      </c>
      <c r="F315" s="197"/>
      <c r="G315" s="199" t="s">
        <v>542</v>
      </c>
      <c r="H315" s="200"/>
      <c r="I315" s="200"/>
      <c r="J315" s="200"/>
      <c r="K315" s="199"/>
      <c r="L315" s="200"/>
      <c r="M315" s="200"/>
      <c r="N315" s="197"/>
    </row>
    <row r="316" spans="1:14">
      <c r="A316" s="262"/>
      <c r="B316" s="262"/>
      <c r="C316" s="197">
        <v>59</v>
      </c>
      <c r="D316" s="262"/>
      <c r="E316" s="198">
        <v>330.90009900000001</v>
      </c>
      <c r="F316" s="197"/>
      <c r="G316" s="199" t="s">
        <v>543</v>
      </c>
      <c r="H316" s="200"/>
      <c r="I316" s="200"/>
      <c r="J316" s="200"/>
      <c r="K316" s="199"/>
      <c r="L316" s="200"/>
      <c r="M316" s="200"/>
      <c r="N316" s="197"/>
    </row>
    <row r="317" spans="1:14">
      <c r="A317" s="262"/>
      <c r="B317" s="262"/>
      <c r="C317" s="197">
        <v>60</v>
      </c>
      <c r="D317" s="262"/>
      <c r="E317" s="198">
        <v>331.22049600000003</v>
      </c>
      <c r="F317" s="197"/>
      <c r="G317" s="199" t="s">
        <v>544</v>
      </c>
      <c r="H317" s="200"/>
      <c r="I317" s="200"/>
      <c r="J317" s="200"/>
      <c r="K317" s="199"/>
      <c r="L317" s="200"/>
      <c r="M317" s="200"/>
      <c r="N317" s="197"/>
    </row>
    <row r="318" spans="1:14">
      <c r="A318" s="262"/>
      <c r="B318" s="262"/>
      <c r="C318" s="197">
        <v>61</v>
      </c>
      <c r="D318" s="262"/>
      <c r="E318" s="198">
        <v>332.12540999999999</v>
      </c>
      <c r="F318" s="197"/>
      <c r="G318" s="199" t="s">
        <v>545</v>
      </c>
      <c r="H318" s="200"/>
      <c r="I318" s="200"/>
      <c r="J318" s="200"/>
      <c r="K318" s="199"/>
      <c r="L318" s="200"/>
      <c r="M318" s="200"/>
      <c r="N318" s="197"/>
    </row>
    <row r="319" spans="1:14">
      <c r="A319" s="262"/>
      <c r="B319" s="262"/>
      <c r="C319" s="197">
        <v>62</v>
      </c>
      <c r="D319" s="262"/>
      <c r="E319" s="198">
        <v>331.37460600000003</v>
      </c>
      <c r="F319" s="197"/>
      <c r="G319" s="199" t="s">
        <v>546</v>
      </c>
      <c r="H319" s="200"/>
      <c r="I319" s="200"/>
      <c r="J319" s="200"/>
      <c r="K319" s="199"/>
      <c r="L319" s="200"/>
      <c r="M319" s="200"/>
      <c r="N319" s="197"/>
    </row>
    <row r="320" spans="1:14">
      <c r="A320" s="262"/>
      <c r="B320" s="262"/>
      <c r="C320" s="197">
        <v>63</v>
      </c>
      <c r="D320" s="262"/>
      <c r="E320" s="198">
        <v>331.15850599999999</v>
      </c>
      <c r="F320" s="197"/>
      <c r="G320" s="199" t="s">
        <v>547</v>
      </c>
      <c r="H320" s="200"/>
      <c r="I320" s="200"/>
      <c r="J320" s="200"/>
      <c r="K320" s="199"/>
      <c r="L320" s="200"/>
      <c r="M320" s="200"/>
      <c r="N320" s="197"/>
    </row>
    <row r="321" spans="1:14">
      <c r="A321" s="262"/>
      <c r="B321" s="262"/>
      <c r="C321" s="197">
        <v>64</v>
      </c>
      <c r="D321" s="262"/>
      <c r="E321" s="198">
        <v>332.02908100000002</v>
      </c>
      <c r="F321" s="197"/>
      <c r="G321" s="199" t="s">
        <v>548</v>
      </c>
      <c r="H321" s="200"/>
      <c r="I321" s="200"/>
      <c r="J321" s="200"/>
      <c r="K321" s="199"/>
      <c r="L321" s="200"/>
      <c r="M321" s="200"/>
      <c r="N321" s="197"/>
    </row>
    <row r="322" spans="1:14">
      <c r="A322" s="262"/>
      <c r="B322" s="262"/>
      <c r="C322" s="197">
        <v>65</v>
      </c>
      <c r="D322" s="262"/>
      <c r="E322" s="198">
        <v>362.690586</v>
      </c>
      <c r="F322" s="197"/>
      <c r="G322" s="199" t="s">
        <v>549</v>
      </c>
      <c r="H322" s="200"/>
      <c r="I322" s="200"/>
      <c r="J322" s="200"/>
      <c r="K322" s="199"/>
      <c r="L322" s="200"/>
      <c r="M322" s="200"/>
      <c r="N322" s="197"/>
    </row>
    <row r="323" spans="1:14">
      <c r="A323" s="262"/>
      <c r="B323" s="262"/>
      <c r="C323" s="197">
        <v>66</v>
      </c>
      <c r="D323" s="261">
        <v>13</v>
      </c>
      <c r="E323" s="198">
        <v>368.56829800000003</v>
      </c>
      <c r="F323" s="197" t="s">
        <v>227</v>
      </c>
      <c r="G323" s="199" t="s">
        <v>550</v>
      </c>
      <c r="H323" s="200">
        <v>0.41</v>
      </c>
      <c r="I323" s="200">
        <v>1.0049999999999999</v>
      </c>
      <c r="J323" s="200">
        <v>0.51</v>
      </c>
      <c r="K323" s="199" t="s">
        <v>417</v>
      </c>
      <c r="L323" s="200"/>
      <c r="M323" s="200"/>
      <c r="N323" s="197"/>
    </row>
    <row r="324" spans="1:14">
      <c r="A324" s="262"/>
      <c r="B324" s="262"/>
      <c r="C324" s="197">
        <v>67</v>
      </c>
      <c r="D324" s="262"/>
      <c r="E324" s="198">
        <v>368.78048699999999</v>
      </c>
      <c r="F324" s="197"/>
      <c r="G324" s="199" t="s">
        <v>551</v>
      </c>
      <c r="H324" s="200"/>
      <c r="I324" s="200"/>
      <c r="J324" s="200"/>
      <c r="K324" s="199"/>
      <c r="L324" s="200"/>
      <c r="M324" s="200"/>
      <c r="N324" s="197"/>
    </row>
    <row r="325" spans="1:14">
      <c r="A325" s="262"/>
      <c r="B325" s="262"/>
      <c r="C325" s="197">
        <v>68</v>
      </c>
      <c r="D325" s="262"/>
      <c r="E325" s="198">
        <v>369.64288299999998</v>
      </c>
      <c r="F325" s="197"/>
      <c r="G325" s="199" t="s">
        <v>552</v>
      </c>
      <c r="H325" s="200"/>
      <c r="I325" s="200"/>
      <c r="J325" s="200"/>
      <c r="K325" s="199"/>
      <c r="L325" s="200"/>
      <c r="M325" s="200"/>
      <c r="N325" s="197"/>
    </row>
    <row r="326" spans="1:14">
      <c r="A326" s="262"/>
      <c r="B326" s="262"/>
      <c r="C326" s="197">
        <v>69</v>
      </c>
      <c r="D326" s="261">
        <v>14</v>
      </c>
      <c r="E326" s="198">
        <v>368.112619</v>
      </c>
      <c r="F326" s="197" t="s">
        <v>227</v>
      </c>
      <c r="G326" s="199" t="s">
        <v>553</v>
      </c>
      <c r="H326" s="200">
        <v>0.44500000000000001</v>
      </c>
      <c r="I326" s="200">
        <v>1.07</v>
      </c>
      <c r="J326" s="200">
        <v>0.52500000000000002</v>
      </c>
      <c r="K326" s="199" t="s">
        <v>417</v>
      </c>
      <c r="L326" s="200"/>
      <c r="M326" s="200"/>
      <c r="N326" s="197"/>
    </row>
    <row r="327" spans="1:14">
      <c r="A327" s="262"/>
      <c r="B327" s="262"/>
      <c r="C327" s="197">
        <v>70</v>
      </c>
      <c r="D327" s="262"/>
      <c r="E327" s="198">
        <v>330.17623300000002</v>
      </c>
      <c r="F327" s="197"/>
      <c r="G327" s="199" t="s">
        <v>554</v>
      </c>
      <c r="H327" s="200"/>
      <c r="I327" s="200"/>
      <c r="J327" s="200"/>
      <c r="K327" s="199"/>
      <c r="L327" s="200"/>
      <c r="M327" s="200"/>
      <c r="N327" s="197"/>
    </row>
    <row r="328" spans="1:14">
      <c r="A328" s="262"/>
      <c r="B328" s="262"/>
      <c r="C328" s="197">
        <v>71</v>
      </c>
      <c r="D328" s="262"/>
      <c r="E328" s="198">
        <v>329.88735100000002</v>
      </c>
      <c r="F328" s="197"/>
      <c r="G328" s="199" t="s">
        <v>555</v>
      </c>
      <c r="H328" s="200"/>
      <c r="I328" s="200"/>
      <c r="J328" s="200"/>
      <c r="K328" s="199"/>
      <c r="L328" s="200"/>
      <c r="M328" s="200"/>
      <c r="N328" s="197"/>
    </row>
    <row r="329" spans="1:14">
      <c r="A329" s="262"/>
      <c r="B329" s="262"/>
      <c r="C329" s="197">
        <v>72</v>
      </c>
      <c r="D329" s="262"/>
      <c r="E329" s="198">
        <v>329.97902800000003</v>
      </c>
      <c r="F329" s="197"/>
      <c r="G329" s="199" t="s">
        <v>556</v>
      </c>
      <c r="H329" s="200"/>
      <c r="I329" s="200"/>
      <c r="J329" s="200"/>
      <c r="K329" s="199"/>
      <c r="L329" s="200"/>
      <c r="M329" s="200"/>
      <c r="N329" s="197"/>
    </row>
    <row r="330" spans="1:14">
      <c r="A330" s="262"/>
      <c r="B330" s="262"/>
      <c r="C330" s="197">
        <v>73</v>
      </c>
      <c r="D330" s="261">
        <v>15</v>
      </c>
      <c r="E330" s="198">
        <v>0</v>
      </c>
      <c r="F330" s="197" t="s">
        <v>227</v>
      </c>
      <c r="G330" s="199" t="s">
        <v>557</v>
      </c>
      <c r="H330" s="200">
        <v>0.47</v>
      </c>
      <c r="I330" s="200">
        <v>1.0049999999999999</v>
      </c>
      <c r="J330" s="200">
        <v>0.52500000000000002</v>
      </c>
      <c r="K330" s="199" t="s">
        <v>417</v>
      </c>
      <c r="L330" s="200"/>
      <c r="M330" s="200"/>
      <c r="N330" s="197"/>
    </row>
    <row r="331" spans="1:14">
      <c r="A331" s="262"/>
      <c r="B331" s="262"/>
      <c r="C331" s="197">
        <v>74</v>
      </c>
      <c r="D331" s="262"/>
      <c r="E331" s="198">
        <v>246.46051</v>
      </c>
      <c r="F331" s="197"/>
      <c r="G331" s="199" t="s">
        <v>558</v>
      </c>
      <c r="H331" s="200"/>
      <c r="I331" s="200"/>
      <c r="J331" s="200"/>
      <c r="K331" s="199"/>
      <c r="L331" s="200"/>
      <c r="M331" s="200"/>
      <c r="N331" s="197"/>
    </row>
    <row r="332" spans="1:14">
      <c r="A332" s="262"/>
      <c r="B332" s="262"/>
      <c r="C332" s="197">
        <v>75</v>
      </c>
      <c r="D332" s="262"/>
      <c r="E332" s="198">
        <v>249.131236</v>
      </c>
      <c r="F332" s="197"/>
      <c r="G332" s="199" t="s">
        <v>559</v>
      </c>
      <c r="H332" s="200"/>
      <c r="I332" s="200"/>
      <c r="J332" s="200"/>
      <c r="K332" s="199"/>
      <c r="L332" s="200"/>
      <c r="M332" s="200"/>
      <c r="N332" s="197"/>
    </row>
    <row r="333" spans="1:14">
      <c r="A333" s="262"/>
      <c r="B333" s="262"/>
      <c r="C333" s="197">
        <v>76</v>
      </c>
      <c r="D333" s="262"/>
      <c r="E333" s="198">
        <v>248.19682599999999</v>
      </c>
      <c r="F333" s="197"/>
      <c r="G333" s="199" t="s">
        <v>560</v>
      </c>
      <c r="H333" s="200"/>
      <c r="I333" s="200"/>
      <c r="J333" s="200"/>
      <c r="K333" s="199"/>
      <c r="L333" s="200"/>
      <c r="M333" s="200"/>
      <c r="N333" s="197"/>
    </row>
    <row r="334" spans="1:14">
      <c r="A334" s="262"/>
      <c r="B334" s="262"/>
      <c r="C334" s="197">
        <v>77</v>
      </c>
      <c r="D334" s="262"/>
      <c r="E334" s="198">
        <v>0</v>
      </c>
      <c r="F334" s="197" t="s">
        <v>227</v>
      </c>
      <c r="G334" s="199" t="s">
        <v>561</v>
      </c>
      <c r="H334" s="200"/>
      <c r="I334" s="200"/>
      <c r="J334" s="200"/>
      <c r="K334" s="199"/>
      <c r="L334" s="200"/>
      <c r="M334" s="200"/>
      <c r="N334" s="197"/>
    </row>
    <row r="335" spans="1:14">
      <c r="A335" s="262"/>
      <c r="B335" s="262"/>
      <c r="C335" s="197">
        <v>78</v>
      </c>
      <c r="D335" s="261">
        <v>16</v>
      </c>
      <c r="E335" s="198">
        <v>0</v>
      </c>
      <c r="F335" s="197" t="s">
        <v>227</v>
      </c>
      <c r="G335" s="199" t="s">
        <v>310</v>
      </c>
      <c r="H335" s="200">
        <v>0.42499999999999999</v>
      </c>
      <c r="I335" s="200">
        <v>1.03</v>
      </c>
      <c r="J335" s="200">
        <v>0.51</v>
      </c>
      <c r="K335" s="199" t="s">
        <v>229</v>
      </c>
      <c r="L335" s="200"/>
      <c r="M335" s="200"/>
      <c r="N335" s="197"/>
    </row>
    <row r="336" spans="1:14">
      <c r="A336" s="262"/>
      <c r="B336" s="262"/>
      <c r="C336" s="197">
        <v>79</v>
      </c>
      <c r="D336" s="262"/>
      <c r="E336" s="198">
        <v>0</v>
      </c>
      <c r="F336" s="197" t="s">
        <v>227</v>
      </c>
      <c r="G336" s="199" t="s">
        <v>311</v>
      </c>
      <c r="H336" s="200"/>
      <c r="I336" s="200"/>
      <c r="J336" s="200"/>
      <c r="K336" s="199"/>
      <c r="L336" s="200"/>
      <c r="M336" s="200"/>
      <c r="N336" s="197"/>
    </row>
    <row r="337" spans="1:14">
      <c r="A337" s="262"/>
      <c r="B337" s="262"/>
      <c r="C337" s="197">
        <v>80</v>
      </c>
      <c r="D337" s="262"/>
      <c r="E337" s="198">
        <v>0</v>
      </c>
      <c r="F337" s="197" t="s">
        <v>227</v>
      </c>
      <c r="G337" s="199" t="s">
        <v>312</v>
      </c>
      <c r="H337" s="200"/>
      <c r="I337" s="200"/>
      <c r="J337" s="200"/>
      <c r="K337" s="199"/>
      <c r="L337" s="200"/>
      <c r="M337" s="200"/>
      <c r="N337" s="197"/>
    </row>
    <row r="338" spans="1:14">
      <c r="A338" s="262"/>
      <c r="B338" s="262"/>
      <c r="C338" s="197">
        <v>81</v>
      </c>
      <c r="D338" s="262"/>
      <c r="E338" s="198">
        <v>0</v>
      </c>
      <c r="F338" s="197" t="s">
        <v>227</v>
      </c>
      <c r="G338" s="199" t="s">
        <v>313</v>
      </c>
      <c r="H338" s="200"/>
      <c r="I338" s="200"/>
      <c r="J338" s="200"/>
      <c r="K338" s="199"/>
      <c r="L338" s="200"/>
      <c r="M338" s="200"/>
      <c r="N338" s="197"/>
    </row>
    <row r="339" spans="1:14">
      <c r="A339" s="262"/>
      <c r="B339" s="262"/>
      <c r="C339" s="197">
        <v>82</v>
      </c>
      <c r="D339" s="262"/>
      <c r="E339" s="198">
        <v>0</v>
      </c>
      <c r="F339" s="197" t="s">
        <v>227</v>
      </c>
      <c r="G339" s="199" t="s">
        <v>314</v>
      </c>
      <c r="H339" s="200"/>
      <c r="I339" s="200"/>
      <c r="J339" s="200"/>
      <c r="K339" s="199"/>
      <c r="L339" s="200"/>
      <c r="M339" s="200"/>
      <c r="N339" s="197"/>
    </row>
    <row r="340" spans="1:14">
      <c r="A340" s="262"/>
      <c r="B340" s="262"/>
      <c r="C340" s="197">
        <v>83</v>
      </c>
      <c r="D340" s="262"/>
      <c r="E340" s="198">
        <v>0</v>
      </c>
      <c r="F340" s="197" t="s">
        <v>227</v>
      </c>
      <c r="G340" s="199" t="s">
        <v>315</v>
      </c>
      <c r="H340" s="200"/>
      <c r="I340" s="200"/>
      <c r="J340" s="200"/>
      <c r="K340" s="199"/>
      <c r="L340" s="200"/>
      <c r="M340" s="200"/>
      <c r="N340" s="197"/>
    </row>
    <row r="341" spans="1:14">
      <c r="A341" s="262"/>
      <c r="B341" s="262"/>
      <c r="C341" s="197">
        <v>84</v>
      </c>
      <c r="D341" s="262"/>
      <c r="E341" s="198">
        <v>0</v>
      </c>
      <c r="F341" s="197" t="s">
        <v>227</v>
      </c>
      <c r="G341" s="199" t="s">
        <v>316</v>
      </c>
      <c r="H341" s="200"/>
      <c r="I341" s="200"/>
      <c r="J341" s="200"/>
      <c r="K341" s="199"/>
      <c r="L341" s="200"/>
      <c r="M341" s="200"/>
      <c r="N341" s="197"/>
    </row>
    <row r="342" spans="1:14">
      <c r="A342" s="262"/>
      <c r="B342" s="262"/>
      <c r="C342" s="197">
        <v>85</v>
      </c>
      <c r="D342" s="262"/>
      <c r="E342" s="198">
        <v>0</v>
      </c>
      <c r="F342" s="197" t="s">
        <v>227</v>
      </c>
      <c r="G342" s="199" t="s">
        <v>317</v>
      </c>
      <c r="H342" s="200"/>
      <c r="I342" s="200"/>
      <c r="J342" s="200"/>
      <c r="K342" s="199"/>
      <c r="L342" s="200"/>
      <c r="M342" s="200"/>
      <c r="N342" s="197"/>
    </row>
    <row r="343" spans="1:14">
      <c r="A343" s="261" t="s">
        <v>562</v>
      </c>
      <c r="B343" s="261">
        <v>4</v>
      </c>
      <c r="C343" s="197">
        <v>1</v>
      </c>
      <c r="D343" s="261">
        <v>1</v>
      </c>
      <c r="E343" s="198">
        <v>0</v>
      </c>
      <c r="F343" s="197" t="s">
        <v>227</v>
      </c>
      <c r="G343" s="199" t="s">
        <v>228</v>
      </c>
      <c r="H343" s="200">
        <v>0.63</v>
      </c>
      <c r="I343" s="200">
        <v>1.06</v>
      </c>
      <c r="J343" s="200">
        <v>0.66500000000000004</v>
      </c>
      <c r="K343" s="199" t="s">
        <v>229</v>
      </c>
      <c r="L343" s="200">
        <v>2.8392822046249672E-2</v>
      </c>
      <c r="M343" s="200"/>
      <c r="N343" s="197"/>
    </row>
    <row r="344" spans="1:14">
      <c r="A344" s="262"/>
      <c r="B344" s="262"/>
      <c r="C344" s="197">
        <v>2</v>
      </c>
      <c r="D344" s="262"/>
      <c r="E344" s="198">
        <v>0</v>
      </c>
      <c r="F344" s="197" t="s">
        <v>227</v>
      </c>
      <c r="G344" s="199" t="s">
        <v>230</v>
      </c>
      <c r="H344" s="200"/>
      <c r="I344" s="200"/>
      <c r="J344" s="200"/>
      <c r="K344" s="199"/>
      <c r="L344" s="200">
        <v>1.4276154725625509E-2</v>
      </c>
      <c r="M344" s="200"/>
      <c r="N344" s="197"/>
    </row>
    <row r="345" spans="1:14">
      <c r="A345" s="262"/>
      <c r="B345" s="262"/>
      <c r="C345" s="197">
        <v>3</v>
      </c>
      <c r="D345" s="262"/>
      <c r="E345" s="198">
        <v>385.91885400000001</v>
      </c>
      <c r="F345" s="197"/>
      <c r="G345" s="199" t="s">
        <v>563</v>
      </c>
      <c r="H345" s="200"/>
      <c r="I345" s="200"/>
      <c r="J345" s="200"/>
      <c r="K345" s="199"/>
      <c r="L345" s="200">
        <v>1.0303025951146594E-2</v>
      </c>
      <c r="M345" s="200"/>
      <c r="N345" s="197"/>
    </row>
    <row r="346" spans="1:14">
      <c r="A346" s="262"/>
      <c r="B346" s="262"/>
      <c r="C346" s="197">
        <v>4</v>
      </c>
      <c r="D346" s="262"/>
      <c r="E346" s="198">
        <v>385.91885400000001</v>
      </c>
      <c r="F346" s="197"/>
      <c r="G346" s="199" t="s">
        <v>564</v>
      </c>
      <c r="H346" s="200"/>
      <c r="I346" s="200"/>
      <c r="J346" s="200"/>
      <c r="K346" s="199"/>
      <c r="L346" s="200"/>
      <c r="M346" s="200" t="s">
        <v>233</v>
      </c>
      <c r="N346" s="197" t="s">
        <v>565</v>
      </c>
    </row>
    <row r="347" spans="1:14">
      <c r="A347" s="262"/>
      <c r="B347" s="262"/>
      <c r="C347" s="197">
        <v>5</v>
      </c>
      <c r="D347" s="261">
        <v>2</v>
      </c>
      <c r="E347" s="198">
        <v>0</v>
      </c>
      <c r="F347" s="197" t="s">
        <v>227</v>
      </c>
      <c r="G347" s="199" t="s">
        <v>566</v>
      </c>
      <c r="H347" s="200">
        <v>0.62</v>
      </c>
      <c r="I347" s="200">
        <v>1.0649999999999999</v>
      </c>
      <c r="J347" s="200">
        <v>0.65</v>
      </c>
      <c r="K347" s="199" t="s">
        <v>229</v>
      </c>
      <c r="L347" s="200"/>
      <c r="M347" s="200"/>
      <c r="N347" s="197"/>
    </row>
    <row r="348" spans="1:14">
      <c r="A348" s="262"/>
      <c r="B348" s="262"/>
      <c r="C348" s="197">
        <v>6</v>
      </c>
      <c r="D348" s="262"/>
      <c r="E348" s="198">
        <v>460.87390099999999</v>
      </c>
      <c r="F348" s="197"/>
      <c r="G348" s="199" t="s">
        <v>567</v>
      </c>
      <c r="H348" s="200"/>
      <c r="I348" s="200"/>
      <c r="J348" s="200"/>
      <c r="K348" s="199"/>
      <c r="L348" s="200"/>
      <c r="M348" s="200"/>
      <c r="N348" s="197"/>
    </row>
    <row r="349" spans="1:14">
      <c r="A349" s="262"/>
      <c r="B349" s="262"/>
      <c r="C349" s="197">
        <v>7</v>
      </c>
      <c r="D349" s="262"/>
      <c r="E349" s="198">
        <v>454.40842900000001</v>
      </c>
      <c r="F349" s="197"/>
      <c r="G349" s="199" t="s">
        <v>568</v>
      </c>
      <c r="H349" s="200"/>
      <c r="I349" s="200"/>
      <c r="J349" s="200"/>
      <c r="K349" s="199"/>
      <c r="L349" s="200"/>
      <c r="M349" s="200"/>
      <c r="N349" s="197"/>
    </row>
    <row r="350" spans="1:14">
      <c r="A350" s="262"/>
      <c r="B350" s="262"/>
      <c r="C350" s="197">
        <v>8</v>
      </c>
      <c r="D350" s="261">
        <v>3</v>
      </c>
      <c r="E350" s="198">
        <v>0</v>
      </c>
      <c r="F350" s="197" t="s">
        <v>227</v>
      </c>
      <c r="G350" s="199" t="s">
        <v>569</v>
      </c>
      <c r="H350" s="200">
        <v>0.63</v>
      </c>
      <c r="I350" s="200">
        <v>1.075</v>
      </c>
      <c r="J350" s="200">
        <v>0.66500000000000004</v>
      </c>
      <c r="K350" s="199" t="s">
        <v>229</v>
      </c>
      <c r="L350" s="200"/>
      <c r="M350" s="200"/>
      <c r="N350" s="197"/>
    </row>
    <row r="351" spans="1:14">
      <c r="A351" s="262"/>
      <c r="B351" s="262"/>
      <c r="C351" s="197">
        <v>9</v>
      </c>
      <c r="D351" s="262"/>
      <c r="E351" s="198">
        <v>385</v>
      </c>
      <c r="F351" s="197"/>
      <c r="G351" s="199" t="s">
        <v>570</v>
      </c>
      <c r="H351" s="200"/>
      <c r="I351" s="200"/>
      <c r="J351" s="200"/>
      <c r="K351" s="199"/>
      <c r="L351" s="200"/>
      <c r="M351" s="200"/>
      <c r="N351" s="197"/>
    </row>
    <row r="352" spans="1:14">
      <c r="A352" s="262"/>
      <c r="B352" s="262"/>
      <c r="C352" s="197">
        <v>10</v>
      </c>
      <c r="D352" s="262"/>
      <c r="E352" s="198">
        <v>385</v>
      </c>
      <c r="F352" s="197"/>
      <c r="G352" s="199" t="s">
        <v>571</v>
      </c>
      <c r="H352" s="200"/>
      <c r="I352" s="200"/>
      <c r="J352" s="200"/>
      <c r="K352" s="199"/>
      <c r="L352" s="200"/>
      <c r="M352" s="200"/>
      <c r="N352" s="197"/>
    </row>
    <row r="353" spans="1:14">
      <c r="A353" s="262"/>
      <c r="B353" s="262"/>
      <c r="C353" s="197">
        <v>11</v>
      </c>
      <c r="D353" s="261">
        <v>4</v>
      </c>
      <c r="E353" s="198">
        <v>0</v>
      </c>
      <c r="F353" s="197" t="s">
        <v>227</v>
      </c>
      <c r="G353" s="199" t="s">
        <v>572</v>
      </c>
      <c r="H353" s="200">
        <v>0.61499999999999999</v>
      </c>
      <c r="I353" s="200">
        <v>1.08</v>
      </c>
      <c r="J353" s="200">
        <v>0.64500000000000002</v>
      </c>
      <c r="K353" s="199" t="s">
        <v>229</v>
      </c>
      <c r="L353" s="200"/>
      <c r="M353" s="200"/>
      <c r="N353" s="197"/>
    </row>
    <row r="354" spans="1:14">
      <c r="A354" s="262"/>
      <c r="B354" s="262"/>
      <c r="C354" s="197">
        <v>12</v>
      </c>
      <c r="D354" s="262"/>
      <c r="E354" s="198">
        <v>382.92330900000002</v>
      </c>
      <c r="F354" s="197"/>
      <c r="G354" s="199" t="s">
        <v>573</v>
      </c>
      <c r="H354" s="200"/>
      <c r="I354" s="200"/>
      <c r="J354" s="200"/>
      <c r="K354" s="199"/>
      <c r="L354" s="200"/>
      <c r="M354" s="200"/>
      <c r="N354" s="197"/>
    </row>
    <row r="355" spans="1:14">
      <c r="A355" s="262"/>
      <c r="B355" s="262"/>
      <c r="C355" s="197">
        <v>13</v>
      </c>
      <c r="D355" s="262"/>
      <c r="E355" s="198">
        <v>382.46606400000002</v>
      </c>
      <c r="F355" s="197"/>
      <c r="G355" s="199" t="s">
        <v>574</v>
      </c>
      <c r="H355" s="200"/>
      <c r="I355" s="200"/>
      <c r="J355" s="200"/>
      <c r="K355" s="199"/>
      <c r="L355" s="200"/>
      <c r="M355" s="200"/>
      <c r="N355" s="197"/>
    </row>
    <row r="356" spans="1:14">
      <c r="A356" s="262"/>
      <c r="B356" s="262"/>
      <c r="C356" s="197">
        <v>14</v>
      </c>
      <c r="D356" s="261">
        <v>5</v>
      </c>
      <c r="E356" s="198">
        <v>380.12402500000002</v>
      </c>
      <c r="F356" s="197" t="s">
        <v>227</v>
      </c>
      <c r="G356" s="199" t="s">
        <v>575</v>
      </c>
      <c r="H356" s="200">
        <v>0.62</v>
      </c>
      <c r="I356" s="200">
        <v>1.05</v>
      </c>
      <c r="J356" s="200">
        <v>0.65500000000000003</v>
      </c>
      <c r="K356" s="199" t="s">
        <v>229</v>
      </c>
      <c r="L356" s="200"/>
      <c r="M356" s="200"/>
      <c r="N356" s="197"/>
    </row>
    <row r="357" spans="1:14">
      <c r="A357" s="262"/>
      <c r="B357" s="262"/>
      <c r="C357" s="197">
        <v>15</v>
      </c>
      <c r="D357" s="262"/>
      <c r="E357" s="198">
        <v>382.17785600000002</v>
      </c>
      <c r="F357" s="197"/>
      <c r="G357" s="199" t="s">
        <v>576</v>
      </c>
      <c r="H357" s="200"/>
      <c r="I357" s="200"/>
      <c r="J357" s="200"/>
      <c r="K357" s="199"/>
      <c r="L357" s="200"/>
      <c r="M357" s="200"/>
      <c r="N357" s="197"/>
    </row>
    <row r="358" spans="1:14">
      <c r="A358" s="262"/>
      <c r="B358" s="262"/>
      <c r="C358" s="197">
        <v>16</v>
      </c>
      <c r="D358" s="262"/>
      <c r="E358" s="198">
        <v>382.17785600000002</v>
      </c>
      <c r="F358" s="197"/>
      <c r="G358" s="199" t="s">
        <v>577</v>
      </c>
      <c r="H358" s="200"/>
      <c r="I358" s="200"/>
      <c r="J358" s="200"/>
      <c r="K358" s="199"/>
      <c r="L358" s="200"/>
      <c r="M358" s="200"/>
      <c r="N358" s="197"/>
    </row>
    <row r="359" spans="1:14">
      <c r="A359" s="262"/>
      <c r="B359" s="262"/>
      <c r="C359" s="197">
        <v>17</v>
      </c>
      <c r="D359" s="261">
        <v>6</v>
      </c>
      <c r="E359" s="198">
        <v>380.17242399999998</v>
      </c>
      <c r="F359" s="197" t="s">
        <v>227</v>
      </c>
      <c r="G359" s="199" t="s">
        <v>578</v>
      </c>
      <c r="H359" s="200">
        <v>0.58499999999999996</v>
      </c>
      <c r="I359" s="200">
        <v>1.085</v>
      </c>
      <c r="J359" s="200">
        <v>0.66500000000000004</v>
      </c>
      <c r="K359" s="199" t="s">
        <v>229</v>
      </c>
      <c r="L359" s="200"/>
      <c r="M359" s="200"/>
      <c r="N359" s="197"/>
    </row>
    <row r="360" spans="1:14">
      <c r="A360" s="262"/>
      <c r="B360" s="262"/>
      <c r="C360" s="197">
        <v>18</v>
      </c>
      <c r="D360" s="262"/>
      <c r="E360" s="198">
        <v>352.23881</v>
      </c>
      <c r="F360" s="197"/>
      <c r="G360" s="199" t="s">
        <v>579</v>
      </c>
      <c r="H360" s="200"/>
      <c r="I360" s="200"/>
      <c r="J360" s="200"/>
      <c r="K360" s="199"/>
      <c r="L360" s="200"/>
      <c r="M360" s="200"/>
      <c r="N360" s="197"/>
    </row>
    <row r="361" spans="1:14">
      <c r="A361" s="262"/>
      <c r="B361" s="262"/>
      <c r="C361" s="197">
        <v>19</v>
      </c>
      <c r="D361" s="262"/>
      <c r="E361" s="198">
        <v>352.72734300000002</v>
      </c>
      <c r="F361" s="197"/>
      <c r="G361" s="199" t="s">
        <v>580</v>
      </c>
      <c r="H361" s="200"/>
      <c r="I361" s="200"/>
      <c r="J361" s="200"/>
      <c r="K361" s="199"/>
      <c r="L361" s="200"/>
      <c r="M361" s="200"/>
      <c r="N361" s="197"/>
    </row>
    <row r="362" spans="1:14">
      <c r="A362" s="262"/>
      <c r="B362" s="262"/>
      <c r="C362" s="197">
        <v>20</v>
      </c>
      <c r="D362" s="261">
        <v>7</v>
      </c>
      <c r="E362" s="198">
        <v>0</v>
      </c>
      <c r="F362" s="197" t="s">
        <v>227</v>
      </c>
      <c r="G362" s="199" t="s">
        <v>581</v>
      </c>
      <c r="H362" s="200">
        <v>0.57499999999999996</v>
      </c>
      <c r="I362" s="200">
        <v>1.095</v>
      </c>
      <c r="J362" s="200">
        <v>0.65500000000000003</v>
      </c>
      <c r="K362" s="199" t="s">
        <v>229</v>
      </c>
      <c r="L362" s="200"/>
      <c r="M362" s="200"/>
      <c r="N362" s="197"/>
    </row>
    <row r="363" spans="1:14">
      <c r="A363" s="262"/>
      <c r="B363" s="262"/>
      <c r="C363" s="197">
        <v>21</v>
      </c>
      <c r="D363" s="262"/>
      <c r="E363" s="198">
        <v>0</v>
      </c>
      <c r="F363" s="197" t="s">
        <v>227</v>
      </c>
      <c r="G363" s="199" t="s">
        <v>582</v>
      </c>
      <c r="H363" s="200"/>
      <c r="I363" s="200"/>
      <c r="J363" s="200"/>
      <c r="K363" s="199"/>
      <c r="L363" s="200"/>
      <c r="M363" s="200"/>
      <c r="N363" s="197"/>
    </row>
    <row r="364" spans="1:14">
      <c r="A364" s="262"/>
      <c r="B364" s="262"/>
      <c r="C364" s="197">
        <v>22</v>
      </c>
      <c r="D364" s="262"/>
      <c r="E364" s="198">
        <v>0</v>
      </c>
      <c r="F364" s="197" t="s">
        <v>227</v>
      </c>
      <c r="G364" s="199" t="s">
        <v>583</v>
      </c>
      <c r="H364" s="200"/>
      <c r="I364" s="200"/>
      <c r="J364" s="200"/>
      <c r="K364" s="199"/>
      <c r="L364" s="200"/>
      <c r="M364" s="200"/>
      <c r="N364" s="197"/>
    </row>
    <row r="365" spans="1:14">
      <c r="A365" s="262"/>
      <c r="B365" s="262"/>
      <c r="C365" s="197">
        <v>23</v>
      </c>
      <c r="D365" s="262"/>
      <c r="E365" s="198">
        <v>0</v>
      </c>
      <c r="F365" s="197" t="s">
        <v>227</v>
      </c>
      <c r="G365" s="199" t="s">
        <v>584</v>
      </c>
      <c r="H365" s="200"/>
      <c r="I365" s="200"/>
      <c r="J365" s="200"/>
      <c r="K365" s="199"/>
      <c r="L365" s="200"/>
      <c r="M365" s="200"/>
      <c r="N365" s="197"/>
    </row>
    <row r="366" spans="1:14">
      <c r="A366" s="262"/>
      <c r="B366" s="262"/>
      <c r="C366" s="197">
        <v>24</v>
      </c>
      <c r="D366" s="261">
        <v>8</v>
      </c>
      <c r="E366" s="198">
        <v>268.98042800000002</v>
      </c>
      <c r="F366" s="197"/>
      <c r="G366" s="199" t="s">
        <v>585</v>
      </c>
      <c r="H366" s="200">
        <v>0.66500000000000004</v>
      </c>
      <c r="I366" s="200">
        <v>1.0649999999999999</v>
      </c>
      <c r="J366" s="200">
        <v>0.67</v>
      </c>
      <c r="K366" s="199" t="s">
        <v>229</v>
      </c>
      <c r="L366" s="200"/>
      <c r="M366" s="200"/>
      <c r="N366" s="197"/>
    </row>
    <row r="367" spans="1:14">
      <c r="A367" s="262"/>
      <c r="B367" s="262"/>
      <c r="C367" s="197">
        <v>25</v>
      </c>
      <c r="D367" s="262"/>
      <c r="E367" s="198">
        <v>266.33207499999997</v>
      </c>
      <c r="F367" s="197"/>
      <c r="G367" s="199" t="s">
        <v>586</v>
      </c>
      <c r="H367" s="200"/>
      <c r="I367" s="200"/>
      <c r="J367" s="200"/>
      <c r="K367" s="199"/>
      <c r="L367" s="200"/>
      <c r="M367" s="200"/>
      <c r="N367" s="197"/>
    </row>
    <row r="368" spans="1:14">
      <c r="A368" s="262"/>
      <c r="B368" s="262"/>
      <c r="C368" s="197">
        <v>26</v>
      </c>
      <c r="D368" s="262"/>
      <c r="E368" s="198">
        <v>0</v>
      </c>
      <c r="F368" s="197" t="s">
        <v>227</v>
      </c>
      <c r="G368" s="199" t="s">
        <v>587</v>
      </c>
      <c r="H368" s="200"/>
      <c r="I368" s="200"/>
      <c r="J368" s="200"/>
      <c r="K368" s="199"/>
      <c r="L368" s="200"/>
      <c r="M368" s="200"/>
      <c r="N368" s="197"/>
    </row>
    <row r="369" spans="1:14">
      <c r="A369" s="262"/>
      <c r="B369" s="262"/>
      <c r="C369" s="197">
        <v>27</v>
      </c>
      <c r="D369" s="261">
        <v>9</v>
      </c>
      <c r="E369" s="198">
        <v>350.27107899999999</v>
      </c>
      <c r="F369" s="197"/>
      <c r="G369" s="199" t="s">
        <v>588</v>
      </c>
      <c r="H369" s="200">
        <v>0.62</v>
      </c>
      <c r="I369" s="200">
        <v>1.06</v>
      </c>
      <c r="J369" s="200">
        <v>0.64</v>
      </c>
      <c r="K369" s="199" t="s">
        <v>229</v>
      </c>
      <c r="L369" s="200"/>
      <c r="M369" s="200"/>
      <c r="N369" s="197"/>
    </row>
    <row r="370" spans="1:14">
      <c r="A370" s="262"/>
      <c r="B370" s="262"/>
      <c r="C370" s="197">
        <v>28</v>
      </c>
      <c r="D370" s="262"/>
      <c r="E370" s="198">
        <v>348.43737700000003</v>
      </c>
      <c r="F370" s="197"/>
      <c r="G370" s="199" t="s">
        <v>589</v>
      </c>
      <c r="H370" s="200"/>
      <c r="I370" s="200"/>
      <c r="J370" s="200"/>
      <c r="K370" s="199"/>
      <c r="L370" s="200"/>
      <c r="M370" s="200"/>
      <c r="N370" s="197"/>
    </row>
    <row r="371" spans="1:14">
      <c r="A371" s="262"/>
      <c r="B371" s="262"/>
      <c r="C371" s="197">
        <v>29</v>
      </c>
      <c r="D371" s="262"/>
      <c r="E371" s="198">
        <v>348.55810400000001</v>
      </c>
      <c r="F371" s="197"/>
      <c r="G371" s="199" t="s">
        <v>590</v>
      </c>
      <c r="H371" s="200"/>
      <c r="I371" s="200"/>
      <c r="J371" s="200"/>
      <c r="K371" s="199"/>
      <c r="L371" s="200"/>
      <c r="M371" s="200"/>
      <c r="N371" s="197"/>
    </row>
    <row r="372" spans="1:14">
      <c r="A372" s="262"/>
      <c r="B372" s="262"/>
      <c r="C372" s="197">
        <v>30</v>
      </c>
      <c r="D372" s="261">
        <v>10</v>
      </c>
      <c r="E372" s="198">
        <v>266.626373</v>
      </c>
      <c r="F372" s="197" t="s">
        <v>227</v>
      </c>
      <c r="G372" s="199" t="s">
        <v>591</v>
      </c>
      <c r="H372" s="200">
        <v>0.65500000000000003</v>
      </c>
      <c r="I372" s="200">
        <v>1.0549999999999999</v>
      </c>
      <c r="J372" s="200">
        <v>0.64500000000000002</v>
      </c>
      <c r="K372" s="199" t="s">
        <v>229</v>
      </c>
      <c r="L372" s="200"/>
      <c r="M372" s="200"/>
      <c r="N372" s="197"/>
    </row>
    <row r="373" spans="1:14">
      <c r="A373" s="262"/>
      <c r="B373" s="262"/>
      <c r="C373" s="197">
        <v>31</v>
      </c>
      <c r="D373" s="262"/>
      <c r="E373" s="198">
        <v>263.39335899999998</v>
      </c>
      <c r="F373" s="197"/>
      <c r="G373" s="199" t="s">
        <v>592</v>
      </c>
      <c r="H373" s="200"/>
      <c r="I373" s="200"/>
      <c r="J373" s="200"/>
      <c r="K373" s="199"/>
      <c r="L373" s="200"/>
      <c r="M373" s="200"/>
      <c r="N373" s="197"/>
    </row>
    <row r="374" spans="1:14">
      <c r="A374" s="262"/>
      <c r="B374" s="262"/>
      <c r="C374" s="197">
        <v>32</v>
      </c>
      <c r="D374" s="262"/>
      <c r="E374" s="198">
        <v>0</v>
      </c>
      <c r="F374" s="197" t="s">
        <v>227</v>
      </c>
      <c r="G374" s="199" t="s">
        <v>593</v>
      </c>
      <c r="H374" s="200"/>
      <c r="I374" s="200"/>
      <c r="J374" s="200"/>
      <c r="K374" s="199"/>
      <c r="L374" s="200"/>
      <c r="M374" s="200"/>
      <c r="N374" s="197"/>
    </row>
    <row r="375" spans="1:14">
      <c r="A375" s="262"/>
      <c r="B375" s="262"/>
      <c r="C375" s="197">
        <v>33</v>
      </c>
      <c r="D375" s="261">
        <v>11</v>
      </c>
      <c r="E375" s="198">
        <v>0</v>
      </c>
      <c r="F375" s="197" t="s">
        <v>227</v>
      </c>
      <c r="G375" s="199" t="s">
        <v>594</v>
      </c>
      <c r="H375" s="200">
        <v>0.65</v>
      </c>
      <c r="I375" s="200">
        <v>1.04</v>
      </c>
      <c r="J375" s="200">
        <v>0.65500000000000003</v>
      </c>
      <c r="K375" s="199" t="s">
        <v>229</v>
      </c>
      <c r="L375" s="200"/>
      <c r="M375" s="200"/>
      <c r="N375" s="197"/>
    </row>
    <row r="376" spans="1:14">
      <c r="A376" s="262"/>
      <c r="B376" s="262"/>
      <c r="C376" s="197">
        <v>34</v>
      </c>
      <c r="D376" s="262"/>
      <c r="E376" s="198">
        <v>445.65826700000002</v>
      </c>
      <c r="F376" s="197"/>
      <c r="G376" s="199" t="s">
        <v>595</v>
      </c>
      <c r="H376" s="200"/>
      <c r="I376" s="200"/>
      <c r="J376" s="200"/>
      <c r="K376" s="199"/>
      <c r="L376" s="200"/>
      <c r="M376" s="200"/>
      <c r="N376" s="197"/>
    </row>
    <row r="377" spans="1:14">
      <c r="A377" s="262"/>
      <c r="B377" s="262"/>
      <c r="C377" s="197">
        <v>35</v>
      </c>
      <c r="D377" s="262"/>
      <c r="E377" s="198">
        <v>449.908027</v>
      </c>
      <c r="F377" s="197"/>
      <c r="G377" s="199" t="s">
        <v>596</v>
      </c>
      <c r="H377" s="200"/>
      <c r="I377" s="200"/>
      <c r="J377" s="200"/>
      <c r="K377" s="199"/>
      <c r="L377" s="200"/>
      <c r="M377" s="200"/>
      <c r="N377" s="197"/>
    </row>
    <row r="378" spans="1:14">
      <c r="A378" s="262"/>
      <c r="B378" s="262"/>
      <c r="C378" s="197">
        <v>36</v>
      </c>
      <c r="D378" s="261">
        <v>12</v>
      </c>
      <c r="E378" s="198">
        <v>350.323239</v>
      </c>
      <c r="F378" s="197" t="s">
        <v>227</v>
      </c>
      <c r="G378" s="199" t="s">
        <v>597</v>
      </c>
      <c r="H378" s="200">
        <v>0.68500000000000005</v>
      </c>
      <c r="I378" s="200">
        <v>1.04</v>
      </c>
      <c r="J378" s="200">
        <v>0.65500000000000003</v>
      </c>
      <c r="K378" s="199" t="s">
        <v>229</v>
      </c>
      <c r="L378" s="200"/>
      <c r="M378" s="200"/>
      <c r="N378" s="197"/>
    </row>
    <row r="379" spans="1:14">
      <c r="A379" s="262"/>
      <c r="B379" s="262"/>
      <c r="C379" s="197">
        <v>37</v>
      </c>
      <c r="D379" s="262"/>
      <c r="E379" s="198">
        <v>351.15062499999999</v>
      </c>
      <c r="F379" s="197"/>
      <c r="G379" s="199" t="s">
        <v>598</v>
      </c>
      <c r="H379" s="200"/>
      <c r="I379" s="200"/>
      <c r="J379" s="200"/>
      <c r="K379" s="199"/>
      <c r="L379" s="200"/>
      <c r="M379" s="200"/>
      <c r="N379" s="197"/>
    </row>
    <row r="380" spans="1:14">
      <c r="A380" s="262"/>
      <c r="B380" s="262"/>
      <c r="C380" s="197">
        <v>38</v>
      </c>
      <c r="D380" s="262"/>
      <c r="E380" s="198">
        <v>350.082471</v>
      </c>
      <c r="F380" s="197"/>
      <c r="G380" s="199" t="s">
        <v>599</v>
      </c>
      <c r="H380" s="200"/>
      <c r="I380" s="200"/>
      <c r="J380" s="200"/>
      <c r="K380" s="199"/>
      <c r="L380" s="200"/>
      <c r="M380" s="200"/>
      <c r="N380" s="197"/>
    </row>
    <row r="381" spans="1:14">
      <c r="A381" s="262"/>
      <c r="B381" s="262"/>
      <c r="C381" s="197">
        <v>39</v>
      </c>
      <c r="D381" s="261">
        <v>13</v>
      </c>
      <c r="E381" s="198">
        <v>377.28137199999998</v>
      </c>
      <c r="F381" s="197" t="s">
        <v>227</v>
      </c>
      <c r="G381" s="199" t="s">
        <v>600</v>
      </c>
      <c r="H381" s="200">
        <v>0.60499999999999998</v>
      </c>
      <c r="I381" s="200">
        <v>1.06</v>
      </c>
      <c r="J381" s="200">
        <v>0.65</v>
      </c>
      <c r="K381" s="199" t="s">
        <v>229</v>
      </c>
      <c r="L381" s="200"/>
      <c r="M381" s="200"/>
      <c r="N381" s="197"/>
    </row>
    <row r="382" spans="1:14">
      <c r="A382" s="262"/>
      <c r="B382" s="262"/>
      <c r="C382" s="197">
        <v>40</v>
      </c>
      <c r="D382" s="262"/>
      <c r="E382" s="198">
        <v>371.83810399999999</v>
      </c>
      <c r="F382" s="197"/>
      <c r="G382" s="199" t="s">
        <v>601</v>
      </c>
      <c r="H382" s="200"/>
      <c r="I382" s="200"/>
      <c r="J382" s="200"/>
      <c r="K382" s="199"/>
      <c r="L382" s="200"/>
      <c r="M382" s="200"/>
      <c r="N382" s="197"/>
    </row>
    <row r="383" spans="1:14">
      <c r="A383" s="262"/>
      <c r="B383" s="262"/>
      <c r="C383" s="197">
        <v>41</v>
      </c>
      <c r="D383" s="262"/>
      <c r="E383" s="198">
        <v>378.86596700000001</v>
      </c>
      <c r="F383" s="197"/>
      <c r="G383" s="199" t="s">
        <v>602</v>
      </c>
      <c r="H383" s="200"/>
      <c r="I383" s="200"/>
      <c r="J383" s="200"/>
      <c r="K383" s="199"/>
      <c r="L383" s="200"/>
      <c r="M383" s="200"/>
      <c r="N383" s="197"/>
    </row>
    <row r="384" spans="1:14">
      <c r="A384" s="262"/>
      <c r="B384" s="262"/>
      <c r="C384" s="197">
        <v>42</v>
      </c>
      <c r="D384" s="261">
        <v>14</v>
      </c>
      <c r="E384" s="198">
        <v>0</v>
      </c>
      <c r="F384" s="197" t="s">
        <v>227</v>
      </c>
      <c r="G384" s="199" t="s">
        <v>603</v>
      </c>
      <c r="H384" s="200">
        <v>0.61</v>
      </c>
      <c r="I384" s="200">
        <v>1.0649999999999999</v>
      </c>
      <c r="J384" s="200">
        <v>0.68</v>
      </c>
      <c r="K384" s="199" t="s">
        <v>229</v>
      </c>
      <c r="L384" s="200"/>
      <c r="M384" s="200"/>
      <c r="N384" s="197"/>
    </row>
    <row r="385" spans="1:14">
      <c r="A385" s="262"/>
      <c r="B385" s="262"/>
      <c r="C385" s="197">
        <v>43</v>
      </c>
      <c r="D385" s="262"/>
      <c r="E385" s="198">
        <v>0</v>
      </c>
      <c r="F385" s="197" t="s">
        <v>227</v>
      </c>
      <c r="G385" s="199" t="s">
        <v>604</v>
      </c>
      <c r="H385" s="200"/>
      <c r="I385" s="200"/>
      <c r="J385" s="200"/>
      <c r="K385" s="199"/>
      <c r="L385" s="200"/>
      <c r="M385" s="200"/>
      <c r="N385" s="197"/>
    </row>
    <row r="386" spans="1:14">
      <c r="A386" s="262"/>
      <c r="B386" s="262"/>
      <c r="C386" s="197">
        <v>44</v>
      </c>
      <c r="D386" s="261">
        <v>15</v>
      </c>
      <c r="E386" s="198">
        <v>0</v>
      </c>
      <c r="F386" s="197" t="s">
        <v>227</v>
      </c>
      <c r="G386" s="199" t="s">
        <v>605</v>
      </c>
      <c r="H386" s="200">
        <v>0.59499999999999997</v>
      </c>
      <c r="I386" s="200">
        <v>1.0649999999999999</v>
      </c>
      <c r="J386" s="200">
        <v>0.66500000000000004</v>
      </c>
      <c r="K386" s="199" t="s">
        <v>229</v>
      </c>
      <c r="L386" s="200"/>
      <c r="M386" s="200"/>
      <c r="N386" s="197"/>
    </row>
    <row r="387" spans="1:14">
      <c r="A387" s="262"/>
      <c r="B387" s="262"/>
      <c r="C387" s="197">
        <v>45</v>
      </c>
      <c r="D387" s="262"/>
      <c r="E387" s="198">
        <v>0</v>
      </c>
      <c r="F387" s="197" t="s">
        <v>227</v>
      </c>
      <c r="G387" s="199" t="s">
        <v>606</v>
      </c>
      <c r="H387" s="200"/>
      <c r="I387" s="200"/>
      <c r="J387" s="200"/>
      <c r="K387" s="199"/>
      <c r="L387" s="200"/>
      <c r="M387" s="200"/>
      <c r="N387" s="197"/>
    </row>
    <row r="388" spans="1:14">
      <c r="A388" s="262"/>
      <c r="B388" s="262"/>
      <c r="C388" s="197">
        <v>46</v>
      </c>
      <c r="D388" s="262"/>
      <c r="E388" s="198">
        <v>0</v>
      </c>
      <c r="F388" s="197" t="s">
        <v>227</v>
      </c>
      <c r="G388" s="199" t="s">
        <v>607</v>
      </c>
      <c r="H388" s="200"/>
      <c r="I388" s="200"/>
      <c r="J388" s="200"/>
      <c r="K388" s="199"/>
      <c r="L388" s="200"/>
      <c r="M388" s="200"/>
      <c r="N388" s="197"/>
    </row>
    <row r="389" spans="1:14">
      <c r="A389" s="262"/>
      <c r="B389" s="262"/>
      <c r="C389" s="197">
        <v>47</v>
      </c>
      <c r="D389" s="261">
        <v>16</v>
      </c>
      <c r="E389" s="198">
        <v>0</v>
      </c>
      <c r="F389" s="197" t="s">
        <v>227</v>
      </c>
      <c r="G389" s="199" t="s">
        <v>608</v>
      </c>
      <c r="H389" s="200">
        <v>0.60499999999999998</v>
      </c>
      <c r="I389" s="200">
        <v>1.0649999999999999</v>
      </c>
      <c r="J389" s="200">
        <v>0.66500000000000004</v>
      </c>
      <c r="K389" s="199" t="s">
        <v>229</v>
      </c>
      <c r="L389" s="200"/>
      <c r="M389" s="200"/>
      <c r="N389" s="197"/>
    </row>
    <row r="390" spans="1:14">
      <c r="A390" s="262"/>
      <c r="B390" s="262"/>
      <c r="C390" s="197">
        <v>48</v>
      </c>
      <c r="D390" s="262"/>
      <c r="E390" s="198">
        <v>264.690493</v>
      </c>
      <c r="F390" s="197"/>
      <c r="G390" s="199" t="s">
        <v>609</v>
      </c>
      <c r="H390" s="200"/>
      <c r="I390" s="200"/>
      <c r="J390" s="200"/>
      <c r="K390" s="199"/>
      <c r="L390" s="200"/>
      <c r="M390" s="200"/>
      <c r="N390" s="197"/>
    </row>
    <row r="391" spans="1:14">
      <c r="A391" s="262"/>
      <c r="B391" s="262"/>
      <c r="C391" s="197">
        <v>49</v>
      </c>
      <c r="D391" s="262"/>
      <c r="E391" s="198">
        <v>263.83135600000003</v>
      </c>
      <c r="F391" s="197"/>
      <c r="G391" s="199" t="s">
        <v>610</v>
      </c>
      <c r="H391" s="200"/>
      <c r="I391" s="200"/>
      <c r="J391" s="200"/>
      <c r="K391" s="199"/>
      <c r="L391" s="200"/>
      <c r="M391" s="200"/>
      <c r="N391" s="197"/>
    </row>
    <row r="392" spans="1:14">
      <c r="A392" s="262"/>
      <c r="B392" s="262"/>
      <c r="C392" s="197">
        <v>50</v>
      </c>
      <c r="D392" s="262"/>
      <c r="E392" s="198">
        <v>0</v>
      </c>
      <c r="F392" s="197" t="s">
        <v>227</v>
      </c>
      <c r="G392" s="199" t="s">
        <v>611</v>
      </c>
      <c r="H392" s="200"/>
      <c r="I392" s="200"/>
      <c r="J392" s="200"/>
      <c r="K392" s="199"/>
      <c r="L392" s="200"/>
      <c r="M392" s="200"/>
      <c r="N392" s="197"/>
    </row>
    <row r="393" spans="1:14">
      <c r="A393" s="262"/>
      <c r="B393" s="262"/>
      <c r="C393" s="197">
        <v>51</v>
      </c>
      <c r="D393" s="262"/>
      <c r="E393" s="198">
        <v>0</v>
      </c>
      <c r="F393" s="197" t="s">
        <v>227</v>
      </c>
      <c r="G393" s="199" t="s">
        <v>612</v>
      </c>
      <c r="H393" s="200"/>
      <c r="I393" s="200"/>
      <c r="J393" s="200"/>
      <c r="K393" s="199"/>
      <c r="L393" s="200"/>
      <c r="M393" s="200"/>
      <c r="N393" s="197"/>
    </row>
    <row r="394" spans="1:14">
      <c r="A394" s="262"/>
      <c r="B394" s="262"/>
      <c r="C394" s="197">
        <v>52</v>
      </c>
      <c r="D394" s="262"/>
      <c r="E394" s="198">
        <v>0</v>
      </c>
      <c r="F394" s="197" t="s">
        <v>227</v>
      </c>
      <c r="G394" s="199" t="s">
        <v>613</v>
      </c>
      <c r="H394" s="200"/>
      <c r="I394" s="200"/>
      <c r="J394" s="200"/>
      <c r="K394" s="199"/>
      <c r="L394" s="200"/>
      <c r="M394" s="200"/>
      <c r="N394" s="197"/>
    </row>
    <row r="395" spans="1:14">
      <c r="A395" s="262"/>
      <c r="B395" s="262"/>
      <c r="C395" s="197">
        <v>53</v>
      </c>
      <c r="D395" s="262"/>
      <c r="E395" s="198">
        <v>0</v>
      </c>
      <c r="F395" s="197" t="s">
        <v>227</v>
      </c>
      <c r="G395" s="199" t="s">
        <v>614</v>
      </c>
      <c r="H395" s="200"/>
      <c r="I395" s="200"/>
      <c r="J395" s="200"/>
      <c r="K395" s="199"/>
      <c r="L395" s="200"/>
      <c r="M395" s="200"/>
      <c r="N395" s="197"/>
    </row>
    <row r="396" spans="1:14">
      <c r="A396" s="262"/>
      <c r="B396" s="262"/>
      <c r="C396" s="197">
        <v>54</v>
      </c>
      <c r="D396" s="262"/>
      <c r="E396" s="198">
        <v>0</v>
      </c>
      <c r="F396" s="197" t="s">
        <v>227</v>
      </c>
      <c r="G396" s="199" t="s">
        <v>615</v>
      </c>
      <c r="H396" s="200"/>
      <c r="I396" s="200"/>
      <c r="J396" s="200"/>
      <c r="K396" s="199"/>
      <c r="L396" s="200"/>
      <c r="M396" s="200"/>
      <c r="N396" s="197"/>
    </row>
    <row r="397" spans="1:14">
      <c r="A397" s="262"/>
      <c r="B397" s="262"/>
      <c r="C397" s="197">
        <v>55</v>
      </c>
      <c r="D397" s="262"/>
      <c r="E397" s="198">
        <v>0</v>
      </c>
      <c r="F397" s="197" t="s">
        <v>227</v>
      </c>
      <c r="G397" s="199" t="s">
        <v>616</v>
      </c>
      <c r="H397" s="200"/>
      <c r="I397" s="200"/>
      <c r="J397" s="200"/>
      <c r="K397" s="199"/>
      <c r="L397" s="200"/>
      <c r="M397" s="200"/>
      <c r="N397" s="197"/>
    </row>
    <row r="398" spans="1:14">
      <c r="A398" s="262"/>
      <c r="B398" s="262"/>
      <c r="C398" s="197">
        <v>56</v>
      </c>
      <c r="D398" s="262"/>
      <c r="E398" s="198">
        <v>0</v>
      </c>
      <c r="F398" s="197" t="s">
        <v>227</v>
      </c>
      <c r="G398" s="199" t="s">
        <v>617</v>
      </c>
      <c r="H398" s="200"/>
      <c r="I398" s="200"/>
      <c r="J398" s="200"/>
      <c r="K398" s="199"/>
      <c r="L398" s="200"/>
      <c r="M398" s="200"/>
      <c r="N398" s="197"/>
    </row>
    <row r="399" spans="1:14">
      <c r="A399" s="262"/>
      <c r="B399" s="262"/>
      <c r="C399" s="197">
        <v>57</v>
      </c>
      <c r="D399" s="262"/>
      <c r="E399" s="198">
        <v>0</v>
      </c>
      <c r="F399" s="197" t="s">
        <v>227</v>
      </c>
      <c r="G399" s="199" t="s">
        <v>618</v>
      </c>
      <c r="H399" s="200"/>
      <c r="I399" s="200"/>
      <c r="J399" s="200"/>
      <c r="K399" s="199"/>
      <c r="L399" s="200"/>
      <c r="M399" s="200"/>
      <c r="N399" s="197"/>
    </row>
    <row r="400" spans="1:14">
      <c r="A400" s="261" t="s">
        <v>619</v>
      </c>
      <c r="B400" s="261">
        <v>5</v>
      </c>
      <c r="C400" s="197">
        <v>1</v>
      </c>
      <c r="D400" s="261">
        <v>1</v>
      </c>
      <c r="E400" s="198">
        <v>0</v>
      </c>
      <c r="F400" s="197" t="s">
        <v>227</v>
      </c>
      <c r="G400" s="199" t="s">
        <v>228</v>
      </c>
      <c r="H400" s="200">
        <v>0.6</v>
      </c>
      <c r="I400" s="200">
        <v>1.0649999999999999</v>
      </c>
      <c r="J400" s="200">
        <v>0.67</v>
      </c>
      <c r="K400" s="199" t="s">
        <v>229</v>
      </c>
      <c r="L400" s="200">
        <v>1.5022769177152407E-2</v>
      </c>
      <c r="M400" s="200"/>
      <c r="N400" s="197"/>
    </row>
    <row r="401" spans="1:14">
      <c r="A401" s="262"/>
      <c r="B401" s="262"/>
      <c r="C401" s="197">
        <v>2</v>
      </c>
      <c r="D401" s="262"/>
      <c r="E401" s="198">
        <v>0</v>
      </c>
      <c r="F401" s="197" t="s">
        <v>227</v>
      </c>
      <c r="G401" s="199" t="s">
        <v>230</v>
      </c>
      <c r="H401" s="200"/>
      <c r="I401" s="200"/>
      <c r="J401" s="200"/>
      <c r="K401" s="199"/>
      <c r="L401" s="200">
        <v>1.1110243021644477E-2</v>
      </c>
      <c r="M401" s="200"/>
      <c r="N401" s="197"/>
    </row>
    <row r="402" spans="1:14">
      <c r="A402" s="262"/>
      <c r="B402" s="262"/>
      <c r="C402" s="197">
        <v>3</v>
      </c>
      <c r="D402" s="262"/>
      <c r="E402" s="198">
        <v>0</v>
      </c>
      <c r="F402" s="197" t="s">
        <v>227</v>
      </c>
      <c r="G402" s="199" t="s">
        <v>324</v>
      </c>
      <c r="H402" s="200"/>
      <c r="I402" s="200"/>
      <c r="J402" s="200"/>
      <c r="K402" s="199"/>
      <c r="L402" s="200">
        <v>1.7807016699885454E-2</v>
      </c>
      <c r="M402" s="200"/>
      <c r="N402" s="197"/>
    </row>
    <row r="403" spans="1:14">
      <c r="A403" s="262"/>
      <c r="B403" s="262"/>
      <c r="C403" s="197">
        <v>4</v>
      </c>
      <c r="D403" s="262"/>
      <c r="E403" s="198">
        <v>0</v>
      </c>
      <c r="F403" s="197" t="s">
        <v>227</v>
      </c>
      <c r="G403" s="199" t="s">
        <v>325</v>
      </c>
      <c r="H403" s="200"/>
      <c r="I403" s="200"/>
      <c r="J403" s="200"/>
      <c r="K403" s="199"/>
      <c r="L403" s="200"/>
      <c r="M403" s="200" t="s">
        <v>233</v>
      </c>
      <c r="N403" s="197" t="s">
        <v>620</v>
      </c>
    </row>
    <row r="404" spans="1:14">
      <c r="A404" s="262"/>
      <c r="B404" s="262"/>
      <c r="C404" s="197">
        <v>5</v>
      </c>
      <c r="D404" s="261">
        <v>2</v>
      </c>
      <c r="E404" s="198">
        <v>0</v>
      </c>
      <c r="F404" s="197" t="s">
        <v>227</v>
      </c>
      <c r="G404" s="199" t="s">
        <v>566</v>
      </c>
      <c r="H404" s="200">
        <v>0.59499999999999997</v>
      </c>
      <c r="I404" s="200">
        <v>1.06</v>
      </c>
      <c r="J404" s="200">
        <v>0.66500000000000004</v>
      </c>
      <c r="K404" s="199" t="s">
        <v>229</v>
      </c>
      <c r="L404" s="200"/>
      <c r="M404" s="200"/>
      <c r="N404" s="197"/>
    </row>
    <row r="405" spans="1:14">
      <c r="A405" s="262"/>
      <c r="B405" s="262"/>
      <c r="C405" s="197">
        <v>6</v>
      </c>
      <c r="D405" s="262"/>
      <c r="E405" s="198">
        <v>0</v>
      </c>
      <c r="F405" s="197" t="s">
        <v>227</v>
      </c>
      <c r="G405" s="199" t="s">
        <v>237</v>
      </c>
      <c r="H405" s="200"/>
      <c r="I405" s="200"/>
      <c r="J405" s="200"/>
      <c r="K405" s="199"/>
      <c r="L405" s="200"/>
      <c r="M405" s="200"/>
      <c r="N405" s="197"/>
    </row>
    <row r="406" spans="1:14">
      <c r="A406" s="262"/>
      <c r="B406" s="262"/>
      <c r="C406" s="197">
        <v>7</v>
      </c>
      <c r="D406" s="261">
        <v>3</v>
      </c>
      <c r="E406" s="198">
        <v>0</v>
      </c>
      <c r="F406" s="197" t="s">
        <v>227</v>
      </c>
      <c r="G406" s="199" t="s">
        <v>621</v>
      </c>
      <c r="H406" s="200">
        <v>0.60499999999999998</v>
      </c>
      <c r="I406" s="200">
        <v>1.0649999999999999</v>
      </c>
      <c r="J406" s="200">
        <v>0.65500000000000003</v>
      </c>
      <c r="K406" s="199" t="s">
        <v>229</v>
      </c>
      <c r="L406" s="200"/>
      <c r="M406" s="200"/>
      <c r="N406" s="197"/>
    </row>
    <row r="407" spans="1:14">
      <c r="A407" s="262"/>
      <c r="B407" s="262"/>
      <c r="C407" s="197">
        <v>8</v>
      </c>
      <c r="D407" s="262"/>
      <c r="E407" s="198">
        <v>0</v>
      </c>
      <c r="F407" s="197" t="s">
        <v>227</v>
      </c>
      <c r="G407" s="199" t="s">
        <v>569</v>
      </c>
      <c r="H407" s="200"/>
      <c r="I407" s="200"/>
      <c r="J407" s="200"/>
      <c r="K407" s="199"/>
      <c r="L407" s="200"/>
      <c r="M407" s="200"/>
      <c r="N407" s="197"/>
    </row>
    <row r="408" spans="1:14">
      <c r="A408" s="262"/>
      <c r="B408" s="262"/>
      <c r="C408" s="197">
        <v>9</v>
      </c>
      <c r="D408" s="261">
        <v>4</v>
      </c>
      <c r="E408" s="198">
        <v>0</v>
      </c>
      <c r="F408" s="197" t="s">
        <v>227</v>
      </c>
      <c r="G408" s="199" t="s">
        <v>622</v>
      </c>
      <c r="H408" s="200">
        <v>0.625</v>
      </c>
      <c r="I408" s="200">
        <v>1.06</v>
      </c>
      <c r="J408" s="200">
        <v>0.65500000000000003</v>
      </c>
      <c r="K408" s="199" t="s">
        <v>229</v>
      </c>
      <c r="L408" s="200"/>
      <c r="M408" s="200"/>
      <c r="N408" s="197"/>
    </row>
    <row r="409" spans="1:14">
      <c r="A409" s="262"/>
      <c r="B409" s="262"/>
      <c r="C409" s="197">
        <v>10</v>
      </c>
      <c r="D409" s="262"/>
      <c r="E409" s="198">
        <v>0</v>
      </c>
      <c r="F409" s="197" t="s">
        <v>227</v>
      </c>
      <c r="G409" s="199" t="s">
        <v>623</v>
      </c>
      <c r="H409" s="200"/>
      <c r="I409" s="200"/>
      <c r="J409" s="200"/>
      <c r="K409" s="199"/>
      <c r="L409" s="200"/>
      <c r="M409" s="200"/>
      <c r="N409" s="197"/>
    </row>
    <row r="410" spans="1:14">
      <c r="A410" s="262"/>
      <c r="B410" s="262"/>
      <c r="C410" s="197">
        <v>11</v>
      </c>
      <c r="D410" s="262"/>
      <c r="E410" s="198">
        <v>0</v>
      </c>
      <c r="F410" s="197" t="s">
        <v>227</v>
      </c>
      <c r="G410" s="199" t="s">
        <v>572</v>
      </c>
      <c r="H410" s="200"/>
      <c r="I410" s="200"/>
      <c r="J410" s="200"/>
      <c r="K410" s="199"/>
      <c r="L410" s="200"/>
      <c r="M410" s="200"/>
      <c r="N410" s="197"/>
    </row>
    <row r="411" spans="1:14">
      <c r="A411" s="262"/>
      <c r="B411" s="262"/>
      <c r="C411" s="197">
        <v>12</v>
      </c>
      <c r="D411" s="262"/>
      <c r="E411" s="198">
        <v>0</v>
      </c>
      <c r="F411" s="197" t="s">
        <v>227</v>
      </c>
      <c r="G411" s="199" t="s">
        <v>624</v>
      </c>
      <c r="H411" s="200"/>
      <c r="I411" s="200"/>
      <c r="J411" s="200"/>
      <c r="K411" s="199"/>
      <c r="L411" s="200"/>
      <c r="M411" s="200"/>
      <c r="N411" s="197"/>
    </row>
    <row r="412" spans="1:14">
      <c r="A412" s="262"/>
      <c r="B412" s="262"/>
      <c r="C412" s="197">
        <v>13</v>
      </c>
      <c r="D412" s="262"/>
      <c r="E412" s="198">
        <v>0</v>
      </c>
      <c r="F412" s="197" t="s">
        <v>227</v>
      </c>
      <c r="G412" s="199" t="s">
        <v>625</v>
      </c>
      <c r="H412" s="200"/>
      <c r="I412" s="200"/>
      <c r="J412" s="200"/>
      <c r="K412" s="199"/>
      <c r="L412" s="200"/>
      <c r="M412" s="200"/>
      <c r="N412" s="197"/>
    </row>
    <row r="413" spans="1:14">
      <c r="A413" s="262"/>
      <c r="B413" s="262"/>
      <c r="C413" s="197">
        <v>14</v>
      </c>
      <c r="D413" s="262"/>
      <c r="E413" s="198">
        <v>0</v>
      </c>
      <c r="F413" s="197" t="s">
        <v>227</v>
      </c>
      <c r="G413" s="199" t="s">
        <v>626</v>
      </c>
      <c r="H413" s="200"/>
      <c r="I413" s="200"/>
      <c r="J413" s="200"/>
      <c r="K413" s="199"/>
      <c r="L413" s="200"/>
      <c r="M413" s="200"/>
      <c r="N413" s="197"/>
    </row>
    <row r="414" spans="1:14">
      <c r="A414" s="262"/>
      <c r="B414" s="262"/>
      <c r="C414" s="197">
        <v>15</v>
      </c>
      <c r="D414" s="262"/>
      <c r="E414" s="198">
        <v>0</v>
      </c>
      <c r="F414" s="197" t="s">
        <v>227</v>
      </c>
      <c r="G414" s="199" t="s">
        <v>246</v>
      </c>
      <c r="H414" s="200"/>
      <c r="I414" s="200"/>
      <c r="J414" s="200"/>
      <c r="K414" s="199"/>
      <c r="L414" s="200"/>
      <c r="M414" s="200"/>
      <c r="N414" s="197"/>
    </row>
    <row r="415" spans="1:14">
      <c r="A415" s="262"/>
      <c r="B415" s="262"/>
      <c r="C415" s="197">
        <v>16</v>
      </c>
      <c r="D415" s="262"/>
      <c r="E415" s="198">
        <v>0</v>
      </c>
      <c r="F415" s="197" t="s">
        <v>227</v>
      </c>
      <c r="G415" s="199" t="s">
        <v>247</v>
      </c>
      <c r="H415" s="200"/>
      <c r="I415" s="200"/>
      <c r="J415" s="200"/>
      <c r="K415" s="199"/>
      <c r="L415" s="200"/>
      <c r="M415" s="200"/>
      <c r="N415" s="197"/>
    </row>
    <row r="416" spans="1:14">
      <c r="A416" s="262"/>
      <c r="B416" s="262"/>
      <c r="C416" s="197">
        <v>17</v>
      </c>
      <c r="D416" s="262"/>
      <c r="E416" s="198">
        <v>0</v>
      </c>
      <c r="F416" s="197" t="s">
        <v>227</v>
      </c>
      <c r="G416" s="199" t="s">
        <v>248</v>
      </c>
      <c r="H416" s="200"/>
      <c r="I416" s="200"/>
      <c r="J416" s="200"/>
      <c r="K416" s="199"/>
      <c r="L416" s="200"/>
      <c r="M416" s="200"/>
      <c r="N416" s="197"/>
    </row>
    <row r="417" spans="1:14">
      <c r="A417" s="262"/>
      <c r="B417" s="262"/>
      <c r="C417" s="197">
        <v>18</v>
      </c>
      <c r="D417" s="262"/>
      <c r="E417" s="198">
        <v>0</v>
      </c>
      <c r="F417" s="197" t="s">
        <v>227</v>
      </c>
      <c r="G417" s="199" t="s">
        <v>249</v>
      </c>
      <c r="H417" s="200"/>
      <c r="I417" s="200"/>
      <c r="J417" s="200"/>
      <c r="K417" s="199"/>
      <c r="L417" s="200"/>
      <c r="M417" s="200"/>
      <c r="N417" s="197"/>
    </row>
    <row r="418" spans="1:14">
      <c r="A418" s="262"/>
      <c r="B418" s="262"/>
      <c r="C418" s="197">
        <v>19</v>
      </c>
      <c r="D418" s="261">
        <v>5</v>
      </c>
      <c r="E418" s="201">
        <v>0</v>
      </c>
      <c r="F418" s="202" t="s">
        <v>227</v>
      </c>
      <c r="G418" s="202" t="s">
        <v>627</v>
      </c>
      <c r="H418" s="203">
        <v>0.59</v>
      </c>
      <c r="I418" s="203">
        <v>1.0649999999999999</v>
      </c>
      <c r="J418" s="203">
        <v>0.66500000000000004</v>
      </c>
      <c r="K418" s="202" t="s">
        <v>229</v>
      </c>
      <c r="L418" s="200"/>
      <c r="M418" s="200"/>
      <c r="N418" s="197"/>
    </row>
    <row r="419" spans="1:14">
      <c r="A419" s="262"/>
      <c r="B419" s="262"/>
      <c r="C419" s="197">
        <v>20</v>
      </c>
      <c r="D419" s="261"/>
      <c r="E419" s="201">
        <v>0</v>
      </c>
      <c r="F419" s="202" t="s">
        <v>227</v>
      </c>
      <c r="G419" s="202" t="s">
        <v>628</v>
      </c>
      <c r="L419" s="200"/>
      <c r="M419" s="200"/>
      <c r="N419" s="197"/>
    </row>
    <row r="420" spans="1:14">
      <c r="A420" s="262"/>
      <c r="B420" s="262"/>
      <c r="C420" s="197">
        <v>21</v>
      </c>
      <c r="D420" s="261"/>
      <c r="E420" s="201">
        <v>0</v>
      </c>
      <c r="F420" s="202" t="s">
        <v>227</v>
      </c>
      <c r="G420" s="202" t="s">
        <v>629</v>
      </c>
      <c r="L420" s="200"/>
      <c r="M420" s="200"/>
      <c r="N420" s="197"/>
    </row>
    <row r="421" spans="1:14">
      <c r="A421" s="262"/>
      <c r="B421" s="262"/>
      <c r="C421" s="197">
        <v>22</v>
      </c>
      <c r="D421" s="261"/>
      <c r="E421" s="201">
        <v>0</v>
      </c>
      <c r="F421" s="202" t="s">
        <v>227</v>
      </c>
      <c r="G421" s="202" t="s">
        <v>630</v>
      </c>
      <c r="L421" s="200"/>
      <c r="M421" s="200"/>
      <c r="N421" s="197"/>
    </row>
    <row r="422" spans="1:14">
      <c r="A422" s="262"/>
      <c r="B422" s="262"/>
      <c r="C422" s="197">
        <v>23</v>
      </c>
      <c r="D422" s="261"/>
      <c r="E422" s="201">
        <v>0</v>
      </c>
      <c r="F422" s="202" t="s">
        <v>227</v>
      </c>
      <c r="G422" s="202" t="s">
        <v>254</v>
      </c>
      <c r="L422" s="200"/>
      <c r="M422" s="200"/>
      <c r="N422" s="197"/>
    </row>
    <row r="423" spans="1:14">
      <c r="A423" s="262"/>
      <c r="B423" s="262"/>
      <c r="C423" s="197">
        <v>24</v>
      </c>
      <c r="D423" s="261"/>
      <c r="E423" s="201">
        <v>0</v>
      </c>
      <c r="F423" s="202" t="s">
        <v>227</v>
      </c>
      <c r="G423" s="202" t="s">
        <v>631</v>
      </c>
      <c r="L423" s="200"/>
      <c r="M423" s="200"/>
      <c r="N423" s="197"/>
    </row>
    <row r="424" spans="1:14">
      <c r="A424" s="262"/>
      <c r="B424" s="262"/>
      <c r="C424" s="197">
        <v>25</v>
      </c>
      <c r="D424" s="261"/>
      <c r="E424" s="201">
        <v>0</v>
      </c>
      <c r="F424" s="202" t="s">
        <v>227</v>
      </c>
      <c r="G424" s="202" t="s">
        <v>632</v>
      </c>
      <c r="L424" s="200"/>
      <c r="M424" s="200"/>
      <c r="N424" s="197"/>
    </row>
    <row r="425" spans="1:14">
      <c r="A425" s="262"/>
      <c r="B425" s="262"/>
      <c r="C425" s="197">
        <v>26</v>
      </c>
      <c r="D425" s="261"/>
      <c r="E425" s="201">
        <v>1523.4545900000001</v>
      </c>
      <c r="F425" s="202" t="s">
        <v>281</v>
      </c>
      <c r="G425" s="202" t="s">
        <v>633</v>
      </c>
      <c r="L425" s="200"/>
      <c r="M425" s="200"/>
      <c r="N425" s="197"/>
    </row>
    <row r="426" spans="1:14">
      <c r="A426" s="262"/>
      <c r="B426" s="262"/>
      <c r="C426" s="197">
        <v>27</v>
      </c>
      <c r="D426" s="261"/>
      <c r="E426" s="201">
        <v>1523.4545900000001</v>
      </c>
      <c r="F426" s="202" t="s">
        <v>281</v>
      </c>
      <c r="G426" s="202" t="s">
        <v>634</v>
      </c>
      <c r="L426" s="200"/>
      <c r="M426" s="200"/>
      <c r="N426" s="197"/>
    </row>
    <row r="427" spans="1:14">
      <c r="A427" s="262"/>
      <c r="B427" s="262"/>
      <c r="C427" s="197">
        <v>28</v>
      </c>
      <c r="D427" s="261">
        <v>6</v>
      </c>
      <c r="E427" s="201">
        <v>347.46307300000001</v>
      </c>
      <c r="F427" s="202" t="s">
        <v>227</v>
      </c>
      <c r="G427" s="202" t="s">
        <v>635</v>
      </c>
      <c r="H427" s="203">
        <v>0.59499999999999997</v>
      </c>
      <c r="I427" s="203">
        <v>1.06</v>
      </c>
      <c r="J427" s="203">
        <v>0.66500000000000004</v>
      </c>
      <c r="K427" s="202" t="s">
        <v>229</v>
      </c>
      <c r="L427" s="200"/>
      <c r="M427" s="200"/>
      <c r="N427" s="197"/>
    </row>
    <row r="428" spans="1:14">
      <c r="A428" s="262"/>
      <c r="B428" s="262"/>
      <c r="C428" s="197">
        <v>29</v>
      </c>
      <c r="D428" s="261"/>
      <c r="E428" s="201">
        <v>347.24080800000002</v>
      </c>
      <c r="F428" s="202"/>
      <c r="G428" s="202" t="s">
        <v>636</v>
      </c>
      <c r="L428" s="200"/>
      <c r="M428" s="200"/>
      <c r="N428" s="197"/>
    </row>
    <row r="429" spans="1:14">
      <c r="A429" s="262"/>
      <c r="B429" s="262"/>
      <c r="C429" s="197">
        <v>30</v>
      </c>
      <c r="D429" s="261"/>
      <c r="E429" s="201">
        <v>0</v>
      </c>
      <c r="F429" s="202" t="s">
        <v>227</v>
      </c>
      <c r="G429" s="202" t="s">
        <v>637</v>
      </c>
      <c r="L429" s="200"/>
      <c r="M429" s="200"/>
      <c r="N429" s="197"/>
    </row>
    <row r="430" spans="1:14">
      <c r="A430" s="262"/>
      <c r="B430" s="262"/>
      <c r="C430" s="197">
        <v>31</v>
      </c>
      <c r="D430" s="261">
        <v>7</v>
      </c>
      <c r="E430" s="198">
        <v>548.50744599999996</v>
      </c>
      <c r="F430" s="197"/>
      <c r="G430" s="199" t="s">
        <v>638</v>
      </c>
      <c r="H430" s="200">
        <v>0.61</v>
      </c>
      <c r="I430" s="200">
        <v>1.06</v>
      </c>
      <c r="J430" s="200">
        <v>0.73</v>
      </c>
      <c r="K430" s="199" t="s">
        <v>229</v>
      </c>
      <c r="L430" s="200"/>
      <c r="M430" s="200"/>
      <c r="N430" s="197"/>
    </row>
    <row r="431" spans="1:14">
      <c r="A431" s="262"/>
      <c r="B431" s="262"/>
      <c r="C431" s="197">
        <v>32</v>
      </c>
      <c r="D431" s="262"/>
      <c r="E431" s="198">
        <v>546.89965800000004</v>
      </c>
      <c r="F431" s="197"/>
      <c r="G431" s="199" t="s">
        <v>639</v>
      </c>
      <c r="H431" s="200"/>
      <c r="I431" s="200"/>
      <c r="J431" s="200"/>
      <c r="K431" s="199"/>
      <c r="L431" s="200"/>
      <c r="M431" s="200"/>
      <c r="N431" s="197"/>
    </row>
    <row r="432" spans="1:14">
      <c r="A432" s="262"/>
      <c r="B432" s="262"/>
      <c r="C432" s="197">
        <v>33</v>
      </c>
      <c r="D432" s="262"/>
      <c r="E432" s="198">
        <v>284.43965200000002</v>
      </c>
      <c r="F432" s="197"/>
      <c r="G432" s="199" t="s">
        <v>640</v>
      </c>
      <c r="H432" s="200"/>
      <c r="I432" s="200"/>
      <c r="J432" s="200"/>
      <c r="K432" s="199"/>
      <c r="L432" s="200"/>
      <c r="M432" s="200"/>
      <c r="N432" s="197"/>
    </row>
    <row r="433" spans="1:14">
      <c r="A433" s="262"/>
      <c r="B433" s="262"/>
      <c r="C433" s="197">
        <v>34</v>
      </c>
      <c r="D433" s="261">
        <v>8</v>
      </c>
      <c r="E433" s="198">
        <v>548.270264</v>
      </c>
      <c r="F433" s="197" t="s">
        <v>227</v>
      </c>
      <c r="G433" s="199" t="s">
        <v>641</v>
      </c>
      <c r="H433" s="200">
        <v>0.58499999999999996</v>
      </c>
      <c r="I433" s="200">
        <v>1.06</v>
      </c>
      <c r="J433" s="200">
        <v>0.69</v>
      </c>
      <c r="K433" s="199" t="s">
        <v>229</v>
      </c>
      <c r="L433" s="200"/>
      <c r="M433" s="200"/>
      <c r="N433" s="197"/>
    </row>
    <row r="434" spans="1:14">
      <c r="A434" s="262"/>
      <c r="B434" s="262"/>
      <c r="C434" s="197">
        <v>35</v>
      </c>
      <c r="D434" s="262"/>
      <c r="E434" s="198">
        <v>544.84008800000004</v>
      </c>
      <c r="F434" s="197"/>
      <c r="G434" s="199" t="s">
        <v>642</v>
      </c>
      <c r="H434" s="200"/>
      <c r="I434" s="200"/>
      <c r="J434" s="200"/>
      <c r="K434" s="199"/>
      <c r="L434" s="200"/>
      <c r="M434" s="200"/>
      <c r="N434" s="197"/>
    </row>
    <row r="435" spans="1:14">
      <c r="A435" s="262"/>
      <c r="B435" s="262"/>
      <c r="C435" s="197">
        <v>36</v>
      </c>
      <c r="D435" s="262"/>
      <c r="E435" s="198">
        <v>0</v>
      </c>
      <c r="F435" s="197" t="s">
        <v>227</v>
      </c>
      <c r="G435" s="199" t="s">
        <v>267</v>
      </c>
      <c r="H435" s="200"/>
      <c r="I435" s="200"/>
      <c r="J435" s="200"/>
      <c r="K435" s="199"/>
      <c r="L435" s="200"/>
      <c r="M435" s="200"/>
      <c r="N435" s="197"/>
    </row>
    <row r="436" spans="1:14">
      <c r="A436" s="262"/>
      <c r="B436" s="262"/>
      <c r="C436" s="197">
        <v>37</v>
      </c>
      <c r="D436" s="262"/>
      <c r="E436" s="198">
        <v>0</v>
      </c>
      <c r="F436" s="197" t="s">
        <v>227</v>
      </c>
      <c r="G436" s="199" t="s">
        <v>268</v>
      </c>
      <c r="H436" s="200"/>
      <c r="I436" s="200"/>
      <c r="J436" s="200"/>
      <c r="K436" s="199"/>
      <c r="L436" s="200"/>
      <c r="M436" s="200"/>
      <c r="N436" s="197"/>
    </row>
    <row r="437" spans="1:14">
      <c r="A437" s="262"/>
      <c r="B437" s="262"/>
      <c r="C437" s="197">
        <v>38</v>
      </c>
      <c r="D437" s="262"/>
      <c r="E437" s="198">
        <v>0</v>
      </c>
      <c r="F437" s="197" t="s">
        <v>227</v>
      </c>
      <c r="G437" s="199" t="s">
        <v>269</v>
      </c>
      <c r="H437" s="200"/>
      <c r="I437" s="200"/>
      <c r="J437" s="200"/>
      <c r="K437" s="199"/>
      <c r="L437" s="200"/>
      <c r="M437" s="200"/>
      <c r="N437" s="197"/>
    </row>
    <row r="438" spans="1:14">
      <c r="A438" s="262"/>
      <c r="B438" s="262"/>
      <c r="C438" s="197">
        <v>39</v>
      </c>
      <c r="D438" s="262"/>
      <c r="E438" s="198">
        <v>0</v>
      </c>
      <c r="F438" s="197" t="s">
        <v>227</v>
      </c>
      <c r="G438" s="199" t="s">
        <v>270</v>
      </c>
      <c r="H438" s="200"/>
      <c r="I438" s="200"/>
      <c r="J438" s="200"/>
      <c r="K438" s="199"/>
      <c r="L438" s="200"/>
      <c r="M438" s="200"/>
      <c r="N438" s="197"/>
    </row>
    <row r="439" spans="1:14">
      <c r="A439" s="262"/>
      <c r="B439" s="262"/>
      <c r="C439" s="197">
        <v>40</v>
      </c>
      <c r="D439" s="262"/>
      <c r="E439" s="198">
        <v>0</v>
      </c>
      <c r="F439" s="197" t="s">
        <v>227</v>
      </c>
      <c r="G439" s="199" t="s">
        <v>271</v>
      </c>
      <c r="H439" s="200"/>
      <c r="I439" s="200"/>
      <c r="J439" s="200"/>
      <c r="K439" s="199"/>
      <c r="L439" s="200"/>
      <c r="M439" s="200"/>
      <c r="N439" s="197"/>
    </row>
    <row r="440" spans="1:14">
      <c r="A440" s="262"/>
      <c r="B440" s="262"/>
      <c r="C440" s="197">
        <v>41</v>
      </c>
      <c r="D440" s="262"/>
      <c r="E440" s="198">
        <v>0</v>
      </c>
      <c r="F440" s="197" t="s">
        <v>227</v>
      </c>
      <c r="G440" s="199" t="s">
        <v>643</v>
      </c>
      <c r="H440" s="200"/>
      <c r="I440" s="200"/>
      <c r="J440" s="200"/>
      <c r="K440" s="199"/>
      <c r="L440" s="200"/>
      <c r="M440" s="200"/>
      <c r="N440" s="197"/>
    </row>
    <row r="441" spans="1:14">
      <c r="A441" s="262"/>
      <c r="B441" s="262"/>
      <c r="C441" s="197">
        <v>42</v>
      </c>
      <c r="D441" s="262"/>
      <c r="E441" s="198">
        <v>0</v>
      </c>
      <c r="F441" s="197" t="s">
        <v>227</v>
      </c>
      <c r="G441" s="199" t="s">
        <v>364</v>
      </c>
      <c r="H441" s="200"/>
      <c r="I441" s="200"/>
      <c r="J441" s="200"/>
      <c r="K441" s="199"/>
      <c r="L441" s="200"/>
      <c r="M441" s="200"/>
      <c r="N441" s="197"/>
    </row>
    <row r="442" spans="1:14">
      <c r="A442" s="262"/>
      <c r="B442" s="262"/>
      <c r="C442" s="197">
        <v>43</v>
      </c>
      <c r="D442" s="261">
        <v>9</v>
      </c>
      <c r="E442" s="198">
        <v>347.00277199999999</v>
      </c>
      <c r="F442" s="197"/>
      <c r="G442" s="199" t="s">
        <v>644</v>
      </c>
      <c r="H442" s="200">
        <v>0.57999999999999996</v>
      </c>
      <c r="I442" s="200">
        <v>1.06</v>
      </c>
      <c r="J442" s="200">
        <v>0.66500000000000004</v>
      </c>
      <c r="K442" s="199" t="s">
        <v>229</v>
      </c>
      <c r="L442" s="200"/>
      <c r="M442" s="200"/>
      <c r="N442" s="197"/>
    </row>
    <row r="443" spans="1:14">
      <c r="A443" s="262"/>
      <c r="B443" s="262"/>
      <c r="C443" s="197">
        <v>44</v>
      </c>
      <c r="D443" s="262"/>
      <c r="E443" s="198">
        <v>179.09604899999999</v>
      </c>
      <c r="F443" s="197"/>
      <c r="G443" s="199" t="s">
        <v>645</v>
      </c>
      <c r="H443" s="200"/>
      <c r="I443" s="200"/>
      <c r="J443" s="200"/>
      <c r="K443" s="199"/>
      <c r="L443" s="200"/>
      <c r="M443" s="200"/>
      <c r="N443" s="197"/>
    </row>
    <row r="444" spans="1:14">
      <c r="A444" s="262"/>
      <c r="B444" s="262"/>
      <c r="C444" s="197">
        <v>45</v>
      </c>
      <c r="D444" s="261">
        <v>10</v>
      </c>
      <c r="E444" s="198">
        <v>0</v>
      </c>
      <c r="F444" s="197" t="s">
        <v>227</v>
      </c>
      <c r="G444" s="199" t="s">
        <v>646</v>
      </c>
      <c r="H444" s="200">
        <v>0.58499999999999996</v>
      </c>
      <c r="I444" s="200">
        <v>1.0649999999999999</v>
      </c>
      <c r="J444" s="200">
        <v>0.66500000000000004</v>
      </c>
      <c r="K444" s="199" t="s">
        <v>229</v>
      </c>
      <c r="L444" s="200"/>
      <c r="M444" s="200"/>
      <c r="N444" s="197"/>
    </row>
    <row r="445" spans="1:14">
      <c r="A445" s="262"/>
      <c r="B445" s="262"/>
      <c r="C445" s="197">
        <v>46</v>
      </c>
      <c r="D445" s="262"/>
      <c r="E445" s="198">
        <v>273.65550300000001</v>
      </c>
      <c r="F445" s="197"/>
      <c r="G445" s="199" t="s">
        <v>647</v>
      </c>
      <c r="H445" s="200"/>
      <c r="I445" s="200"/>
      <c r="J445" s="200"/>
      <c r="K445" s="199"/>
      <c r="L445" s="200"/>
      <c r="M445" s="200"/>
      <c r="N445" s="197"/>
    </row>
    <row r="446" spans="1:14">
      <c r="A446" s="262"/>
      <c r="B446" s="262"/>
      <c r="C446" s="197">
        <v>47</v>
      </c>
      <c r="D446" s="262"/>
      <c r="E446" s="198">
        <v>262.63264099999998</v>
      </c>
      <c r="F446" s="197"/>
      <c r="G446" s="199" t="s">
        <v>648</v>
      </c>
      <c r="H446" s="200"/>
      <c r="I446" s="200"/>
      <c r="J446" s="200"/>
      <c r="K446" s="199"/>
      <c r="L446" s="200"/>
      <c r="M446" s="200"/>
      <c r="N446" s="197"/>
    </row>
    <row r="447" spans="1:14">
      <c r="A447" s="262"/>
      <c r="B447" s="262"/>
      <c r="C447" s="197">
        <v>48</v>
      </c>
      <c r="D447" s="261">
        <v>11</v>
      </c>
      <c r="E447" s="198">
        <v>440.346949</v>
      </c>
      <c r="F447" s="197" t="s">
        <v>227</v>
      </c>
      <c r="G447" s="199" t="s">
        <v>649</v>
      </c>
      <c r="H447" s="200">
        <v>0.57999999999999996</v>
      </c>
      <c r="I447" s="200">
        <v>1.0449999999999999</v>
      </c>
      <c r="J447" s="200">
        <v>0.66500000000000004</v>
      </c>
      <c r="K447" s="199" t="s">
        <v>229</v>
      </c>
      <c r="L447" s="200"/>
      <c r="M447" s="200"/>
      <c r="N447" s="197"/>
    </row>
    <row r="448" spans="1:14">
      <c r="A448" s="262"/>
      <c r="B448" s="262"/>
      <c r="C448" s="197">
        <v>49</v>
      </c>
      <c r="D448" s="262"/>
      <c r="E448" s="198">
        <v>450.377925</v>
      </c>
      <c r="F448" s="197"/>
      <c r="G448" s="199" t="s">
        <v>650</v>
      </c>
      <c r="H448" s="200"/>
      <c r="I448" s="200"/>
      <c r="J448" s="200"/>
      <c r="K448" s="199"/>
      <c r="L448" s="200"/>
      <c r="M448" s="200"/>
      <c r="N448" s="197"/>
    </row>
    <row r="449" spans="1:14">
      <c r="A449" s="262"/>
      <c r="B449" s="262"/>
      <c r="C449" s="197">
        <v>50</v>
      </c>
      <c r="D449" s="262"/>
      <c r="E449" s="198">
        <v>441.16003799999999</v>
      </c>
      <c r="F449" s="197"/>
      <c r="G449" s="199" t="s">
        <v>651</v>
      </c>
      <c r="H449" s="200"/>
      <c r="I449" s="200"/>
      <c r="J449" s="200"/>
      <c r="K449" s="199"/>
      <c r="L449" s="200"/>
      <c r="M449" s="200"/>
      <c r="N449" s="197"/>
    </row>
    <row r="450" spans="1:14">
      <c r="A450" s="262"/>
      <c r="B450" s="262"/>
      <c r="C450" s="197">
        <v>51</v>
      </c>
      <c r="D450" s="261">
        <v>12</v>
      </c>
      <c r="E450" s="198">
        <v>343.361986</v>
      </c>
      <c r="F450" s="197" t="s">
        <v>227</v>
      </c>
      <c r="G450" s="199" t="s">
        <v>652</v>
      </c>
      <c r="H450" s="200">
        <v>0.60499999999999998</v>
      </c>
      <c r="I450" s="200">
        <v>1.0549999999999999</v>
      </c>
      <c r="J450" s="200">
        <v>0.67500000000000004</v>
      </c>
      <c r="K450" s="199" t="s">
        <v>229</v>
      </c>
      <c r="L450" s="200"/>
      <c r="M450" s="200"/>
      <c r="N450" s="197"/>
    </row>
    <row r="451" spans="1:14">
      <c r="A451" s="262"/>
      <c r="B451" s="262"/>
      <c r="C451" s="197">
        <v>52</v>
      </c>
      <c r="D451" s="262"/>
      <c r="E451" s="198">
        <v>340.01552299999997</v>
      </c>
      <c r="F451" s="197"/>
      <c r="G451" s="199" t="s">
        <v>653</v>
      </c>
      <c r="H451" s="200"/>
      <c r="I451" s="200"/>
      <c r="J451" s="200"/>
      <c r="K451" s="199"/>
      <c r="L451" s="200"/>
      <c r="M451" s="200"/>
      <c r="N451" s="197"/>
    </row>
    <row r="452" spans="1:14">
      <c r="A452" s="262"/>
      <c r="B452" s="262"/>
      <c r="C452" s="197">
        <v>53</v>
      </c>
      <c r="D452" s="262"/>
      <c r="E452" s="198">
        <v>0</v>
      </c>
      <c r="F452" s="197" t="s">
        <v>227</v>
      </c>
      <c r="G452" s="199" t="s">
        <v>654</v>
      </c>
      <c r="H452" s="200"/>
      <c r="I452" s="200"/>
      <c r="J452" s="200"/>
      <c r="K452" s="199"/>
      <c r="L452" s="200"/>
      <c r="M452" s="200"/>
      <c r="N452" s="197"/>
    </row>
    <row r="453" spans="1:14">
      <c r="A453" s="262"/>
      <c r="B453" s="262"/>
      <c r="C453" s="197">
        <v>54</v>
      </c>
      <c r="D453" s="262"/>
      <c r="E453" s="198">
        <v>0</v>
      </c>
      <c r="F453" s="197" t="s">
        <v>227</v>
      </c>
      <c r="G453" s="199" t="s">
        <v>655</v>
      </c>
      <c r="H453" s="200"/>
      <c r="I453" s="200"/>
      <c r="J453" s="200"/>
      <c r="K453" s="199"/>
      <c r="L453" s="200"/>
      <c r="M453" s="200"/>
      <c r="N453" s="197"/>
    </row>
    <row r="454" spans="1:14">
      <c r="A454" s="262"/>
      <c r="B454" s="262"/>
      <c r="C454" s="197">
        <v>55</v>
      </c>
      <c r="D454" s="262"/>
      <c r="E454" s="198">
        <v>0</v>
      </c>
      <c r="F454" s="197" t="s">
        <v>227</v>
      </c>
      <c r="G454" s="199" t="s">
        <v>287</v>
      </c>
      <c r="H454" s="200"/>
      <c r="I454" s="200"/>
      <c r="J454" s="200"/>
      <c r="K454" s="199"/>
      <c r="L454" s="200"/>
      <c r="M454" s="200"/>
      <c r="N454" s="197"/>
    </row>
    <row r="455" spans="1:14">
      <c r="A455" s="262"/>
      <c r="B455" s="262"/>
      <c r="C455" s="197">
        <v>56</v>
      </c>
      <c r="D455" s="262"/>
      <c r="E455" s="198">
        <v>0</v>
      </c>
      <c r="F455" s="197" t="s">
        <v>227</v>
      </c>
      <c r="G455" s="199" t="s">
        <v>288</v>
      </c>
      <c r="H455" s="200"/>
      <c r="I455" s="200"/>
      <c r="J455" s="200"/>
      <c r="K455" s="199"/>
      <c r="L455" s="200"/>
      <c r="M455" s="200"/>
      <c r="N455" s="197"/>
    </row>
    <row r="456" spans="1:14">
      <c r="A456" s="262"/>
      <c r="B456" s="262"/>
      <c r="C456" s="197">
        <v>57</v>
      </c>
      <c r="D456" s="262"/>
      <c r="E456" s="198">
        <v>0</v>
      </c>
      <c r="F456" s="197" t="s">
        <v>227</v>
      </c>
      <c r="G456" s="199" t="s">
        <v>289</v>
      </c>
      <c r="H456" s="200"/>
      <c r="I456" s="200"/>
      <c r="J456" s="200"/>
      <c r="K456" s="199"/>
      <c r="L456" s="200"/>
      <c r="M456" s="200"/>
      <c r="N456" s="197"/>
    </row>
    <row r="457" spans="1:14">
      <c r="A457" s="262"/>
      <c r="B457" s="262"/>
      <c r="C457" s="197">
        <v>58</v>
      </c>
      <c r="D457" s="262"/>
      <c r="E457" s="198">
        <v>0</v>
      </c>
      <c r="F457" s="197" t="s">
        <v>227</v>
      </c>
      <c r="G457" s="199" t="s">
        <v>290</v>
      </c>
      <c r="H457" s="200"/>
      <c r="I457" s="200"/>
      <c r="J457" s="200"/>
      <c r="K457" s="199"/>
      <c r="L457" s="200"/>
      <c r="M457" s="200"/>
      <c r="N457" s="197"/>
    </row>
    <row r="458" spans="1:14">
      <c r="A458" s="262"/>
      <c r="B458" s="262"/>
      <c r="C458" s="197">
        <v>59</v>
      </c>
      <c r="D458" s="262"/>
      <c r="E458" s="198">
        <v>1518.594971</v>
      </c>
      <c r="F458" s="197" t="s">
        <v>281</v>
      </c>
      <c r="G458" s="199" t="s">
        <v>656</v>
      </c>
      <c r="H458" s="200"/>
      <c r="I458" s="200"/>
      <c r="J458" s="200"/>
      <c r="K458" s="199"/>
      <c r="L458" s="200"/>
      <c r="M458" s="200"/>
      <c r="N458" s="197"/>
    </row>
    <row r="459" spans="1:14">
      <c r="A459" s="262"/>
      <c r="B459" s="262"/>
      <c r="C459" s="197">
        <v>60</v>
      </c>
      <c r="D459" s="197">
        <v>13</v>
      </c>
      <c r="E459" s="198">
        <v>1518.594971</v>
      </c>
      <c r="F459" s="197" t="s">
        <v>281</v>
      </c>
      <c r="G459" s="199" t="s">
        <v>657</v>
      </c>
      <c r="H459" s="200">
        <v>0.57999999999999996</v>
      </c>
      <c r="I459" s="200">
        <v>1.0649999999999999</v>
      </c>
      <c r="J459" s="200">
        <v>0.66</v>
      </c>
      <c r="K459" s="199" t="s">
        <v>229</v>
      </c>
      <c r="L459" s="200"/>
      <c r="M459" s="200"/>
      <c r="N459" s="197"/>
    </row>
    <row r="460" spans="1:14">
      <c r="A460" s="262"/>
      <c r="B460" s="262"/>
      <c r="C460" s="197">
        <v>61</v>
      </c>
      <c r="D460" s="261">
        <v>14</v>
      </c>
      <c r="E460" s="198">
        <v>335.723817</v>
      </c>
      <c r="F460" s="197" t="s">
        <v>227</v>
      </c>
      <c r="G460" s="199" t="s">
        <v>658</v>
      </c>
      <c r="H460" s="200">
        <v>0.60499999999999998</v>
      </c>
      <c r="I460" s="200">
        <v>1.0549999999999999</v>
      </c>
      <c r="J460" s="200">
        <v>0.65500000000000003</v>
      </c>
      <c r="K460" s="199" t="s">
        <v>229</v>
      </c>
      <c r="L460" s="200"/>
      <c r="M460" s="200"/>
      <c r="N460" s="197"/>
    </row>
    <row r="461" spans="1:14">
      <c r="A461" s="262"/>
      <c r="B461" s="262"/>
      <c r="C461" s="197">
        <v>62</v>
      </c>
      <c r="D461" s="262"/>
      <c r="E461" s="198">
        <v>334.561938</v>
      </c>
      <c r="F461" s="197"/>
      <c r="G461" s="199" t="s">
        <v>659</v>
      </c>
      <c r="H461" s="200"/>
      <c r="I461" s="200"/>
      <c r="J461" s="200"/>
      <c r="K461" s="199"/>
      <c r="L461" s="200"/>
      <c r="M461" s="200"/>
      <c r="N461" s="197"/>
    </row>
    <row r="462" spans="1:14">
      <c r="A462" s="262"/>
      <c r="B462" s="262"/>
      <c r="C462" s="197">
        <v>63</v>
      </c>
      <c r="D462" s="262"/>
      <c r="E462" s="198">
        <v>0</v>
      </c>
      <c r="F462" s="197" t="s">
        <v>227</v>
      </c>
      <c r="G462" s="199" t="s">
        <v>660</v>
      </c>
      <c r="H462" s="200"/>
      <c r="I462" s="200"/>
      <c r="J462" s="200"/>
      <c r="K462" s="199"/>
      <c r="L462" s="200"/>
      <c r="M462" s="200"/>
      <c r="N462" s="197"/>
    </row>
    <row r="463" spans="1:14">
      <c r="A463" s="262"/>
      <c r="B463" s="262"/>
      <c r="C463" s="197">
        <v>64</v>
      </c>
      <c r="D463" s="261">
        <v>15</v>
      </c>
      <c r="E463" s="198">
        <v>264.00863600000002</v>
      </c>
      <c r="F463" s="197"/>
      <c r="G463" s="199" t="s">
        <v>661</v>
      </c>
      <c r="H463" s="200">
        <v>0.62</v>
      </c>
      <c r="I463" s="200">
        <v>1.03</v>
      </c>
      <c r="J463" s="200">
        <v>0.68</v>
      </c>
      <c r="K463" s="199" t="s">
        <v>229</v>
      </c>
      <c r="L463" s="200"/>
      <c r="M463" s="200"/>
      <c r="N463" s="197"/>
    </row>
    <row r="464" spans="1:14">
      <c r="A464" s="262"/>
      <c r="B464" s="262"/>
      <c r="C464" s="197">
        <v>65</v>
      </c>
      <c r="D464" s="262"/>
      <c r="E464" s="198">
        <v>261.54196200000001</v>
      </c>
      <c r="F464" s="197"/>
      <c r="G464" s="199" t="s">
        <v>662</v>
      </c>
      <c r="H464" s="200"/>
      <c r="I464" s="200"/>
      <c r="J464" s="200"/>
      <c r="K464" s="199"/>
      <c r="L464" s="200"/>
      <c r="M464" s="200"/>
      <c r="N464" s="197"/>
    </row>
    <row r="465" spans="1:14">
      <c r="A465" s="262"/>
      <c r="B465" s="262"/>
      <c r="C465" s="197">
        <v>66</v>
      </c>
      <c r="D465" s="261">
        <v>16</v>
      </c>
      <c r="E465" s="198">
        <v>255.32520199999999</v>
      </c>
      <c r="F465" s="197" t="s">
        <v>227</v>
      </c>
      <c r="G465" s="199" t="s">
        <v>663</v>
      </c>
      <c r="H465" s="200">
        <v>0.625</v>
      </c>
      <c r="I465" s="200">
        <v>1.03</v>
      </c>
      <c r="J465" s="200">
        <v>0.66500000000000004</v>
      </c>
      <c r="K465" s="199" t="s">
        <v>229</v>
      </c>
      <c r="L465" s="200"/>
      <c r="M465" s="200"/>
      <c r="N465" s="197"/>
    </row>
    <row r="466" spans="1:14">
      <c r="A466" s="262"/>
      <c r="B466" s="262"/>
      <c r="C466" s="197">
        <v>67</v>
      </c>
      <c r="D466" s="262"/>
      <c r="E466" s="198">
        <v>799.74096699999996</v>
      </c>
      <c r="F466" s="197" t="s">
        <v>281</v>
      </c>
      <c r="G466" s="199" t="s">
        <v>664</v>
      </c>
      <c r="H466" s="200"/>
      <c r="I466" s="200"/>
      <c r="J466" s="200"/>
      <c r="K466" s="199"/>
      <c r="L466" s="200"/>
      <c r="M466" s="200"/>
      <c r="N466" s="197"/>
    </row>
    <row r="467" spans="1:14">
      <c r="A467" s="262"/>
      <c r="B467" s="262"/>
      <c r="C467" s="197">
        <v>68</v>
      </c>
      <c r="D467" s="262"/>
      <c r="E467" s="198">
        <v>0</v>
      </c>
      <c r="F467" s="197" t="s">
        <v>227</v>
      </c>
      <c r="G467" s="199" t="s">
        <v>665</v>
      </c>
      <c r="H467" s="200"/>
      <c r="I467" s="200"/>
      <c r="J467" s="200"/>
      <c r="K467" s="199"/>
      <c r="L467" s="200"/>
      <c r="M467" s="200"/>
      <c r="N467" s="197"/>
    </row>
    <row r="468" spans="1:14">
      <c r="A468" s="262"/>
      <c r="B468" s="262"/>
      <c r="C468" s="197">
        <v>69</v>
      </c>
      <c r="D468" s="262"/>
      <c r="E468" s="198">
        <v>0</v>
      </c>
      <c r="F468" s="197" t="s">
        <v>227</v>
      </c>
      <c r="G468" s="199" t="s">
        <v>666</v>
      </c>
      <c r="H468" s="200"/>
      <c r="I468" s="200"/>
      <c r="J468" s="200"/>
      <c r="K468" s="199"/>
      <c r="L468" s="200"/>
      <c r="M468" s="200"/>
      <c r="N468" s="197"/>
    </row>
    <row r="469" spans="1:14">
      <c r="A469" s="262"/>
      <c r="B469" s="262"/>
      <c r="C469" s="197">
        <v>70</v>
      </c>
      <c r="D469" s="262"/>
      <c r="E469" s="198">
        <v>0</v>
      </c>
      <c r="F469" s="197" t="s">
        <v>227</v>
      </c>
      <c r="G469" s="199" t="s">
        <v>667</v>
      </c>
      <c r="H469" s="200"/>
      <c r="I469" s="200"/>
      <c r="J469" s="200"/>
      <c r="K469" s="199"/>
      <c r="L469" s="200"/>
      <c r="M469" s="200"/>
      <c r="N469" s="197"/>
    </row>
    <row r="470" spans="1:14">
      <c r="A470" s="262"/>
      <c r="B470" s="262"/>
      <c r="C470" s="197">
        <v>71</v>
      </c>
      <c r="D470" s="262"/>
      <c r="E470" s="198">
        <v>0</v>
      </c>
      <c r="F470" s="197" t="s">
        <v>227</v>
      </c>
      <c r="G470" s="199" t="s">
        <v>668</v>
      </c>
      <c r="H470" s="200"/>
      <c r="I470" s="200"/>
      <c r="J470" s="200"/>
      <c r="K470" s="199"/>
      <c r="L470" s="200"/>
      <c r="M470" s="200"/>
      <c r="N470" s="197"/>
    </row>
    <row r="471" spans="1:14">
      <c r="A471" s="262"/>
      <c r="B471" s="262"/>
      <c r="C471" s="197">
        <v>72</v>
      </c>
      <c r="D471" s="262"/>
      <c r="E471" s="198">
        <v>0</v>
      </c>
      <c r="F471" s="197" t="s">
        <v>227</v>
      </c>
      <c r="G471" s="199" t="s">
        <v>669</v>
      </c>
      <c r="H471" s="200"/>
      <c r="I471" s="200"/>
      <c r="J471" s="200"/>
      <c r="K471" s="199"/>
      <c r="L471" s="200"/>
      <c r="M471" s="200"/>
      <c r="N471" s="197"/>
    </row>
    <row r="472" spans="1:14">
      <c r="A472" s="261" t="s">
        <v>670</v>
      </c>
      <c r="B472" s="261">
        <v>8</v>
      </c>
      <c r="C472" s="197">
        <v>1</v>
      </c>
      <c r="D472" s="261">
        <v>1</v>
      </c>
      <c r="E472" s="198">
        <v>0</v>
      </c>
      <c r="F472" s="197" t="s">
        <v>227</v>
      </c>
      <c r="G472" s="199" t="s">
        <v>228</v>
      </c>
      <c r="H472" s="200">
        <v>0.6</v>
      </c>
      <c r="I472" s="200">
        <v>1.0649999999999999</v>
      </c>
      <c r="J472" s="200">
        <v>0.65</v>
      </c>
      <c r="K472" s="199" t="s">
        <v>671</v>
      </c>
      <c r="L472" s="200">
        <v>2.526229589229766E-2</v>
      </c>
      <c r="M472" s="200"/>
      <c r="N472" s="197"/>
    </row>
    <row r="473" spans="1:14">
      <c r="A473" s="262"/>
      <c r="B473" s="262"/>
      <c r="C473" s="197">
        <v>2</v>
      </c>
      <c r="D473" s="262"/>
      <c r="E473" s="198">
        <v>0</v>
      </c>
      <c r="F473" s="197" t="s">
        <v>227</v>
      </c>
      <c r="G473" s="199" t="s">
        <v>230</v>
      </c>
      <c r="H473" s="200"/>
      <c r="I473" s="200"/>
      <c r="J473" s="200"/>
      <c r="K473" s="199"/>
      <c r="L473" s="200">
        <v>1.4248766393972521E-2</v>
      </c>
      <c r="M473" s="200"/>
      <c r="N473" s="197"/>
    </row>
    <row r="474" spans="1:14">
      <c r="A474" s="262"/>
      <c r="B474" s="262"/>
      <c r="C474" s="197">
        <v>3</v>
      </c>
      <c r="D474" s="262"/>
      <c r="E474" s="198">
        <v>0</v>
      </c>
      <c r="F474" s="197" t="s">
        <v>227</v>
      </c>
      <c r="G474" s="199" t="s">
        <v>324</v>
      </c>
      <c r="H474" s="200"/>
      <c r="I474" s="200"/>
      <c r="J474" s="200"/>
      <c r="K474" s="199"/>
      <c r="L474" s="200">
        <v>1.7807016699885485E-2</v>
      </c>
      <c r="M474" s="200"/>
      <c r="N474" s="197"/>
    </row>
    <row r="475" spans="1:14">
      <c r="A475" s="262"/>
      <c r="B475" s="262"/>
      <c r="C475" s="197">
        <v>4</v>
      </c>
      <c r="D475" s="262"/>
      <c r="E475" s="198">
        <v>377.64035000000001</v>
      </c>
      <c r="F475" s="197"/>
      <c r="G475" s="199" t="s">
        <v>672</v>
      </c>
      <c r="H475" s="200"/>
      <c r="I475" s="200"/>
      <c r="J475" s="200"/>
      <c r="K475" s="199"/>
      <c r="L475" s="200"/>
      <c r="M475" s="200" t="s">
        <v>673</v>
      </c>
      <c r="N475" s="197" t="s">
        <v>674</v>
      </c>
    </row>
    <row r="476" spans="1:14">
      <c r="A476" s="262"/>
      <c r="B476" s="262"/>
      <c r="C476" s="197">
        <v>5</v>
      </c>
      <c r="D476" s="262"/>
      <c r="E476" s="198">
        <v>381.839538</v>
      </c>
      <c r="F476" s="197"/>
      <c r="G476" s="199" t="s">
        <v>675</v>
      </c>
      <c r="H476" s="200"/>
      <c r="I476" s="200"/>
      <c r="J476" s="200"/>
      <c r="K476" s="199"/>
      <c r="L476" s="200"/>
      <c r="M476" s="200"/>
      <c r="N476" s="197"/>
    </row>
    <row r="477" spans="1:14">
      <c r="A477" s="262"/>
      <c r="B477" s="262"/>
      <c r="C477" s="197">
        <v>6</v>
      </c>
      <c r="D477" s="262"/>
      <c r="E477" s="198">
        <v>377.87298600000003</v>
      </c>
      <c r="F477" s="197"/>
      <c r="G477" s="199" t="s">
        <v>676</v>
      </c>
      <c r="H477" s="200"/>
      <c r="I477" s="200"/>
      <c r="J477" s="200"/>
      <c r="K477" s="199"/>
      <c r="L477" s="200"/>
      <c r="M477" s="200"/>
      <c r="N477" s="197"/>
    </row>
    <row r="478" spans="1:14">
      <c r="A478" s="262"/>
      <c r="B478" s="262"/>
      <c r="C478" s="197">
        <v>7</v>
      </c>
      <c r="D478" s="261">
        <v>2</v>
      </c>
      <c r="E478" s="198">
        <v>0</v>
      </c>
      <c r="F478" s="197" t="s">
        <v>227</v>
      </c>
      <c r="G478" s="199" t="s">
        <v>238</v>
      </c>
      <c r="H478" s="200">
        <v>0.59499999999999997</v>
      </c>
      <c r="I478" s="200">
        <v>1.0649999999999999</v>
      </c>
      <c r="J478" s="200">
        <v>0.66</v>
      </c>
      <c r="K478" s="199" t="s">
        <v>671</v>
      </c>
      <c r="L478" s="200"/>
      <c r="M478" s="200"/>
      <c r="N478" s="197"/>
    </row>
    <row r="479" spans="1:14">
      <c r="A479" s="262"/>
      <c r="B479" s="262"/>
      <c r="C479" s="197">
        <v>8</v>
      </c>
      <c r="D479" s="262"/>
      <c r="E479" s="198">
        <v>0</v>
      </c>
      <c r="F479" s="197" t="s">
        <v>227</v>
      </c>
      <c r="G479" s="199" t="s">
        <v>239</v>
      </c>
      <c r="H479" s="200"/>
      <c r="I479" s="200"/>
      <c r="J479" s="200"/>
      <c r="K479" s="199"/>
      <c r="L479" s="200"/>
      <c r="M479" s="200"/>
      <c r="N479" s="197"/>
    </row>
    <row r="480" spans="1:14">
      <c r="A480" s="262"/>
      <c r="B480" s="262"/>
      <c r="C480" s="197">
        <v>9</v>
      </c>
      <c r="D480" s="262"/>
      <c r="E480" s="198">
        <v>0</v>
      </c>
      <c r="F480" s="197" t="s">
        <v>227</v>
      </c>
      <c r="G480" s="199" t="s">
        <v>240</v>
      </c>
      <c r="H480" s="200"/>
      <c r="I480" s="200"/>
      <c r="J480" s="200"/>
      <c r="K480" s="199"/>
      <c r="L480" s="200"/>
      <c r="M480" s="200"/>
      <c r="N480" s="197"/>
    </row>
    <row r="481" spans="1:14">
      <c r="A481" s="262"/>
      <c r="B481" s="262"/>
      <c r="C481" s="197">
        <v>10</v>
      </c>
      <c r="D481" s="262"/>
      <c r="E481" s="198">
        <v>0</v>
      </c>
      <c r="F481" s="197" t="s">
        <v>227</v>
      </c>
      <c r="G481" s="199" t="s">
        <v>332</v>
      </c>
      <c r="H481" s="200"/>
      <c r="I481" s="200"/>
      <c r="J481" s="200"/>
      <c r="K481" s="199"/>
      <c r="L481" s="200"/>
      <c r="M481" s="200"/>
      <c r="N481" s="197"/>
    </row>
    <row r="482" spans="1:14">
      <c r="A482" s="262"/>
      <c r="B482" s="262"/>
      <c r="C482" s="197">
        <v>11</v>
      </c>
      <c r="D482" s="262"/>
      <c r="E482" s="198">
        <v>0</v>
      </c>
      <c r="F482" s="197" t="s">
        <v>227</v>
      </c>
      <c r="G482" s="199" t="s">
        <v>677</v>
      </c>
      <c r="H482" s="200"/>
      <c r="I482" s="200"/>
      <c r="J482" s="200"/>
      <c r="K482" s="199"/>
      <c r="L482" s="200"/>
      <c r="M482" s="200"/>
      <c r="N482" s="197"/>
    </row>
    <row r="483" spans="1:14">
      <c r="A483" s="262"/>
      <c r="B483" s="262"/>
      <c r="C483" s="197">
        <v>12</v>
      </c>
      <c r="D483" s="262"/>
      <c r="E483" s="198">
        <v>444.95513899999997</v>
      </c>
      <c r="F483" s="197"/>
      <c r="G483" s="199" t="s">
        <v>678</v>
      </c>
      <c r="H483" s="200"/>
      <c r="I483" s="200"/>
      <c r="J483" s="200"/>
      <c r="K483" s="199"/>
      <c r="L483" s="200"/>
      <c r="M483" s="200"/>
      <c r="N483" s="197"/>
    </row>
    <row r="484" spans="1:14">
      <c r="A484" s="262"/>
      <c r="B484" s="262"/>
      <c r="C484" s="197">
        <v>13</v>
      </c>
      <c r="D484" s="261">
        <v>3</v>
      </c>
      <c r="E484" s="198">
        <v>424.60465199999999</v>
      </c>
      <c r="F484" s="197" t="s">
        <v>227</v>
      </c>
      <c r="G484" s="199" t="s">
        <v>679</v>
      </c>
      <c r="H484" s="200">
        <v>0.56000000000000005</v>
      </c>
      <c r="I484" s="200">
        <v>1.0549999999999999</v>
      </c>
      <c r="J484" s="200">
        <v>0.61499999999999999</v>
      </c>
      <c r="K484" s="199" t="s">
        <v>671</v>
      </c>
      <c r="L484" s="200"/>
      <c r="M484" s="200"/>
      <c r="N484" s="197"/>
    </row>
    <row r="485" spans="1:14">
      <c r="A485" s="262"/>
      <c r="B485" s="262"/>
      <c r="C485" s="197">
        <v>14</v>
      </c>
      <c r="D485" s="262"/>
      <c r="E485" s="198">
        <v>374.68139600000001</v>
      </c>
      <c r="F485" s="197"/>
      <c r="G485" s="199" t="s">
        <v>680</v>
      </c>
      <c r="H485" s="200"/>
      <c r="I485" s="200"/>
      <c r="J485" s="200"/>
      <c r="K485" s="199"/>
      <c r="L485" s="200"/>
      <c r="M485" s="200"/>
      <c r="N485" s="197"/>
    </row>
    <row r="486" spans="1:14">
      <c r="A486" s="262"/>
      <c r="B486" s="262"/>
      <c r="C486" s="197">
        <v>15</v>
      </c>
      <c r="D486" s="262"/>
      <c r="E486" s="198">
        <v>751.70452899999998</v>
      </c>
      <c r="F486" s="197" t="s">
        <v>281</v>
      </c>
      <c r="G486" s="199" t="s">
        <v>681</v>
      </c>
      <c r="H486" s="200"/>
      <c r="I486" s="200"/>
      <c r="J486" s="200"/>
      <c r="K486" s="199"/>
      <c r="L486" s="200"/>
      <c r="M486" s="200"/>
      <c r="N486" s="197"/>
    </row>
    <row r="487" spans="1:14">
      <c r="A487" s="262"/>
      <c r="B487" s="262"/>
      <c r="C487" s="197">
        <v>16</v>
      </c>
      <c r="D487" s="261">
        <v>4</v>
      </c>
      <c r="E487" s="198">
        <v>375.83449899999999</v>
      </c>
      <c r="F487" s="197" t="s">
        <v>227</v>
      </c>
      <c r="G487" s="199" t="s">
        <v>682</v>
      </c>
      <c r="H487" s="200">
        <v>0.56999999999999995</v>
      </c>
      <c r="I487" s="200">
        <v>1.1000000000000001</v>
      </c>
      <c r="J487" s="200">
        <v>0.625</v>
      </c>
      <c r="K487" s="199" t="s">
        <v>671</v>
      </c>
      <c r="L487" s="200"/>
      <c r="M487" s="200"/>
      <c r="N487" s="197"/>
    </row>
    <row r="488" spans="1:14">
      <c r="A488" s="262"/>
      <c r="B488" s="262"/>
      <c r="C488" s="197">
        <v>17</v>
      </c>
      <c r="D488" s="262"/>
      <c r="E488" s="198">
        <v>375.83449899999999</v>
      </c>
      <c r="F488" s="197"/>
      <c r="G488" s="199" t="s">
        <v>683</v>
      </c>
      <c r="H488" s="200"/>
      <c r="I488" s="200"/>
      <c r="J488" s="200"/>
      <c r="K488" s="199"/>
      <c r="L488" s="200"/>
      <c r="M488" s="200"/>
      <c r="N488" s="197"/>
    </row>
    <row r="489" spans="1:14">
      <c r="A489" s="262"/>
      <c r="B489" s="262"/>
      <c r="C489" s="197">
        <v>18</v>
      </c>
      <c r="D489" s="262"/>
      <c r="E489" s="198">
        <v>379.30326000000002</v>
      </c>
      <c r="F489" s="197"/>
      <c r="G489" s="199" t="s">
        <v>684</v>
      </c>
      <c r="H489" s="200"/>
      <c r="I489" s="200"/>
      <c r="J489" s="200"/>
      <c r="K489" s="199"/>
      <c r="L489" s="200"/>
      <c r="M489" s="200"/>
      <c r="N489" s="197"/>
    </row>
    <row r="490" spans="1:14">
      <c r="A490" s="262"/>
      <c r="B490" s="262"/>
      <c r="C490" s="197">
        <v>19</v>
      </c>
      <c r="D490" s="262"/>
      <c r="E490" s="198">
        <v>367.067474</v>
      </c>
      <c r="F490" s="197"/>
      <c r="G490" s="199" t="s">
        <v>685</v>
      </c>
      <c r="H490" s="200"/>
      <c r="I490" s="200"/>
      <c r="J490" s="200"/>
      <c r="K490" s="199"/>
      <c r="L490" s="200"/>
      <c r="M490" s="200"/>
      <c r="N490" s="197"/>
    </row>
    <row r="491" spans="1:14">
      <c r="A491" s="262"/>
      <c r="B491" s="262"/>
      <c r="C491" s="197">
        <v>20</v>
      </c>
      <c r="D491" s="262"/>
      <c r="E491" s="198">
        <v>0</v>
      </c>
      <c r="F491" s="197" t="s">
        <v>227</v>
      </c>
      <c r="G491" s="199" t="s">
        <v>686</v>
      </c>
      <c r="H491" s="200"/>
      <c r="I491" s="200"/>
      <c r="J491" s="200"/>
      <c r="K491" s="199"/>
      <c r="L491" s="200"/>
      <c r="M491" s="200"/>
      <c r="N491" s="197"/>
    </row>
    <row r="492" spans="1:14">
      <c r="A492" s="262"/>
      <c r="B492" s="262"/>
      <c r="C492" s="197">
        <v>21</v>
      </c>
      <c r="D492" s="262"/>
      <c r="E492" s="198">
        <v>0</v>
      </c>
      <c r="F492" s="197" t="s">
        <v>227</v>
      </c>
      <c r="G492" s="199" t="s">
        <v>252</v>
      </c>
      <c r="H492" s="200"/>
      <c r="I492" s="200"/>
      <c r="J492" s="200"/>
      <c r="K492" s="199"/>
      <c r="L492" s="200"/>
      <c r="M492" s="200"/>
      <c r="N492" s="197"/>
    </row>
    <row r="493" spans="1:14">
      <c r="A493" s="262"/>
      <c r="B493" s="262"/>
      <c r="C493" s="197">
        <v>22</v>
      </c>
      <c r="D493" s="262"/>
      <c r="E493" s="198">
        <v>0</v>
      </c>
      <c r="F493" s="197" t="s">
        <v>227</v>
      </c>
      <c r="G493" s="199" t="s">
        <v>253</v>
      </c>
      <c r="H493" s="200"/>
      <c r="I493" s="200"/>
      <c r="J493" s="200"/>
      <c r="K493" s="199"/>
      <c r="L493" s="200"/>
      <c r="M493" s="200"/>
      <c r="N493" s="197"/>
    </row>
    <row r="494" spans="1:14">
      <c r="A494" s="262"/>
      <c r="B494" s="262"/>
      <c r="C494" s="197">
        <v>23</v>
      </c>
      <c r="D494" s="262"/>
      <c r="E494" s="198">
        <v>0</v>
      </c>
      <c r="F494" s="197" t="s">
        <v>227</v>
      </c>
      <c r="G494" s="199" t="s">
        <v>687</v>
      </c>
      <c r="H494" s="200"/>
      <c r="I494" s="200"/>
      <c r="J494" s="200"/>
      <c r="K494" s="199"/>
      <c r="L494" s="200"/>
      <c r="M494" s="200"/>
      <c r="N494" s="197"/>
    </row>
    <row r="495" spans="1:14">
      <c r="A495" s="262"/>
      <c r="B495" s="262"/>
      <c r="C495" s="197">
        <v>24</v>
      </c>
      <c r="D495" s="262"/>
      <c r="E495" s="198">
        <v>0</v>
      </c>
      <c r="F495" s="197" t="s">
        <v>227</v>
      </c>
      <c r="G495" s="199" t="s">
        <v>688</v>
      </c>
      <c r="H495" s="200"/>
      <c r="I495" s="200"/>
      <c r="J495" s="200"/>
      <c r="K495" s="199"/>
      <c r="L495" s="200"/>
      <c r="M495" s="200"/>
      <c r="N495" s="197"/>
    </row>
    <row r="496" spans="1:14">
      <c r="A496" s="262"/>
      <c r="B496" s="262"/>
      <c r="C496" s="197">
        <v>25</v>
      </c>
      <c r="D496" s="262"/>
      <c r="E496" s="198">
        <v>0</v>
      </c>
      <c r="F496" s="197" t="s">
        <v>227</v>
      </c>
      <c r="G496" s="199" t="s">
        <v>689</v>
      </c>
      <c r="H496" s="200"/>
      <c r="I496" s="200"/>
      <c r="J496" s="200"/>
      <c r="K496" s="199"/>
      <c r="L496" s="200"/>
      <c r="M496" s="200"/>
      <c r="N496" s="197"/>
    </row>
    <row r="497" spans="1:14">
      <c r="A497" s="262"/>
      <c r="B497" s="262"/>
      <c r="C497" s="197">
        <v>26</v>
      </c>
      <c r="D497" s="261">
        <v>5</v>
      </c>
      <c r="E497" s="198">
        <v>380.94609600000001</v>
      </c>
      <c r="F497" s="197"/>
      <c r="G497" s="199" t="s">
        <v>690</v>
      </c>
      <c r="H497" s="200">
        <v>0.6</v>
      </c>
      <c r="I497" s="200">
        <v>1.0649999999999999</v>
      </c>
      <c r="J497" s="200">
        <v>0.65500000000000003</v>
      </c>
      <c r="K497" s="199" t="s">
        <v>671</v>
      </c>
      <c r="L497" s="200"/>
      <c r="M497" s="200"/>
      <c r="N497" s="197"/>
    </row>
    <row r="498" spans="1:14">
      <c r="A498" s="262"/>
      <c r="B498" s="262"/>
      <c r="C498" s="197">
        <v>27</v>
      </c>
      <c r="D498" s="262"/>
      <c r="E498" s="198">
        <v>385.48950200000002</v>
      </c>
      <c r="F498" s="197"/>
      <c r="G498" s="199" t="s">
        <v>691</v>
      </c>
      <c r="H498" s="200"/>
      <c r="I498" s="200"/>
      <c r="J498" s="200"/>
      <c r="K498" s="199"/>
      <c r="L498" s="200"/>
      <c r="M498" s="200"/>
      <c r="N498" s="197"/>
    </row>
    <row r="499" spans="1:14">
      <c r="A499" s="262"/>
      <c r="B499" s="262"/>
      <c r="C499" s="197">
        <v>28</v>
      </c>
      <c r="D499" s="261">
        <v>6</v>
      </c>
      <c r="E499" s="198">
        <v>344.56614300000001</v>
      </c>
      <c r="F499" s="197" t="s">
        <v>227</v>
      </c>
      <c r="G499" s="199" t="s">
        <v>692</v>
      </c>
      <c r="H499" s="200">
        <v>0.6</v>
      </c>
      <c r="I499" s="200">
        <v>1.06</v>
      </c>
      <c r="J499" s="200">
        <v>0.65</v>
      </c>
      <c r="K499" s="199" t="s">
        <v>671</v>
      </c>
      <c r="L499" s="200"/>
      <c r="M499" s="200"/>
      <c r="N499" s="197"/>
    </row>
    <row r="500" spans="1:14">
      <c r="A500" s="262"/>
      <c r="B500" s="262"/>
      <c r="C500" s="197">
        <v>29</v>
      </c>
      <c r="D500" s="262"/>
      <c r="E500" s="198">
        <v>341.92512599999998</v>
      </c>
      <c r="F500" s="197"/>
      <c r="G500" s="199" t="s">
        <v>693</v>
      </c>
      <c r="H500" s="200"/>
      <c r="I500" s="200"/>
      <c r="J500" s="200"/>
      <c r="K500" s="199"/>
      <c r="L500" s="200"/>
      <c r="M500" s="200"/>
      <c r="N500" s="197"/>
    </row>
    <row r="501" spans="1:14">
      <c r="A501" s="262"/>
      <c r="B501" s="262"/>
      <c r="C501" s="197">
        <v>30</v>
      </c>
      <c r="D501" s="262"/>
      <c r="E501" s="198">
        <v>347.37012199999998</v>
      </c>
      <c r="F501" s="197"/>
      <c r="G501" s="199" t="s">
        <v>694</v>
      </c>
      <c r="H501" s="200"/>
      <c r="I501" s="200"/>
      <c r="J501" s="200"/>
      <c r="K501" s="199"/>
      <c r="L501" s="200"/>
      <c r="M501" s="200"/>
      <c r="N501" s="197"/>
    </row>
    <row r="502" spans="1:14">
      <c r="A502" s="262"/>
      <c r="B502" s="262"/>
      <c r="C502" s="197">
        <v>31</v>
      </c>
      <c r="D502" s="261">
        <v>7</v>
      </c>
      <c r="E502" s="198">
        <v>384.38986199999999</v>
      </c>
      <c r="F502" s="197" t="s">
        <v>227</v>
      </c>
      <c r="G502" s="199" t="s">
        <v>695</v>
      </c>
      <c r="H502" s="200">
        <v>0.51</v>
      </c>
      <c r="I502" s="200">
        <v>1.075</v>
      </c>
      <c r="J502" s="200">
        <v>0.66</v>
      </c>
      <c r="K502" s="199" t="s">
        <v>671</v>
      </c>
      <c r="L502" s="200"/>
      <c r="M502" s="200"/>
      <c r="N502" s="197"/>
    </row>
    <row r="503" spans="1:14">
      <c r="A503" s="262"/>
      <c r="B503" s="262"/>
      <c r="C503" s="197">
        <v>32</v>
      </c>
      <c r="D503" s="262"/>
      <c r="E503" s="198">
        <v>524.04022199999997</v>
      </c>
      <c r="F503" s="197" t="s">
        <v>281</v>
      </c>
      <c r="G503" s="199" t="s">
        <v>696</v>
      </c>
      <c r="H503" s="200"/>
      <c r="I503" s="200"/>
      <c r="J503" s="200"/>
      <c r="K503" s="199"/>
      <c r="L503" s="200"/>
      <c r="M503" s="200"/>
      <c r="N503" s="197"/>
    </row>
    <row r="504" spans="1:14">
      <c r="A504" s="262"/>
      <c r="B504" s="262"/>
      <c r="C504" s="197">
        <v>33</v>
      </c>
      <c r="D504" s="262"/>
      <c r="E504" s="198">
        <v>388.54626500000001</v>
      </c>
      <c r="F504" s="197"/>
      <c r="G504" s="199" t="s">
        <v>697</v>
      </c>
      <c r="H504" s="200"/>
      <c r="I504" s="200"/>
      <c r="J504" s="200"/>
      <c r="K504" s="199"/>
      <c r="L504" s="200"/>
      <c r="M504" s="200"/>
      <c r="N504" s="197"/>
    </row>
    <row r="505" spans="1:14">
      <c r="A505" s="262"/>
      <c r="B505" s="262"/>
      <c r="C505" s="197">
        <v>34</v>
      </c>
      <c r="D505" s="261">
        <v>8</v>
      </c>
      <c r="E505" s="198">
        <v>0</v>
      </c>
      <c r="F505" s="197" t="s">
        <v>227</v>
      </c>
      <c r="G505" s="199" t="s">
        <v>698</v>
      </c>
      <c r="H505" s="200">
        <v>0.59</v>
      </c>
      <c r="I505" s="200">
        <v>1.0900000000000001</v>
      </c>
      <c r="J505" s="200">
        <v>0.66500000000000004</v>
      </c>
      <c r="K505" s="199" t="s">
        <v>229</v>
      </c>
      <c r="L505" s="200"/>
      <c r="M505" s="200"/>
      <c r="N505" s="197"/>
    </row>
    <row r="506" spans="1:14">
      <c r="A506" s="262"/>
      <c r="B506" s="262"/>
      <c r="C506" s="197">
        <v>35</v>
      </c>
      <c r="D506" s="262"/>
      <c r="E506" s="198">
        <v>264.864868</v>
      </c>
      <c r="F506" s="197"/>
      <c r="G506" s="199" t="s">
        <v>699</v>
      </c>
      <c r="H506" s="200"/>
      <c r="I506" s="200"/>
      <c r="J506" s="200"/>
      <c r="K506" s="199"/>
      <c r="L506" s="200"/>
      <c r="M506" s="200"/>
      <c r="N506" s="197"/>
    </row>
    <row r="507" spans="1:14">
      <c r="A507" s="262"/>
      <c r="B507" s="262"/>
      <c r="C507" s="197">
        <v>36</v>
      </c>
      <c r="D507" s="262"/>
      <c r="E507" s="198">
        <v>0</v>
      </c>
      <c r="F507" s="197" t="s">
        <v>227</v>
      </c>
      <c r="G507" s="199" t="s">
        <v>267</v>
      </c>
      <c r="H507" s="200"/>
      <c r="I507" s="200"/>
      <c r="J507" s="200"/>
      <c r="K507" s="199"/>
      <c r="L507" s="200"/>
      <c r="M507" s="200"/>
      <c r="N507" s="197"/>
    </row>
    <row r="508" spans="1:14">
      <c r="A508" s="262"/>
      <c r="B508" s="262"/>
      <c r="C508" s="197">
        <v>37</v>
      </c>
      <c r="D508" s="262"/>
      <c r="E508" s="198">
        <v>368.53573999999998</v>
      </c>
      <c r="F508" s="197"/>
      <c r="G508" s="199" t="s">
        <v>700</v>
      </c>
      <c r="H508" s="200"/>
      <c r="I508" s="200"/>
      <c r="J508" s="200"/>
      <c r="K508" s="199"/>
      <c r="L508" s="200"/>
      <c r="M508" s="200"/>
      <c r="N508" s="197"/>
    </row>
    <row r="509" spans="1:14">
      <c r="A509" s="262"/>
      <c r="B509" s="262"/>
      <c r="C509" s="197">
        <v>38</v>
      </c>
      <c r="D509" s="262"/>
      <c r="E509" s="198">
        <v>0</v>
      </c>
      <c r="F509" s="197" t="s">
        <v>227</v>
      </c>
      <c r="G509" s="199" t="s">
        <v>269</v>
      </c>
      <c r="H509" s="200"/>
      <c r="I509" s="200"/>
      <c r="J509" s="200"/>
      <c r="K509" s="199"/>
      <c r="L509" s="200"/>
      <c r="M509" s="200"/>
      <c r="N509" s="197"/>
    </row>
    <row r="510" spans="1:14">
      <c r="A510" s="262"/>
      <c r="B510" s="262"/>
      <c r="C510" s="197">
        <v>39</v>
      </c>
      <c r="D510" s="262"/>
      <c r="E510" s="198">
        <v>0</v>
      </c>
      <c r="F510" s="197" t="s">
        <v>227</v>
      </c>
      <c r="G510" s="199" t="s">
        <v>270</v>
      </c>
      <c r="H510" s="200"/>
      <c r="I510" s="200"/>
      <c r="J510" s="200"/>
      <c r="K510" s="199"/>
      <c r="L510" s="200"/>
      <c r="M510" s="200"/>
      <c r="N510" s="197"/>
    </row>
    <row r="511" spans="1:14">
      <c r="A511" s="262"/>
      <c r="B511" s="262"/>
      <c r="C511" s="197">
        <v>40</v>
      </c>
      <c r="D511" s="262"/>
      <c r="E511" s="198">
        <v>0</v>
      </c>
      <c r="F511" s="197" t="s">
        <v>227</v>
      </c>
      <c r="G511" s="199" t="s">
        <v>271</v>
      </c>
      <c r="H511" s="200"/>
      <c r="I511" s="200"/>
      <c r="J511" s="200"/>
      <c r="K511" s="199"/>
      <c r="L511" s="200"/>
      <c r="M511" s="200"/>
      <c r="N511" s="197"/>
    </row>
    <row r="512" spans="1:14">
      <c r="A512" s="262"/>
      <c r="B512" s="262"/>
      <c r="C512" s="197">
        <v>41</v>
      </c>
      <c r="D512" s="262"/>
      <c r="E512" s="198">
        <v>0</v>
      </c>
      <c r="F512" s="197" t="s">
        <v>227</v>
      </c>
      <c r="G512" s="199" t="s">
        <v>643</v>
      </c>
      <c r="H512" s="200"/>
      <c r="I512" s="200"/>
      <c r="J512" s="200"/>
      <c r="K512" s="199"/>
      <c r="L512" s="200"/>
      <c r="M512" s="200"/>
      <c r="N512" s="197"/>
    </row>
    <row r="513" spans="1:14">
      <c r="A513" s="262"/>
      <c r="B513" s="262"/>
      <c r="C513" s="197">
        <v>42</v>
      </c>
      <c r="D513" s="262"/>
      <c r="E513" s="198">
        <v>0</v>
      </c>
      <c r="F513" s="197" t="s">
        <v>227</v>
      </c>
      <c r="G513" s="199" t="s">
        <v>364</v>
      </c>
      <c r="H513" s="200"/>
      <c r="I513" s="200"/>
      <c r="J513" s="200"/>
      <c r="K513" s="199"/>
      <c r="L513" s="200"/>
      <c r="M513" s="200"/>
      <c r="N513" s="197"/>
    </row>
    <row r="514" spans="1:14">
      <c r="A514" s="262"/>
      <c r="B514" s="262"/>
      <c r="C514" s="197">
        <v>43</v>
      </c>
      <c r="D514" s="261">
        <v>9</v>
      </c>
      <c r="E514" s="198">
        <v>341.09789000000001</v>
      </c>
      <c r="F514" s="197"/>
      <c r="G514" s="199" t="s">
        <v>701</v>
      </c>
      <c r="H514" s="200">
        <v>0.61</v>
      </c>
      <c r="I514" s="200">
        <v>1.0649999999999999</v>
      </c>
      <c r="J514" s="200">
        <v>0.63</v>
      </c>
      <c r="K514" s="199" t="s">
        <v>671</v>
      </c>
      <c r="L514" s="200"/>
      <c r="M514" s="200"/>
      <c r="N514" s="197"/>
    </row>
    <row r="515" spans="1:14">
      <c r="A515" s="262"/>
      <c r="B515" s="262"/>
      <c r="C515" s="197">
        <v>44</v>
      </c>
      <c r="D515" s="262"/>
      <c r="E515" s="198">
        <v>339.85482300000001</v>
      </c>
      <c r="F515" s="197"/>
      <c r="G515" s="199" t="s">
        <v>702</v>
      </c>
      <c r="H515" s="200"/>
      <c r="I515" s="200"/>
      <c r="J515" s="200"/>
      <c r="K515" s="199"/>
      <c r="L515" s="200"/>
      <c r="M515" s="200"/>
      <c r="N515" s="197"/>
    </row>
    <row r="516" spans="1:14">
      <c r="A516" s="262"/>
      <c r="B516" s="262"/>
      <c r="C516" s="197">
        <v>45</v>
      </c>
      <c r="D516" s="261">
        <v>10</v>
      </c>
      <c r="E516" s="198">
        <v>0</v>
      </c>
      <c r="F516" s="197" t="s">
        <v>227</v>
      </c>
      <c r="G516" s="199" t="s">
        <v>646</v>
      </c>
      <c r="H516" s="200">
        <v>0.59499999999999997</v>
      </c>
      <c r="I516" s="200">
        <v>1.0549999999999999</v>
      </c>
      <c r="J516" s="200">
        <v>0.625</v>
      </c>
      <c r="K516" s="199" t="s">
        <v>671</v>
      </c>
      <c r="L516" s="200"/>
      <c r="M516" s="200"/>
      <c r="N516" s="197"/>
    </row>
    <row r="517" spans="1:14">
      <c r="A517" s="262"/>
      <c r="B517" s="262"/>
      <c r="C517" s="197">
        <v>46</v>
      </c>
      <c r="D517" s="262"/>
      <c r="E517" s="198">
        <v>255.43838600000001</v>
      </c>
      <c r="F517" s="197"/>
      <c r="G517" s="199" t="s">
        <v>703</v>
      </c>
      <c r="H517" s="200"/>
      <c r="I517" s="200"/>
      <c r="J517" s="200"/>
      <c r="K517" s="199"/>
      <c r="L517" s="200"/>
      <c r="M517" s="200"/>
      <c r="N517" s="197"/>
    </row>
    <row r="518" spans="1:14">
      <c r="A518" s="262"/>
      <c r="B518" s="262"/>
      <c r="C518" s="197">
        <v>47</v>
      </c>
      <c r="D518" s="262"/>
      <c r="E518" s="198">
        <v>0</v>
      </c>
      <c r="F518" s="197" t="s">
        <v>227</v>
      </c>
      <c r="G518" s="199" t="s">
        <v>278</v>
      </c>
      <c r="H518" s="200"/>
      <c r="I518" s="200"/>
      <c r="J518" s="200"/>
      <c r="K518" s="199"/>
      <c r="L518" s="200"/>
      <c r="M518" s="200"/>
      <c r="N518" s="197"/>
    </row>
    <row r="519" spans="1:14">
      <c r="A519" s="262"/>
      <c r="B519" s="262"/>
      <c r="C519" s="197">
        <v>48</v>
      </c>
      <c r="D519" s="261">
        <v>11</v>
      </c>
      <c r="E519" s="198">
        <v>407.48402399999998</v>
      </c>
      <c r="F519" s="197"/>
      <c r="G519" s="199" t="s">
        <v>704</v>
      </c>
      <c r="H519" s="200">
        <v>0.61499999999999999</v>
      </c>
      <c r="I519" s="200">
        <v>1.07</v>
      </c>
      <c r="J519" s="200">
        <v>0.625</v>
      </c>
      <c r="K519" s="199" t="s">
        <v>671</v>
      </c>
      <c r="L519" s="200"/>
      <c r="M519" s="200"/>
      <c r="N519" s="197"/>
    </row>
    <row r="520" spans="1:14">
      <c r="A520" s="262"/>
      <c r="B520" s="262"/>
      <c r="C520" s="197">
        <v>49</v>
      </c>
      <c r="D520" s="262"/>
      <c r="E520" s="198">
        <v>419.31747300000001</v>
      </c>
      <c r="F520" s="197"/>
      <c r="G520" s="199" t="s">
        <v>705</v>
      </c>
      <c r="H520" s="200"/>
      <c r="I520" s="200"/>
      <c r="J520" s="200"/>
      <c r="K520" s="199"/>
      <c r="L520" s="200"/>
      <c r="M520" s="200"/>
      <c r="N520" s="197"/>
    </row>
    <row r="521" spans="1:14">
      <c r="A521" s="262"/>
      <c r="B521" s="262"/>
      <c r="C521" s="197">
        <v>50</v>
      </c>
      <c r="D521" s="262"/>
      <c r="E521" s="198">
        <v>0</v>
      </c>
      <c r="F521" s="197" t="s">
        <v>227</v>
      </c>
      <c r="G521" s="199" t="s">
        <v>706</v>
      </c>
      <c r="H521" s="200"/>
      <c r="I521" s="200"/>
      <c r="J521" s="200"/>
      <c r="K521" s="199"/>
      <c r="L521" s="200"/>
      <c r="M521" s="200"/>
      <c r="N521" s="197"/>
    </row>
    <row r="522" spans="1:14">
      <c r="A522" s="262"/>
      <c r="B522" s="262"/>
      <c r="C522" s="197">
        <v>51</v>
      </c>
      <c r="D522" s="261">
        <v>12</v>
      </c>
      <c r="E522" s="198">
        <v>340.99059399999999</v>
      </c>
      <c r="F522" s="197"/>
      <c r="G522" s="199" t="s">
        <v>707</v>
      </c>
      <c r="H522" s="200">
        <v>0.59499999999999997</v>
      </c>
      <c r="I522" s="200">
        <v>1.0649999999999999</v>
      </c>
      <c r="J522" s="200">
        <v>0.625</v>
      </c>
      <c r="K522" s="199" t="s">
        <v>229</v>
      </c>
      <c r="L522" s="200"/>
      <c r="M522" s="200"/>
      <c r="N522" s="197"/>
    </row>
    <row r="523" spans="1:14">
      <c r="A523" s="262"/>
      <c r="B523" s="262"/>
      <c r="C523" s="197">
        <v>52</v>
      </c>
      <c r="D523" s="262"/>
      <c r="E523" s="198">
        <v>336.55069800000001</v>
      </c>
      <c r="F523" s="197"/>
      <c r="G523" s="199" t="s">
        <v>708</v>
      </c>
      <c r="H523" s="200"/>
      <c r="I523" s="200"/>
      <c r="J523" s="200"/>
      <c r="K523" s="199"/>
      <c r="L523" s="200"/>
      <c r="M523" s="200"/>
      <c r="N523" s="197"/>
    </row>
    <row r="524" spans="1:14">
      <c r="A524" s="262"/>
      <c r="B524" s="262"/>
      <c r="C524" s="197">
        <v>53</v>
      </c>
      <c r="D524" s="262"/>
      <c r="E524" s="198">
        <v>333.89455400000003</v>
      </c>
      <c r="F524" s="197"/>
      <c r="G524" s="199" t="s">
        <v>709</v>
      </c>
      <c r="H524" s="200"/>
      <c r="I524" s="200"/>
      <c r="J524" s="200"/>
      <c r="K524" s="199"/>
      <c r="L524" s="200"/>
      <c r="M524" s="200"/>
      <c r="N524" s="197"/>
    </row>
    <row r="525" spans="1:14">
      <c r="A525" s="262"/>
      <c r="B525" s="262"/>
      <c r="C525" s="197">
        <v>54</v>
      </c>
      <c r="D525" s="262"/>
      <c r="E525" s="198">
        <v>335.271545</v>
      </c>
      <c r="F525" s="197"/>
      <c r="G525" s="199" t="s">
        <v>710</v>
      </c>
      <c r="H525" s="200"/>
      <c r="I525" s="200"/>
      <c r="J525" s="200"/>
      <c r="K525" s="199"/>
      <c r="L525" s="200"/>
      <c r="M525" s="200"/>
      <c r="N525" s="197"/>
    </row>
    <row r="526" spans="1:14">
      <c r="A526" s="262"/>
      <c r="B526" s="262"/>
      <c r="C526" s="197">
        <v>55</v>
      </c>
      <c r="D526" s="262"/>
      <c r="E526" s="198">
        <v>0</v>
      </c>
      <c r="F526" s="197" t="s">
        <v>227</v>
      </c>
      <c r="G526" s="199" t="s">
        <v>287</v>
      </c>
      <c r="H526" s="200"/>
      <c r="I526" s="200"/>
      <c r="J526" s="200"/>
      <c r="K526" s="199"/>
      <c r="L526" s="200"/>
      <c r="M526" s="200"/>
      <c r="N526" s="197"/>
    </row>
    <row r="527" spans="1:14">
      <c r="A527" s="262"/>
      <c r="B527" s="262"/>
      <c r="C527" s="197">
        <v>56</v>
      </c>
      <c r="D527" s="262"/>
      <c r="E527" s="198">
        <v>0</v>
      </c>
      <c r="F527" s="197" t="s">
        <v>227</v>
      </c>
      <c r="G527" s="199" t="s">
        <v>288</v>
      </c>
      <c r="H527" s="200"/>
      <c r="I527" s="200"/>
      <c r="J527" s="200"/>
      <c r="K527" s="199"/>
      <c r="L527" s="200"/>
      <c r="M527" s="200"/>
      <c r="N527" s="197"/>
    </row>
    <row r="528" spans="1:14">
      <c r="A528" s="262"/>
      <c r="B528" s="262"/>
      <c r="C528" s="197">
        <v>57</v>
      </c>
      <c r="D528" s="262"/>
      <c r="E528" s="198">
        <v>0</v>
      </c>
      <c r="F528" s="197" t="s">
        <v>227</v>
      </c>
      <c r="G528" s="199" t="s">
        <v>289</v>
      </c>
      <c r="H528" s="200"/>
      <c r="I528" s="200"/>
      <c r="J528" s="200"/>
      <c r="K528" s="199"/>
      <c r="L528" s="200"/>
      <c r="M528" s="200"/>
      <c r="N528" s="197"/>
    </row>
    <row r="529" spans="1:14">
      <c r="A529" s="262"/>
      <c r="B529" s="262"/>
      <c r="C529" s="197">
        <v>58</v>
      </c>
      <c r="D529" s="262"/>
      <c r="E529" s="198">
        <v>0</v>
      </c>
      <c r="F529" s="197" t="s">
        <v>227</v>
      </c>
      <c r="G529" s="199" t="s">
        <v>290</v>
      </c>
      <c r="H529" s="200"/>
      <c r="I529" s="200"/>
      <c r="J529" s="200"/>
      <c r="K529" s="199"/>
      <c r="L529" s="200"/>
      <c r="M529" s="200"/>
      <c r="N529" s="197"/>
    </row>
    <row r="530" spans="1:14">
      <c r="A530" s="262"/>
      <c r="B530" s="262"/>
      <c r="C530" s="197">
        <v>59</v>
      </c>
      <c r="D530" s="261">
        <v>13</v>
      </c>
      <c r="E530" s="198">
        <v>373.40597400000001</v>
      </c>
      <c r="F530" s="197"/>
      <c r="G530" s="199" t="s">
        <v>711</v>
      </c>
      <c r="H530" s="200">
        <v>0.58499999999999996</v>
      </c>
      <c r="I530" s="200">
        <v>1.0649999999999999</v>
      </c>
      <c r="J530" s="200">
        <v>0.67</v>
      </c>
      <c r="K530" s="199" t="s">
        <v>671</v>
      </c>
      <c r="L530" s="200"/>
      <c r="M530" s="200"/>
      <c r="N530" s="197"/>
    </row>
    <row r="531" spans="1:14">
      <c r="A531" s="262"/>
      <c r="B531" s="262"/>
      <c r="C531" s="197">
        <v>60</v>
      </c>
      <c r="D531" s="262"/>
      <c r="E531" s="198">
        <v>372.46621699999997</v>
      </c>
      <c r="F531" s="197"/>
      <c r="G531" s="199" t="s">
        <v>712</v>
      </c>
      <c r="H531" s="200"/>
      <c r="I531" s="200"/>
      <c r="J531" s="200"/>
      <c r="K531" s="199"/>
      <c r="L531" s="200"/>
      <c r="M531" s="200"/>
      <c r="N531" s="197"/>
    </row>
    <row r="532" spans="1:14">
      <c r="A532" s="262"/>
      <c r="B532" s="262"/>
      <c r="C532" s="197">
        <v>61</v>
      </c>
      <c r="D532" s="261">
        <v>14</v>
      </c>
      <c r="E532" s="198">
        <v>342.71720099999999</v>
      </c>
      <c r="F532" s="197" t="s">
        <v>227</v>
      </c>
      <c r="G532" s="199" t="s">
        <v>713</v>
      </c>
      <c r="H532" s="200">
        <v>0.6</v>
      </c>
      <c r="I532" s="200">
        <v>1.0549999999999999</v>
      </c>
      <c r="J532" s="200">
        <v>0.64500000000000002</v>
      </c>
      <c r="K532" s="199" t="s">
        <v>671</v>
      </c>
      <c r="L532" s="200"/>
      <c r="M532" s="200"/>
      <c r="N532" s="197"/>
    </row>
    <row r="533" spans="1:14">
      <c r="A533" s="262"/>
      <c r="B533" s="262"/>
      <c r="C533" s="197">
        <v>62</v>
      </c>
      <c r="D533" s="262"/>
      <c r="E533" s="198">
        <v>332.57235300000002</v>
      </c>
      <c r="F533" s="197"/>
      <c r="G533" s="199" t="s">
        <v>714</v>
      </c>
      <c r="H533" s="200"/>
      <c r="I533" s="200"/>
      <c r="J533" s="200"/>
      <c r="K533" s="199"/>
      <c r="L533" s="200"/>
      <c r="M533" s="200"/>
      <c r="N533" s="197"/>
    </row>
    <row r="534" spans="1:14">
      <c r="A534" s="262"/>
      <c r="B534" s="262"/>
      <c r="C534" s="197">
        <v>63</v>
      </c>
      <c r="D534" s="262"/>
      <c r="E534" s="198">
        <v>0</v>
      </c>
      <c r="F534" s="197" t="s">
        <v>227</v>
      </c>
      <c r="G534" s="199" t="s">
        <v>660</v>
      </c>
      <c r="H534" s="200"/>
      <c r="I534" s="200"/>
      <c r="J534" s="200"/>
      <c r="K534" s="199"/>
      <c r="L534" s="200"/>
      <c r="M534" s="200"/>
      <c r="N534" s="197"/>
    </row>
    <row r="535" spans="1:14">
      <c r="A535" s="262"/>
      <c r="B535" s="262"/>
      <c r="C535" s="197">
        <v>64</v>
      </c>
      <c r="D535" s="261">
        <v>15</v>
      </c>
      <c r="E535" s="198">
        <v>0</v>
      </c>
      <c r="F535" s="197" t="s">
        <v>227</v>
      </c>
      <c r="G535" s="199" t="s">
        <v>715</v>
      </c>
      <c r="H535" s="200">
        <v>0.59499999999999997</v>
      </c>
      <c r="I535" s="200">
        <v>1.04</v>
      </c>
      <c r="J535" s="200">
        <v>0.65500000000000003</v>
      </c>
      <c r="K535" s="199" t="s">
        <v>229</v>
      </c>
      <c r="L535" s="200"/>
      <c r="M535" s="200"/>
      <c r="N535" s="197"/>
    </row>
    <row r="536" spans="1:14">
      <c r="A536" s="262"/>
      <c r="B536" s="262"/>
      <c r="C536" s="197">
        <v>65</v>
      </c>
      <c r="D536" s="262"/>
      <c r="E536" s="198">
        <v>0</v>
      </c>
      <c r="F536" s="197" t="s">
        <v>227</v>
      </c>
      <c r="G536" s="199" t="s">
        <v>716</v>
      </c>
      <c r="H536" s="200"/>
      <c r="I536" s="200"/>
      <c r="J536" s="200"/>
      <c r="K536" s="199"/>
      <c r="L536" s="200"/>
      <c r="M536" s="200"/>
      <c r="N536" s="197"/>
    </row>
    <row r="537" spans="1:14">
      <c r="A537" s="262"/>
      <c r="B537" s="262"/>
      <c r="C537" s="197">
        <v>66</v>
      </c>
      <c r="D537" s="261">
        <v>16</v>
      </c>
      <c r="E537" s="198">
        <v>0</v>
      </c>
      <c r="F537" s="197" t="s">
        <v>227</v>
      </c>
      <c r="G537" s="199" t="s">
        <v>717</v>
      </c>
      <c r="H537" s="200">
        <v>0.55500000000000005</v>
      </c>
      <c r="I537" s="200">
        <v>1.085</v>
      </c>
      <c r="J537" s="200">
        <v>0.67</v>
      </c>
      <c r="K537" s="199" t="s">
        <v>229</v>
      </c>
      <c r="L537" s="200"/>
      <c r="M537" s="200"/>
      <c r="N537" s="197"/>
    </row>
    <row r="538" spans="1:14">
      <c r="A538" s="262"/>
      <c r="B538" s="262"/>
      <c r="C538" s="197">
        <v>67</v>
      </c>
      <c r="D538" s="262"/>
      <c r="E538" s="198">
        <v>0</v>
      </c>
      <c r="F538" s="197" t="s">
        <v>227</v>
      </c>
      <c r="G538" s="199" t="s">
        <v>718</v>
      </c>
      <c r="H538" s="200"/>
      <c r="I538" s="200"/>
      <c r="J538" s="200"/>
      <c r="K538" s="199"/>
      <c r="L538" s="200"/>
      <c r="M538" s="200"/>
      <c r="N538" s="197"/>
    </row>
    <row r="539" spans="1:14">
      <c r="A539" s="262"/>
      <c r="B539" s="262"/>
      <c r="C539" s="197">
        <v>68</v>
      </c>
      <c r="D539" s="262"/>
      <c r="E539" s="198">
        <v>0</v>
      </c>
      <c r="F539" s="197" t="s">
        <v>227</v>
      </c>
      <c r="G539" s="199" t="s">
        <v>665</v>
      </c>
      <c r="H539" s="200"/>
      <c r="I539" s="200"/>
      <c r="J539" s="200"/>
      <c r="K539" s="199"/>
      <c r="L539" s="200"/>
      <c r="M539" s="200"/>
      <c r="N539" s="197"/>
    </row>
    <row r="540" spans="1:14">
      <c r="A540" s="262"/>
      <c r="B540" s="262"/>
      <c r="C540" s="197">
        <v>69</v>
      </c>
      <c r="D540" s="262"/>
      <c r="E540" s="198">
        <v>0</v>
      </c>
      <c r="F540" s="197" t="s">
        <v>227</v>
      </c>
      <c r="G540" s="199" t="s">
        <v>666</v>
      </c>
      <c r="H540" s="200"/>
      <c r="I540" s="200"/>
      <c r="J540" s="200"/>
      <c r="K540" s="199"/>
      <c r="L540" s="200"/>
      <c r="M540" s="200"/>
      <c r="N540" s="197"/>
    </row>
    <row r="541" spans="1:14">
      <c r="A541" s="262"/>
      <c r="B541" s="262"/>
      <c r="C541" s="197">
        <v>70</v>
      </c>
      <c r="D541" s="262"/>
      <c r="E541" s="198">
        <v>0</v>
      </c>
      <c r="F541" s="197" t="s">
        <v>227</v>
      </c>
      <c r="G541" s="199" t="s">
        <v>667</v>
      </c>
      <c r="H541" s="200"/>
      <c r="I541" s="200"/>
      <c r="J541" s="200"/>
      <c r="K541" s="199"/>
      <c r="L541" s="200"/>
      <c r="M541" s="200"/>
      <c r="N541" s="197"/>
    </row>
    <row r="542" spans="1:14">
      <c r="A542" s="262"/>
      <c r="B542" s="262"/>
      <c r="C542" s="197">
        <v>71</v>
      </c>
      <c r="D542" s="262"/>
      <c r="E542" s="198">
        <v>0</v>
      </c>
      <c r="F542" s="197" t="s">
        <v>227</v>
      </c>
      <c r="G542" s="199" t="s">
        <v>668</v>
      </c>
      <c r="H542" s="200"/>
      <c r="I542" s="200"/>
      <c r="J542" s="200"/>
      <c r="K542" s="199"/>
      <c r="L542" s="200"/>
      <c r="M542" s="200"/>
      <c r="N542" s="197"/>
    </row>
    <row r="543" spans="1:14">
      <c r="A543" s="262"/>
      <c r="B543" s="262"/>
      <c r="C543" s="197">
        <v>72</v>
      </c>
      <c r="D543" s="262"/>
      <c r="E543" s="198">
        <v>0</v>
      </c>
      <c r="F543" s="197" t="s">
        <v>227</v>
      </c>
      <c r="G543" s="199" t="s">
        <v>669</v>
      </c>
      <c r="H543" s="200"/>
      <c r="I543" s="200"/>
      <c r="J543" s="200"/>
      <c r="K543" s="199"/>
      <c r="L543" s="200"/>
      <c r="M543" s="200"/>
      <c r="N543" s="197"/>
    </row>
    <row r="544" spans="1:14">
      <c r="A544" s="262"/>
      <c r="B544" s="262"/>
      <c r="C544" s="197">
        <v>73</v>
      </c>
      <c r="D544" s="262"/>
      <c r="E544" s="198">
        <v>0</v>
      </c>
      <c r="F544" s="197" t="s">
        <v>227</v>
      </c>
      <c r="G544" s="199" t="s">
        <v>305</v>
      </c>
      <c r="H544" s="200"/>
      <c r="I544" s="200"/>
      <c r="J544" s="200"/>
      <c r="K544" s="199"/>
      <c r="L544" s="200"/>
      <c r="M544" s="200"/>
      <c r="N544" s="197"/>
    </row>
    <row r="545" spans="1:14">
      <c r="A545" s="262"/>
      <c r="B545" s="262"/>
      <c r="C545" s="197">
        <v>74</v>
      </c>
      <c r="D545" s="262"/>
      <c r="E545" s="198">
        <v>0</v>
      </c>
      <c r="F545" s="197" t="s">
        <v>227</v>
      </c>
      <c r="G545" s="199" t="s">
        <v>306</v>
      </c>
      <c r="H545" s="200"/>
      <c r="I545" s="200"/>
      <c r="J545" s="200"/>
      <c r="K545" s="199"/>
      <c r="L545" s="200"/>
      <c r="M545" s="200"/>
      <c r="N545" s="197"/>
    </row>
    <row r="546" spans="1:14">
      <c r="A546" s="262"/>
      <c r="B546" s="262"/>
      <c r="C546" s="197">
        <v>75</v>
      </c>
      <c r="D546" s="262"/>
      <c r="E546" s="198">
        <v>0</v>
      </c>
      <c r="F546" s="197" t="s">
        <v>227</v>
      </c>
      <c r="G546" s="199" t="s">
        <v>307</v>
      </c>
      <c r="H546" s="200"/>
      <c r="I546" s="200"/>
      <c r="J546" s="200"/>
      <c r="K546" s="199"/>
      <c r="L546" s="200"/>
      <c r="M546" s="200"/>
      <c r="N546" s="197"/>
    </row>
    <row r="547" spans="1:14">
      <c r="A547" s="262"/>
      <c r="B547" s="262"/>
      <c r="C547" s="197">
        <v>76</v>
      </c>
      <c r="D547" s="262"/>
      <c r="E547" s="198">
        <v>0</v>
      </c>
      <c r="F547" s="197" t="s">
        <v>227</v>
      </c>
      <c r="G547" s="199" t="s">
        <v>308</v>
      </c>
      <c r="H547" s="200"/>
      <c r="I547" s="200"/>
      <c r="J547" s="200"/>
      <c r="K547" s="199"/>
      <c r="L547" s="200"/>
      <c r="M547" s="200"/>
      <c r="N547" s="197"/>
    </row>
    <row r="548" spans="1:14">
      <c r="A548" s="262"/>
      <c r="B548" s="262"/>
      <c r="C548" s="197">
        <v>77</v>
      </c>
      <c r="D548" s="262"/>
      <c r="E548" s="198">
        <v>0</v>
      </c>
      <c r="F548" s="197" t="s">
        <v>227</v>
      </c>
      <c r="G548" s="199" t="s">
        <v>309</v>
      </c>
      <c r="H548" s="200"/>
      <c r="I548" s="200"/>
      <c r="J548" s="200"/>
      <c r="K548" s="199"/>
      <c r="L548" s="200"/>
      <c r="M548" s="200"/>
      <c r="N548" s="197"/>
    </row>
    <row r="549" spans="1:14">
      <c r="A549" s="261" t="s">
        <v>719</v>
      </c>
      <c r="B549" s="261">
        <v>4</v>
      </c>
      <c r="C549" s="197">
        <v>1</v>
      </c>
      <c r="D549" s="261">
        <v>1</v>
      </c>
      <c r="E549" s="198">
        <v>0</v>
      </c>
      <c r="F549" s="197" t="s">
        <v>227</v>
      </c>
      <c r="G549" s="199" t="s">
        <v>228</v>
      </c>
      <c r="H549" s="200">
        <v>0.495</v>
      </c>
      <c r="I549" s="200">
        <v>1.01</v>
      </c>
      <c r="J549" s="200">
        <v>0.52</v>
      </c>
      <c r="K549" s="199" t="s">
        <v>229</v>
      </c>
      <c r="L549" s="200">
        <v>1.0565088440235607E-2</v>
      </c>
      <c r="M549" s="200"/>
      <c r="N549" s="197"/>
    </row>
    <row r="550" spans="1:14">
      <c r="A550" s="262"/>
      <c r="B550" s="262"/>
      <c r="C550" s="197">
        <v>2</v>
      </c>
      <c r="D550" s="262"/>
      <c r="E550" s="198">
        <v>0</v>
      </c>
      <c r="F550" s="197" t="s">
        <v>227</v>
      </c>
      <c r="G550" s="199" t="s">
        <v>230</v>
      </c>
      <c r="H550" s="200"/>
      <c r="I550" s="200"/>
      <c r="J550" s="200"/>
      <c r="K550" s="199"/>
      <c r="L550" s="200">
        <v>1.2975337182516675E-2</v>
      </c>
      <c r="M550" s="200"/>
      <c r="N550" s="197"/>
    </row>
    <row r="551" spans="1:14">
      <c r="A551" s="262"/>
      <c r="B551" s="262"/>
      <c r="C551" s="197">
        <v>3</v>
      </c>
      <c r="D551" s="262"/>
      <c r="E551" s="198">
        <v>0</v>
      </c>
      <c r="F551" s="197" t="s">
        <v>227</v>
      </c>
      <c r="G551" s="199" t="s">
        <v>324</v>
      </c>
      <c r="H551" s="200"/>
      <c r="I551" s="200"/>
      <c r="J551" s="200"/>
      <c r="K551" s="199"/>
      <c r="L551" s="200">
        <v>1.3792547806696207E-2</v>
      </c>
      <c r="M551" s="200"/>
      <c r="N551" s="197"/>
    </row>
    <row r="552" spans="1:14">
      <c r="A552" s="262"/>
      <c r="B552" s="262"/>
      <c r="C552" s="197">
        <v>4</v>
      </c>
      <c r="D552" s="262"/>
      <c r="E552" s="198">
        <v>0</v>
      </c>
      <c r="F552" s="197" t="s">
        <v>227</v>
      </c>
      <c r="G552" s="199" t="s">
        <v>325</v>
      </c>
      <c r="H552" s="200"/>
      <c r="I552" s="200"/>
      <c r="J552" s="200"/>
      <c r="K552" s="199"/>
      <c r="L552" s="200"/>
      <c r="M552" s="200" t="s">
        <v>233</v>
      </c>
      <c r="N552" s="197" t="s">
        <v>674</v>
      </c>
    </row>
    <row r="553" spans="1:14">
      <c r="A553" s="262"/>
      <c r="B553" s="262"/>
      <c r="C553" s="197">
        <v>5</v>
      </c>
      <c r="D553" s="262"/>
      <c r="E553" s="198">
        <v>0</v>
      </c>
      <c r="F553" s="197" t="s">
        <v>227</v>
      </c>
      <c r="G553" s="199" t="s">
        <v>327</v>
      </c>
      <c r="H553" s="200"/>
      <c r="I553" s="200"/>
      <c r="J553" s="200"/>
      <c r="K553" s="199"/>
      <c r="L553" s="200"/>
      <c r="M553" s="200"/>
      <c r="N553" s="197"/>
    </row>
    <row r="554" spans="1:14">
      <c r="A554" s="262"/>
      <c r="B554" s="262"/>
      <c r="C554" s="197">
        <v>6</v>
      </c>
      <c r="D554" s="262"/>
      <c r="E554" s="198">
        <v>0</v>
      </c>
      <c r="F554" s="197" t="s">
        <v>227</v>
      </c>
      <c r="G554" s="199" t="s">
        <v>720</v>
      </c>
      <c r="H554" s="200"/>
      <c r="I554" s="200"/>
      <c r="J554" s="200"/>
      <c r="K554" s="199"/>
      <c r="L554" s="200"/>
      <c r="M554" s="200"/>
      <c r="N554" s="197"/>
    </row>
    <row r="555" spans="1:14">
      <c r="A555" s="262"/>
      <c r="B555" s="262"/>
      <c r="C555" s="197">
        <v>7</v>
      </c>
      <c r="D555" s="262"/>
      <c r="E555" s="198">
        <v>0</v>
      </c>
      <c r="F555" s="197" t="s">
        <v>227</v>
      </c>
      <c r="G555" s="199" t="s">
        <v>415</v>
      </c>
      <c r="H555" s="200"/>
      <c r="I555" s="200"/>
      <c r="J555" s="200"/>
      <c r="K555" s="199"/>
      <c r="L555" s="200"/>
      <c r="M555" s="200"/>
      <c r="N555" s="197"/>
    </row>
    <row r="556" spans="1:14">
      <c r="A556" s="262"/>
      <c r="B556" s="262"/>
      <c r="C556" s="197">
        <v>8</v>
      </c>
      <c r="D556" s="262"/>
      <c r="E556" s="198">
        <v>0</v>
      </c>
      <c r="F556" s="197" t="s">
        <v>227</v>
      </c>
      <c r="G556" s="199" t="s">
        <v>721</v>
      </c>
      <c r="H556" s="200"/>
      <c r="I556" s="200"/>
      <c r="J556" s="200"/>
      <c r="K556" s="199"/>
      <c r="L556" s="200"/>
      <c r="M556" s="200"/>
      <c r="N556" s="197"/>
    </row>
    <row r="557" spans="1:14">
      <c r="A557" s="262"/>
      <c r="B557" s="262"/>
      <c r="C557" s="197">
        <v>9</v>
      </c>
      <c r="D557" s="262"/>
      <c r="E557" s="198">
        <v>358.650578</v>
      </c>
      <c r="F557" s="197"/>
      <c r="G557" s="199" t="s">
        <v>722</v>
      </c>
      <c r="H557" s="200"/>
      <c r="I557" s="200"/>
      <c r="J557" s="200"/>
      <c r="K557" s="199"/>
      <c r="L557" s="200"/>
      <c r="M557" s="200"/>
      <c r="N557" s="197"/>
    </row>
    <row r="558" spans="1:14">
      <c r="A558" s="262"/>
      <c r="B558" s="262"/>
      <c r="C558" s="197">
        <v>10</v>
      </c>
      <c r="D558" s="262"/>
      <c r="E558" s="198">
        <v>364.20749999999998</v>
      </c>
      <c r="F558" s="197"/>
      <c r="G558" s="199" t="s">
        <v>723</v>
      </c>
      <c r="H558" s="200"/>
      <c r="I558" s="200"/>
      <c r="J558" s="200"/>
      <c r="K558" s="199"/>
      <c r="L558" s="200"/>
      <c r="M558" s="200"/>
      <c r="N558" s="197"/>
    </row>
    <row r="559" spans="1:14">
      <c r="A559" s="262"/>
      <c r="B559" s="262"/>
      <c r="C559" s="197">
        <v>11</v>
      </c>
      <c r="D559" s="262"/>
      <c r="E559" s="198">
        <v>409.597534</v>
      </c>
      <c r="F559" s="197" t="s">
        <v>281</v>
      </c>
      <c r="G559" s="199" t="s">
        <v>724</v>
      </c>
      <c r="H559" s="200"/>
      <c r="I559" s="200"/>
      <c r="J559" s="200"/>
      <c r="K559" s="199"/>
      <c r="L559" s="200"/>
      <c r="M559" s="200"/>
      <c r="N559" s="197"/>
    </row>
    <row r="560" spans="1:14">
      <c r="A560" s="262"/>
      <c r="B560" s="262"/>
      <c r="C560" s="197">
        <v>12</v>
      </c>
      <c r="D560" s="261">
        <v>2</v>
      </c>
      <c r="E560" s="198">
        <v>430.24389600000001</v>
      </c>
      <c r="F560" s="197" t="s">
        <v>227</v>
      </c>
      <c r="G560" s="199" t="s">
        <v>725</v>
      </c>
      <c r="H560" s="200">
        <v>0.48499999999999999</v>
      </c>
      <c r="I560" s="200">
        <v>1</v>
      </c>
      <c r="J560" s="200">
        <v>0.51</v>
      </c>
      <c r="K560" s="199" t="s">
        <v>229</v>
      </c>
      <c r="L560" s="200"/>
      <c r="M560" s="200"/>
      <c r="N560" s="197"/>
    </row>
    <row r="561" spans="1:14">
      <c r="A561" s="262"/>
      <c r="B561" s="262"/>
      <c r="C561" s="197">
        <v>13</v>
      </c>
      <c r="D561" s="262"/>
      <c r="E561" s="198">
        <v>429.016932</v>
      </c>
      <c r="F561" s="197"/>
      <c r="G561" s="199" t="s">
        <v>726</v>
      </c>
      <c r="H561" s="200"/>
      <c r="I561" s="200"/>
      <c r="J561" s="200"/>
      <c r="K561" s="199"/>
      <c r="L561" s="200"/>
      <c r="M561" s="200"/>
      <c r="N561" s="197"/>
    </row>
    <row r="562" spans="1:14">
      <c r="A562" s="262"/>
      <c r="B562" s="262"/>
      <c r="C562" s="197">
        <v>14</v>
      </c>
      <c r="D562" s="262"/>
      <c r="E562" s="198">
        <v>440.16625699999997</v>
      </c>
      <c r="F562" s="197"/>
      <c r="G562" s="199" t="s">
        <v>727</v>
      </c>
      <c r="H562" s="200"/>
      <c r="I562" s="200"/>
      <c r="J562" s="200"/>
      <c r="K562" s="199"/>
      <c r="L562" s="200"/>
      <c r="M562" s="200"/>
      <c r="N562" s="197"/>
    </row>
    <row r="563" spans="1:14">
      <c r="A563" s="262"/>
      <c r="B563" s="262"/>
      <c r="C563" s="197">
        <v>15</v>
      </c>
      <c r="D563" s="261">
        <v>3</v>
      </c>
      <c r="E563" s="198">
        <v>359.62771800000002</v>
      </c>
      <c r="F563" s="197" t="s">
        <v>227</v>
      </c>
      <c r="G563" s="199" t="s">
        <v>728</v>
      </c>
      <c r="H563" s="200">
        <v>0.5</v>
      </c>
      <c r="I563" s="200">
        <v>1</v>
      </c>
      <c r="J563" s="200">
        <v>0.51500000000000001</v>
      </c>
      <c r="K563" s="199" t="s">
        <v>229</v>
      </c>
      <c r="L563" s="200"/>
      <c r="M563" s="200"/>
      <c r="N563" s="197"/>
    </row>
    <row r="564" spans="1:14">
      <c r="A564" s="262"/>
      <c r="B564" s="262"/>
      <c r="C564" s="197">
        <v>16</v>
      </c>
      <c r="D564" s="262"/>
      <c r="E564" s="198">
        <v>361.90607799999998</v>
      </c>
      <c r="F564" s="197"/>
      <c r="G564" s="199" t="s">
        <v>729</v>
      </c>
      <c r="H564" s="200"/>
      <c r="I564" s="200"/>
      <c r="J564" s="200"/>
      <c r="K564" s="199"/>
      <c r="L564" s="200"/>
      <c r="M564" s="200"/>
      <c r="N564" s="197"/>
    </row>
    <row r="565" spans="1:14">
      <c r="A565" s="262"/>
      <c r="B565" s="262"/>
      <c r="C565" s="197">
        <v>17</v>
      </c>
      <c r="D565" s="262"/>
      <c r="E565" s="198">
        <v>361.32297999999997</v>
      </c>
      <c r="F565" s="197"/>
      <c r="G565" s="199" t="s">
        <v>730</v>
      </c>
      <c r="H565" s="200"/>
      <c r="I565" s="200"/>
      <c r="J565" s="200"/>
      <c r="K565" s="199"/>
      <c r="L565" s="200"/>
      <c r="M565" s="200"/>
      <c r="N565" s="197"/>
    </row>
    <row r="566" spans="1:14">
      <c r="A566" s="262"/>
      <c r="B566" s="262"/>
      <c r="C566" s="197">
        <v>18</v>
      </c>
      <c r="D566" s="261">
        <v>4</v>
      </c>
      <c r="E566" s="198">
        <v>358.14893599999999</v>
      </c>
      <c r="F566" s="197" t="s">
        <v>227</v>
      </c>
      <c r="G566" s="199" t="s">
        <v>731</v>
      </c>
      <c r="H566" s="200">
        <v>0.49</v>
      </c>
      <c r="I566" s="200">
        <v>1.0049999999999999</v>
      </c>
      <c r="J566" s="200">
        <v>0.51</v>
      </c>
      <c r="K566" s="199" t="s">
        <v>229</v>
      </c>
      <c r="L566" s="200"/>
      <c r="M566" s="200"/>
      <c r="N566" s="197"/>
    </row>
    <row r="567" spans="1:14">
      <c r="A567" s="262"/>
      <c r="B567" s="262"/>
      <c r="C567" s="197">
        <v>19</v>
      </c>
      <c r="D567" s="262"/>
      <c r="E567" s="198">
        <v>361.50775900000002</v>
      </c>
      <c r="F567" s="197"/>
      <c r="G567" s="199" t="s">
        <v>732</v>
      </c>
      <c r="H567" s="200"/>
      <c r="I567" s="200"/>
      <c r="J567" s="200"/>
      <c r="K567" s="199"/>
      <c r="L567" s="200"/>
      <c r="M567" s="200"/>
      <c r="N567" s="197"/>
    </row>
    <row r="568" spans="1:14">
      <c r="A568" s="262"/>
      <c r="B568" s="262"/>
      <c r="C568" s="197">
        <v>20</v>
      </c>
      <c r="D568" s="262"/>
      <c r="E568" s="198">
        <v>356.54034000000001</v>
      </c>
      <c r="F568" s="197"/>
      <c r="G568" s="199" t="s">
        <v>733</v>
      </c>
      <c r="H568" s="200"/>
      <c r="I568" s="200"/>
      <c r="J568" s="200"/>
      <c r="K568" s="199"/>
      <c r="L568" s="200"/>
      <c r="M568" s="200"/>
      <c r="N568" s="197"/>
    </row>
    <row r="569" spans="1:14">
      <c r="A569" s="262"/>
      <c r="B569" s="262"/>
      <c r="C569" s="197">
        <v>21</v>
      </c>
      <c r="D569" s="262"/>
      <c r="E569" s="198">
        <v>359.70066600000001</v>
      </c>
      <c r="F569" s="197"/>
      <c r="G569" s="199" t="s">
        <v>734</v>
      </c>
      <c r="H569" s="200"/>
      <c r="I569" s="200"/>
      <c r="J569" s="200"/>
      <c r="K569" s="199"/>
      <c r="L569" s="200"/>
      <c r="M569" s="200"/>
      <c r="N569" s="197"/>
    </row>
    <row r="570" spans="1:14">
      <c r="A570" s="262"/>
      <c r="B570" s="262"/>
      <c r="C570" s="197">
        <v>22</v>
      </c>
      <c r="D570" s="262"/>
      <c r="E570" s="198">
        <v>359.83657399999998</v>
      </c>
      <c r="F570" s="197"/>
      <c r="G570" s="199" t="s">
        <v>735</v>
      </c>
      <c r="H570" s="200"/>
      <c r="I570" s="200"/>
      <c r="J570" s="200"/>
      <c r="K570" s="199"/>
      <c r="L570" s="200"/>
      <c r="M570" s="200"/>
      <c r="N570" s="197"/>
    </row>
    <row r="571" spans="1:14">
      <c r="A571" s="262"/>
      <c r="B571" s="262"/>
      <c r="C571" s="197">
        <v>23</v>
      </c>
      <c r="D571" s="262"/>
      <c r="E571" s="198">
        <v>347.81034499999998</v>
      </c>
      <c r="F571" s="197"/>
      <c r="G571" s="199" t="s">
        <v>736</v>
      </c>
      <c r="H571" s="200"/>
      <c r="I571" s="200"/>
      <c r="J571" s="200"/>
      <c r="K571" s="199"/>
      <c r="L571" s="200"/>
      <c r="M571" s="200"/>
      <c r="N571" s="197"/>
    </row>
    <row r="572" spans="1:14">
      <c r="A572" s="262"/>
      <c r="B572" s="262"/>
      <c r="C572" s="197">
        <v>24</v>
      </c>
      <c r="D572" s="262"/>
      <c r="E572" s="198">
        <v>348.15789799999999</v>
      </c>
      <c r="F572" s="197"/>
      <c r="G572" s="199" t="s">
        <v>737</v>
      </c>
      <c r="H572" s="200"/>
      <c r="I572" s="200"/>
      <c r="J572" s="200"/>
      <c r="K572" s="199"/>
      <c r="L572" s="200"/>
      <c r="M572" s="200"/>
      <c r="N572" s="197"/>
    </row>
    <row r="573" spans="1:14">
      <c r="A573" s="262"/>
      <c r="B573" s="262"/>
      <c r="C573" s="197">
        <v>25</v>
      </c>
      <c r="D573" s="262"/>
      <c r="E573" s="198">
        <v>0</v>
      </c>
      <c r="F573" s="197" t="s">
        <v>227</v>
      </c>
      <c r="G573" s="199" t="s">
        <v>689</v>
      </c>
      <c r="H573" s="200"/>
      <c r="I573" s="200"/>
      <c r="J573" s="200"/>
      <c r="K573" s="199"/>
      <c r="L573" s="200"/>
      <c r="M573" s="200"/>
      <c r="N573" s="197"/>
    </row>
    <row r="574" spans="1:14">
      <c r="A574" s="262"/>
      <c r="B574" s="262"/>
      <c r="C574" s="197">
        <v>26</v>
      </c>
      <c r="D574" s="262"/>
      <c r="E574" s="198">
        <v>0</v>
      </c>
      <c r="F574" s="197" t="s">
        <v>227</v>
      </c>
      <c r="G574" s="199" t="s">
        <v>738</v>
      </c>
      <c r="H574" s="200"/>
      <c r="I574" s="200"/>
      <c r="J574" s="200"/>
      <c r="K574" s="199"/>
      <c r="L574" s="200"/>
      <c r="M574" s="200"/>
      <c r="N574" s="197"/>
    </row>
    <row r="575" spans="1:14">
      <c r="A575" s="262"/>
      <c r="B575" s="262"/>
      <c r="C575" s="197">
        <v>27</v>
      </c>
      <c r="D575" s="261">
        <v>5</v>
      </c>
      <c r="E575" s="198">
        <v>360.51151700000003</v>
      </c>
      <c r="F575" s="197"/>
      <c r="G575" s="199" t="s">
        <v>739</v>
      </c>
      <c r="H575" s="200">
        <v>0.48</v>
      </c>
      <c r="I575" s="200">
        <v>1.0149999999999999</v>
      </c>
      <c r="J575" s="200">
        <v>0.51</v>
      </c>
      <c r="K575" s="199" t="s">
        <v>229</v>
      </c>
      <c r="L575" s="200"/>
      <c r="M575" s="200"/>
      <c r="N575" s="197"/>
    </row>
    <row r="576" spans="1:14">
      <c r="A576" s="262"/>
      <c r="B576" s="262"/>
      <c r="C576" s="197">
        <v>28</v>
      </c>
      <c r="D576" s="262"/>
      <c r="E576" s="198">
        <v>359.86238900000001</v>
      </c>
      <c r="F576" s="197"/>
      <c r="G576" s="199" t="s">
        <v>740</v>
      </c>
      <c r="H576" s="200"/>
      <c r="I576" s="200"/>
      <c r="J576" s="200"/>
      <c r="K576" s="199"/>
      <c r="L576" s="200"/>
      <c r="M576" s="200"/>
      <c r="N576" s="197"/>
    </row>
    <row r="577" spans="1:14">
      <c r="A577" s="262"/>
      <c r="B577" s="262"/>
      <c r="C577" s="197">
        <v>29</v>
      </c>
      <c r="D577" s="262"/>
      <c r="E577" s="198">
        <v>357.413388</v>
      </c>
      <c r="F577" s="197"/>
      <c r="G577" s="199" t="s">
        <v>741</v>
      </c>
      <c r="H577" s="200"/>
      <c r="I577" s="200"/>
      <c r="J577" s="200"/>
      <c r="K577" s="199"/>
      <c r="L577" s="200"/>
      <c r="M577" s="200"/>
      <c r="N577" s="197"/>
    </row>
    <row r="578" spans="1:14">
      <c r="A578" s="262"/>
      <c r="B578" s="262"/>
      <c r="C578" s="197">
        <v>30</v>
      </c>
      <c r="D578" s="261">
        <v>6</v>
      </c>
      <c r="E578" s="198">
        <v>339.302661</v>
      </c>
      <c r="F578" s="197" t="s">
        <v>227</v>
      </c>
      <c r="G578" s="199" t="s">
        <v>742</v>
      </c>
      <c r="H578" s="200">
        <v>0.48499999999999999</v>
      </c>
      <c r="I578" s="200">
        <v>1.01</v>
      </c>
      <c r="J578" s="200">
        <v>0.505</v>
      </c>
      <c r="K578" s="199" t="s">
        <v>229</v>
      </c>
      <c r="L578" s="200"/>
      <c r="M578" s="200"/>
      <c r="N578" s="197"/>
    </row>
    <row r="579" spans="1:14">
      <c r="A579" s="262"/>
      <c r="B579" s="262"/>
      <c r="C579" s="197">
        <v>31</v>
      </c>
      <c r="D579" s="262"/>
      <c r="E579" s="198">
        <v>337.16747199999998</v>
      </c>
      <c r="F579" s="197"/>
      <c r="G579" s="199" t="s">
        <v>743</v>
      </c>
      <c r="H579" s="200"/>
      <c r="I579" s="200"/>
      <c r="J579" s="200"/>
      <c r="K579" s="199"/>
      <c r="L579" s="200"/>
      <c r="M579" s="200"/>
      <c r="N579" s="197"/>
    </row>
    <row r="580" spans="1:14">
      <c r="A580" s="262"/>
      <c r="B580" s="262"/>
      <c r="C580" s="197">
        <v>32</v>
      </c>
      <c r="D580" s="262"/>
      <c r="E580" s="198">
        <v>0</v>
      </c>
      <c r="F580" s="197" t="s">
        <v>227</v>
      </c>
      <c r="G580" s="199" t="s">
        <v>744</v>
      </c>
      <c r="H580" s="200"/>
      <c r="I580" s="200"/>
      <c r="J580" s="200"/>
      <c r="K580" s="199"/>
      <c r="L580" s="200"/>
      <c r="M580" s="200"/>
      <c r="N580" s="197"/>
    </row>
    <row r="581" spans="1:14">
      <c r="A581" s="262"/>
      <c r="B581" s="262"/>
      <c r="C581" s="197">
        <v>33</v>
      </c>
      <c r="D581" s="261">
        <v>7</v>
      </c>
      <c r="E581" s="198">
        <v>263.67712399999999</v>
      </c>
      <c r="F581" s="197"/>
      <c r="G581" s="199" t="s">
        <v>745</v>
      </c>
      <c r="H581" s="200">
        <v>0.495</v>
      </c>
      <c r="I581" s="200">
        <v>0.995</v>
      </c>
      <c r="J581" s="200">
        <v>0.52500000000000002</v>
      </c>
      <c r="K581" s="199" t="s">
        <v>229</v>
      </c>
      <c r="L581" s="200"/>
      <c r="M581" s="200"/>
      <c r="N581" s="197"/>
    </row>
    <row r="582" spans="1:14">
      <c r="A582" s="262"/>
      <c r="B582" s="262"/>
      <c r="C582" s="197">
        <v>34</v>
      </c>
      <c r="D582" s="262"/>
      <c r="E582" s="198">
        <v>260.28668199999998</v>
      </c>
      <c r="F582" s="197"/>
      <c r="G582" s="199" t="s">
        <v>746</v>
      </c>
      <c r="H582" s="200"/>
      <c r="I582" s="200"/>
      <c r="J582" s="200"/>
      <c r="K582" s="199"/>
      <c r="L582" s="200"/>
      <c r="M582" s="200"/>
      <c r="N582" s="197"/>
    </row>
    <row r="583" spans="1:14">
      <c r="A583" s="262"/>
      <c r="B583" s="262"/>
      <c r="C583" s="197">
        <v>35</v>
      </c>
      <c r="D583" s="262"/>
      <c r="E583" s="198">
        <v>776.82928500000003</v>
      </c>
      <c r="F583" s="197" t="s">
        <v>281</v>
      </c>
      <c r="G583" s="199" t="s">
        <v>747</v>
      </c>
      <c r="H583" s="200"/>
      <c r="I583" s="200"/>
      <c r="J583" s="200"/>
      <c r="K583" s="199"/>
      <c r="L583" s="200"/>
      <c r="M583" s="200"/>
      <c r="N583" s="197"/>
    </row>
    <row r="584" spans="1:14">
      <c r="A584" s="262"/>
      <c r="B584" s="262"/>
      <c r="C584" s="197">
        <v>36</v>
      </c>
      <c r="D584" s="261">
        <v>8</v>
      </c>
      <c r="E584" s="198">
        <v>776.82928500000003</v>
      </c>
      <c r="F584" s="197" t="s">
        <v>281</v>
      </c>
      <c r="G584" s="199" t="s">
        <v>748</v>
      </c>
      <c r="H584" s="200">
        <v>0.46500000000000002</v>
      </c>
      <c r="I584" s="200">
        <v>1.0449999999999999</v>
      </c>
      <c r="J584" s="200">
        <v>0.48</v>
      </c>
      <c r="K584" s="199" t="s">
        <v>229</v>
      </c>
      <c r="L584" s="200"/>
      <c r="M584" s="200"/>
      <c r="N584" s="197"/>
    </row>
    <row r="585" spans="1:14">
      <c r="A585" s="262"/>
      <c r="B585" s="262"/>
      <c r="C585" s="197">
        <v>37</v>
      </c>
      <c r="D585" s="262"/>
      <c r="E585" s="198">
        <v>776.82928500000003</v>
      </c>
      <c r="F585" s="197" t="s">
        <v>281</v>
      </c>
      <c r="G585" s="199" t="s">
        <v>749</v>
      </c>
      <c r="H585" s="200"/>
      <c r="I585" s="200"/>
      <c r="J585" s="200"/>
      <c r="K585" s="199"/>
      <c r="L585" s="200"/>
      <c r="M585" s="200"/>
      <c r="N585" s="197"/>
    </row>
    <row r="586" spans="1:14">
      <c r="A586" s="262"/>
      <c r="B586" s="262"/>
      <c r="C586" s="197">
        <v>38</v>
      </c>
      <c r="D586" s="262"/>
      <c r="E586" s="198">
        <v>0</v>
      </c>
      <c r="F586" s="197" t="s">
        <v>227</v>
      </c>
      <c r="G586" s="199" t="s">
        <v>269</v>
      </c>
      <c r="H586" s="200"/>
      <c r="I586" s="200"/>
      <c r="J586" s="200"/>
      <c r="K586" s="199"/>
      <c r="L586" s="200"/>
      <c r="M586" s="200"/>
      <c r="N586" s="197"/>
    </row>
    <row r="587" spans="1:14">
      <c r="A587" s="262"/>
      <c r="B587" s="262"/>
      <c r="C587" s="197">
        <v>39</v>
      </c>
      <c r="D587" s="262"/>
      <c r="E587" s="198">
        <v>0</v>
      </c>
      <c r="F587" s="197" t="s">
        <v>227</v>
      </c>
      <c r="G587" s="199" t="s">
        <v>270</v>
      </c>
      <c r="H587" s="200"/>
      <c r="I587" s="200"/>
      <c r="J587" s="200"/>
      <c r="K587" s="199"/>
      <c r="L587" s="200"/>
      <c r="M587" s="200"/>
      <c r="N587" s="197"/>
    </row>
    <row r="588" spans="1:14">
      <c r="A588" s="262"/>
      <c r="B588" s="262"/>
      <c r="C588" s="197">
        <v>40</v>
      </c>
      <c r="D588" s="262"/>
      <c r="E588" s="198">
        <v>266.94915800000001</v>
      </c>
      <c r="F588" s="197"/>
      <c r="G588" s="199" t="s">
        <v>750</v>
      </c>
      <c r="H588" s="200"/>
      <c r="I588" s="200"/>
      <c r="J588" s="200"/>
      <c r="K588" s="199"/>
      <c r="L588" s="200"/>
      <c r="M588" s="200"/>
      <c r="N588" s="197"/>
    </row>
    <row r="589" spans="1:14">
      <c r="A589" s="262"/>
      <c r="B589" s="262"/>
      <c r="C589" s="197">
        <v>41</v>
      </c>
      <c r="D589" s="262"/>
      <c r="E589" s="198">
        <v>0</v>
      </c>
      <c r="F589" s="197" t="s">
        <v>227</v>
      </c>
      <c r="G589" s="199" t="s">
        <v>643</v>
      </c>
      <c r="H589" s="200"/>
      <c r="I589" s="200"/>
      <c r="J589" s="200"/>
      <c r="K589" s="199"/>
      <c r="L589" s="200"/>
      <c r="M589" s="200"/>
      <c r="N589" s="197"/>
    </row>
    <row r="590" spans="1:14">
      <c r="A590" s="262"/>
      <c r="B590" s="262"/>
      <c r="C590" s="197">
        <v>42</v>
      </c>
      <c r="D590" s="261">
        <v>9</v>
      </c>
      <c r="E590" s="198">
        <v>0</v>
      </c>
      <c r="F590" s="197" t="s">
        <v>227</v>
      </c>
      <c r="G590" s="199" t="s">
        <v>273</v>
      </c>
      <c r="H590" s="200">
        <v>0.48499999999999999</v>
      </c>
      <c r="I590" s="200">
        <v>1.0049999999999999</v>
      </c>
      <c r="J590" s="200">
        <v>0.51</v>
      </c>
      <c r="K590" s="199" t="s">
        <v>229</v>
      </c>
      <c r="L590" s="200"/>
      <c r="M590" s="200"/>
      <c r="N590" s="197"/>
    </row>
    <row r="591" spans="1:14">
      <c r="A591" s="262"/>
      <c r="B591" s="262"/>
      <c r="C591" s="197">
        <v>43</v>
      </c>
      <c r="D591" s="262"/>
      <c r="E591" s="198">
        <v>332.46940899999998</v>
      </c>
      <c r="F591" s="197"/>
      <c r="G591" s="199" t="s">
        <v>751</v>
      </c>
      <c r="H591" s="200"/>
      <c r="I591" s="200"/>
      <c r="J591" s="200"/>
      <c r="K591" s="199"/>
      <c r="L591" s="200"/>
      <c r="M591" s="200"/>
      <c r="N591" s="197"/>
    </row>
    <row r="592" spans="1:14">
      <c r="A592" s="262"/>
      <c r="B592" s="262"/>
      <c r="C592" s="197">
        <v>44</v>
      </c>
      <c r="D592" s="262"/>
      <c r="E592" s="198">
        <v>334.11936600000001</v>
      </c>
      <c r="F592" s="197"/>
      <c r="G592" s="199" t="s">
        <v>752</v>
      </c>
      <c r="H592" s="200"/>
      <c r="I592" s="200"/>
      <c r="J592" s="200"/>
      <c r="K592" s="199"/>
      <c r="L592" s="200"/>
      <c r="M592" s="200"/>
      <c r="N592" s="197"/>
    </row>
    <row r="593" spans="1:14">
      <c r="A593" s="262"/>
      <c r="B593" s="262"/>
      <c r="C593" s="197">
        <v>45</v>
      </c>
      <c r="D593" s="262"/>
      <c r="E593" s="198">
        <v>333.16773999999998</v>
      </c>
      <c r="F593" s="197"/>
      <c r="G593" s="199" t="s">
        <v>753</v>
      </c>
      <c r="H593" s="200"/>
      <c r="I593" s="200"/>
      <c r="J593" s="200"/>
      <c r="K593" s="199"/>
      <c r="L593" s="200"/>
      <c r="M593" s="200"/>
      <c r="N593" s="197"/>
    </row>
    <row r="594" spans="1:14">
      <c r="A594" s="262"/>
      <c r="B594" s="262"/>
      <c r="C594" s="197">
        <v>46</v>
      </c>
      <c r="D594" s="261">
        <v>10</v>
      </c>
      <c r="E594" s="198">
        <v>0</v>
      </c>
      <c r="F594" s="197" t="s">
        <v>227</v>
      </c>
      <c r="G594" s="199" t="s">
        <v>277</v>
      </c>
      <c r="H594" s="200">
        <v>0.495</v>
      </c>
      <c r="I594" s="200">
        <v>1.0049999999999999</v>
      </c>
      <c r="J594" s="200">
        <v>0.48499999999999999</v>
      </c>
      <c r="K594" s="199" t="s">
        <v>229</v>
      </c>
      <c r="L594" s="200"/>
      <c r="M594" s="200"/>
      <c r="N594" s="197"/>
    </row>
    <row r="595" spans="1:14">
      <c r="A595" s="262"/>
      <c r="B595" s="262"/>
      <c r="C595" s="197">
        <v>47</v>
      </c>
      <c r="D595" s="262"/>
      <c r="E595" s="198">
        <v>786.09625200000005</v>
      </c>
      <c r="F595" s="197" t="s">
        <v>281</v>
      </c>
      <c r="G595" s="199" t="s">
        <v>754</v>
      </c>
      <c r="H595" s="200"/>
      <c r="I595" s="200"/>
      <c r="J595" s="200"/>
      <c r="K595" s="199"/>
      <c r="L595" s="200"/>
      <c r="M595" s="200"/>
      <c r="N595" s="197"/>
    </row>
    <row r="596" spans="1:14">
      <c r="A596" s="262"/>
      <c r="B596" s="262"/>
      <c r="C596" s="197">
        <v>48</v>
      </c>
      <c r="D596" s="262"/>
      <c r="E596" s="198">
        <v>0</v>
      </c>
      <c r="F596" s="197" t="s">
        <v>227</v>
      </c>
      <c r="G596" s="199" t="s">
        <v>279</v>
      </c>
      <c r="H596" s="200"/>
      <c r="I596" s="200"/>
      <c r="J596" s="200"/>
      <c r="K596" s="199"/>
      <c r="L596" s="200"/>
      <c r="M596" s="200"/>
      <c r="N596" s="197"/>
    </row>
    <row r="597" spans="1:14">
      <c r="A597" s="262"/>
      <c r="B597" s="262"/>
      <c r="C597" s="197">
        <v>49</v>
      </c>
      <c r="D597" s="261">
        <v>11</v>
      </c>
      <c r="E597" s="198">
        <v>0</v>
      </c>
      <c r="F597" s="197" t="s">
        <v>227</v>
      </c>
      <c r="G597" s="199" t="s">
        <v>755</v>
      </c>
      <c r="H597" s="200">
        <v>0.5</v>
      </c>
      <c r="I597" s="200">
        <v>1.0049999999999999</v>
      </c>
      <c r="J597" s="200">
        <v>0.5</v>
      </c>
      <c r="K597" s="199" t="s">
        <v>229</v>
      </c>
      <c r="L597" s="200"/>
      <c r="M597" s="200"/>
      <c r="N597" s="197"/>
    </row>
    <row r="598" spans="1:14">
      <c r="A598" s="262"/>
      <c r="B598" s="262"/>
      <c r="C598" s="197">
        <v>50</v>
      </c>
      <c r="D598" s="262"/>
      <c r="E598" s="198">
        <v>425.406339</v>
      </c>
      <c r="F598" s="197"/>
      <c r="G598" s="199" t="s">
        <v>756</v>
      </c>
      <c r="H598" s="200"/>
      <c r="I598" s="200"/>
      <c r="J598" s="200"/>
      <c r="K598" s="199"/>
      <c r="L598" s="200"/>
      <c r="M598" s="200"/>
      <c r="N598" s="197"/>
    </row>
    <row r="599" spans="1:14">
      <c r="A599" s="262"/>
      <c r="B599" s="262"/>
      <c r="C599" s="197">
        <v>51</v>
      </c>
      <c r="D599" s="262"/>
      <c r="E599" s="198">
        <v>412.86588599999999</v>
      </c>
      <c r="F599" s="197"/>
      <c r="G599" s="199" t="s">
        <v>757</v>
      </c>
      <c r="H599" s="200"/>
      <c r="I599" s="200"/>
      <c r="J599" s="200"/>
      <c r="K599" s="199"/>
      <c r="L599" s="200"/>
      <c r="M599" s="200"/>
      <c r="N599" s="197"/>
    </row>
    <row r="600" spans="1:14">
      <c r="A600" s="262"/>
      <c r="B600" s="262"/>
      <c r="C600" s="197">
        <v>52</v>
      </c>
      <c r="D600" s="261">
        <v>12</v>
      </c>
      <c r="E600" s="198">
        <v>0</v>
      </c>
      <c r="F600" s="197" t="s">
        <v>227</v>
      </c>
      <c r="G600" s="199" t="s">
        <v>758</v>
      </c>
      <c r="H600" s="200">
        <v>0.47499999999999998</v>
      </c>
      <c r="I600" s="200">
        <v>1.0349999999999999</v>
      </c>
      <c r="J600" s="200">
        <v>0.48499999999999999</v>
      </c>
      <c r="K600" s="199" t="s">
        <v>229</v>
      </c>
      <c r="L600" s="200"/>
      <c r="M600" s="200"/>
      <c r="N600" s="197"/>
    </row>
    <row r="601" spans="1:14">
      <c r="A601" s="262"/>
      <c r="B601" s="262"/>
      <c r="C601" s="197">
        <v>53</v>
      </c>
      <c r="D601" s="262"/>
      <c r="E601" s="198">
        <v>334.13362000000001</v>
      </c>
      <c r="F601" s="197"/>
      <c r="G601" s="199" t="s">
        <v>759</v>
      </c>
      <c r="H601" s="200"/>
      <c r="I601" s="200"/>
      <c r="J601" s="200"/>
      <c r="K601" s="199"/>
      <c r="L601" s="200"/>
      <c r="M601" s="200"/>
      <c r="N601" s="197"/>
    </row>
    <row r="602" spans="1:14">
      <c r="A602" s="262"/>
      <c r="B602" s="262"/>
      <c r="C602" s="197">
        <v>54</v>
      </c>
      <c r="D602" s="262"/>
      <c r="E602" s="198">
        <v>332.29432100000002</v>
      </c>
      <c r="F602" s="197"/>
      <c r="G602" s="199" t="s">
        <v>760</v>
      </c>
      <c r="H602" s="200"/>
      <c r="I602" s="200"/>
      <c r="J602" s="200"/>
      <c r="K602" s="199"/>
      <c r="L602" s="200"/>
      <c r="M602" s="200"/>
      <c r="N602" s="197"/>
    </row>
    <row r="603" spans="1:14">
      <c r="A603" s="262"/>
      <c r="B603" s="262"/>
      <c r="C603" s="197">
        <v>55</v>
      </c>
      <c r="D603" s="262"/>
      <c r="E603" s="198">
        <v>332.17566099999999</v>
      </c>
      <c r="F603" s="197"/>
      <c r="G603" s="199" t="s">
        <v>761</v>
      </c>
      <c r="H603" s="200"/>
      <c r="I603" s="200"/>
      <c r="J603" s="200"/>
      <c r="K603" s="199"/>
      <c r="L603" s="200"/>
      <c r="M603" s="200"/>
      <c r="N603" s="197"/>
    </row>
    <row r="604" spans="1:14">
      <c r="A604" s="262"/>
      <c r="B604" s="262"/>
      <c r="C604" s="197">
        <v>56</v>
      </c>
      <c r="D604" s="262"/>
      <c r="E604" s="198">
        <v>332.77212700000001</v>
      </c>
      <c r="F604" s="197"/>
      <c r="G604" s="199" t="s">
        <v>762</v>
      </c>
      <c r="H604" s="200"/>
      <c r="I604" s="200"/>
      <c r="J604" s="200"/>
      <c r="K604" s="199"/>
      <c r="L604" s="200"/>
      <c r="M604" s="200"/>
      <c r="N604" s="197"/>
    </row>
    <row r="605" spans="1:14">
      <c r="A605" s="262"/>
      <c r="B605" s="262"/>
      <c r="C605" s="197">
        <v>57</v>
      </c>
      <c r="D605" s="262"/>
      <c r="E605" s="198">
        <v>331.485387</v>
      </c>
      <c r="F605" s="197"/>
      <c r="G605" s="199" t="s">
        <v>763</v>
      </c>
      <c r="H605" s="200"/>
      <c r="I605" s="200"/>
      <c r="J605" s="200"/>
      <c r="K605" s="199"/>
      <c r="L605" s="200"/>
      <c r="M605" s="200"/>
      <c r="N605" s="197"/>
    </row>
    <row r="606" spans="1:14">
      <c r="A606" s="262"/>
      <c r="B606" s="262"/>
      <c r="C606" s="197">
        <v>58</v>
      </c>
      <c r="D606" s="262"/>
      <c r="E606" s="198">
        <v>0</v>
      </c>
      <c r="F606" s="197" t="s">
        <v>227</v>
      </c>
      <c r="G606" s="199" t="s">
        <v>290</v>
      </c>
      <c r="H606" s="200"/>
      <c r="I606" s="200"/>
      <c r="J606" s="200"/>
      <c r="K606" s="199"/>
      <c r="L606" s="200"/>
      <c r="M606" s="200"/>
      <c r="N606" s="197"/>
    </row>
    <row r="607" spans="1:14">
      <c r="A607" s="262"/>
      <c r="B607" s="262"/>
      <c r="C607" s="197">
        <v>59</v>
      </c>
      <c r="D607" s="262"/>
      <c r="E607" s="198">
        <v>0</v>
      </c>
      <c r="F607" s="197" t="s">
        <v>227</v>
      </c>
      <c r="G607" s="199" t="s">
        <v>764</v>
      </c>
      <c r="H607" s="200"/>
      <c r="I607" s="200"/>
      <c r="J607" s="200"/>
      <c r="K607" s="199"/>
      <c r="L607" s="200"/>
      <c r="M607" s="200"/>
      <c r="N607" s="197"/>
    </row>
    <row r="608" spans="1:14">
      <c r="A608" s="262"/>
      <c r="B608" s="262"/>
      <c r="C608" s="197">
        <v>60</v>
      </c>
      <c r="D608" s="261">
        <v>13</v>
      </c>
      <c r="E608" s="198">
        <v>363.50788999999997</v>
      </c>
      <c r="F608" s="197"/>
      <c r="G608" s="199" t="s">
        <v>765</v>
      </c>
      <c r="H608" s="200">
        <v>0.5</v>
      </c>
      <c r="I608" s="200">
        <v>1.01</v>
      </c>
      <c r="J608" s="200">
        <v>0.49</v>
      </c>
      <c r="K608" s="199" t="s">
        <v>229</v>
      </c>
      <c r="L608" s="200"/>
      <c r="M608" s="200"/>
      <c r="N608" s="197"/>
    </row>
    <row r="609" spans="1:14">
      <c r="A609" s="262"/>
      <c r="B609" s="262"/>
      <c r="C609" s="197">
        <v>61</v>
      </c>
      <c r="D609" s="262"/>
      <c r="E609" s="198">
        <v>363.67871100000002</v>
      </c>
      <c r="F609" s="197"/>
      <c r="G609" s="199" t="s">
        <v>766</v>
      </c>
      <c r="H609" s="200"/>
      <c r="I609" s="200"/>
      <c r="J609" s="200"/>
      <c r="K609" s="199"/>
      <c r="L609" s="200"/>
      <c r="M609" s="200"/>
      <c r="N609" s="197"/>
    </row>
    <row r="610" spans="1:14">
      <c r="A610" s="262"/>
      <c r="B610" s="262"/>
      <c r="C610" s="197">
        <v>62</v>
      </c>
      <c r="D610" s="261">
        <v>14</v>
      </c>
      <c r="E610" s="198">
        <v>336.99669799999998</v>
      </c>
      <c r="F610" s="197" t="s">
        <v>227</v>
      </c>
      <c r="G610" s="199" t="s">
        <v>767</v>
      </c>
      <c r="H610" s="200">
        <v>0.48</v>
      </c>
      <c r="I610" s="200">
        <v>1.0249999999999999</v>
      </c>
      <c r="J610" s="200">
        <v>0.48499999999999999</v>
      </c>
      <c r="K610" s="199" t="s">
        <v>229</v>
      </c>
      <c r="L610" s="200"/>
      <c r="M610" s="200"/>
      <c r="N610" s="197"/>
    </row>
    <row r="611" spans="1:14">
      <c r="A611" s="262"/>
      <c r="B611" s="262"/>
      <c r="C611" s="197">
        <v>63</v>
      </c>
      <c r="D611" s="262"/>
      <c r="E611" s="198">
        <v>341.50184400000001</v>
      </c>
      <c r="F611" s="197"/>
      <c r="G611" s="199" t="s">
        <v>768</v>
      </c>
      <c r="H611" s="200"/>
      <c r="I611" s="200"/>
      <c r="J611" s="200"/>
      <c r="K611" s="199"/>
      <c r="L611" s="200"/>
      <c r="M611" s="200"/>
      <c r="N611" s="197"/>
    </row>
    <row r="612" spans="1:14">
      <c r="A612" s="262"/>
      <c r="B612" s="262"/>
      <c r="C612" s="197">
        <v>64</v>
      </c>
      <c r="D612" s="262"/>
      <c r="E612" s="198">
        <v>0</v>
      </c>
      <c r="F612" s="197" t="s">
        <v>227</v>
      </c>
      <c r="G612" s="199" t="s">
        <v>769</v>
      </c>
      <c r="H612" s="200"/>
      <c r="I612" s="200"/>
      <c r="J612" s="200"/>
      <c r="K612" s="199"/>
      <c r="L612" s="200"/>
      <c r="M612" s="200"/>
      <c r="N612" s="197"/>
    </row>
    <row r="613" spans="1:14">
      <c r="A613" s="262"/>
      <c r="B613" s="262"/>
      <c r="C613" s="197">
        <v>65</v>
      </c>
      <c r="D613" s="261">
        <v>15</v>
      </c>
      <c r="E613" s="198">
        <v>0</v>
      </c>
      <c r="F613" s="197" t="s">
        <v>227</v>
      </c>
      <c r="G613" s="199" t="s">
        <v>716</v>
      </c>
      <c r="H613" s="200">
        <v>0.505</v>
      </c>
      <c r="I613" s="200">
        <v>1.0049999999999999</v>
      </c>
      <c r="J613" s="200">
        <v>0.49</v>
      </c>
      <c r="K613" s="199" t="s">
        <v>229</v>
      </c>
      <c r="L613" s="200"/>
      <c r="M613" s="200"/>
      <c r="N613" s="197"/>
    </row>
    <row r="614" spans="1:14">
      <c r="A614" s="262"/>
      <c r="B614" s="262"/>
      <c r="C614" s="197">
        <v>66</v>
      </c>
      <c r="D614" s="262"/>
      <c r="E614" s="198">
        <v>271.19862799999999</v>
      </c>
      <c r="F614" s="197"/>
      <c r="G614" s="199" t="s">
        <v>770</v>
      </c>
      <c r="H614" s="200"/>
      <c r="I614" s="200"/>
      <c r="J614" s="200"/>
      <c r="K614" s="199"/>
      <c r="L614" s="200"/>
      <c r="M614" s="200"/>
      <c r="N614" s="197"/>
    </row>
    <row r="615" spans="1:14">
      <c r="A615" s="262"/>
      <c r="B615" s="262"/>
      <c r="C615" s="197">
        <v>67</v>
      </c>
      <c r="D615" s="262"/>
      <c r="E615" s="198">
        <v>0</v>
      </c>
      <c r="F615" s="197" t="s">
        <v>227</v>
      </c>
      <c r="G615" s="199" t="s">
        <v>771</v>
      </c>
      <c r="H615" s="200"/>
      <c r="I615" s="200"/>
      <c r="J615" s="200"/>
      <c r="K615" s="199"/>
      <c r="L615" s="200"/>
      <c r="M615" s="200"/>
      <c r="N615" s="197"/>
    </row>
    <row r="616" spans="1:14">
      <c r="A616" s="262"/>
      <c r="B616" s="262"/>
      <c r="C616" s="197">
        <v>68</v>
      </c>
      <c r="D616" s="262"/>
      <c r="E616" s="198">
        <v>0</v>
      </c>
      <c r="F616" s="197" t="s">
        <v>227</v>
      </c>
      <c r="G616" s="199" t="s">
        <v>772</v>
      </c>
      <c r="H616" s="200"/>
      <c r="I616" s="200"/>
      <c r="J616" s="200"/>
      <c r="K616" s="199"/>
      <c r="L616" s="200"/>
      <c r="M616" s="200"/>
      <c r="N616" s="197"/>
    </row>
    <row r="617" spans="1:14">
      <c r="A617" s="262"/>
      <c r="B617" s="262"/>
      <c r="C617" s="197">
        <v>69</v>
      </c>
      <c r="D617" s="262"/>
      <c r="E617" s="198">
        <v>0</v>
      </c>
      <c r="F617" s="197" t="s">
        <v>227</v>
      </c>
      <c r="G617" s="199" t="s">
        <v>773</v>
      </c>
      <c r="H617" s="200"/>
      <c r="I617" s="200"/>
      <c r="J617" s="200"/>
      <c r="K617" s="199"/>
      <c r="L617" s="200"/>
      <c r="M617" s="200"/>
      <c r="N617" s="197"/>
    </row>
    <row r="618" spans="1:14">
      <c r="A618" s="262"/>
      <c r="B618" s="262"/>
      <c r="C618" s="197">
        <v>70</v>
      </c>
      <c r="D618" s="197">
        <v>16</v>
      </c>
      <c r="E618" s="198">
        <v>0</v>
      </c>
      <c r="F618" s="197" t="s">
        <v>227</v>
      </c>
      <c r="G618" s="199" t="s">
        <v>667</v>
      </c>
      <c r="H618" s="200">
        <v>0.48</v>
      </c>
      <c r="I618" s="200">
        <v>1.02</v>
      </c>
      <c r="J618" s="200">
        <v>0.49</v>
      </c>
      <c r="K618" s="199" t="s">
        <v>229</v>
      </c>
      <c r="L618" s="200"/>
      <c r="M618" s="200"/>
      <c r="N618" s="197"/>
    </row>
    <row r="619" spans="1:14">
      <c r="A619" s="261" t="s">
        <v>774</v>
      </c>
      <c r="B619" s="261">
        <v>5</v>
      </c>
      <c r="C619" s="114">
        <v>1</v>
      </c>
      <c r="D619" s="263">
        <v>1</v>
      </c>
      <c r="E619" s="114">
        <v>0</v>
      </c>
      <c r="F619" s="114" t="s">
        <v>227</v>
      </c>
      <c r="G619" t="s">
        <v>228</v>
      </c>
      <c r="H619" s="200">
        <v>0.49</v>
      </c>
      <c r="I619" s="200">
        <v>1.01</v>
      </c>
      <c r="J619" s="200">
        <v>0.505</v>
      </c>
      <c r="K619" s="199" t="s">
        <v>229</v>
      </c>
      <c r="L619" s="200">
        <v>3.9404750665370325E-3</v>
      </c>
      <c r="M619" s="200"/>
      <c r="N619" s="197"/>
    </row>
    <row r="620" spans="1:14">
      <c r="A620" s="261"/>
      <c r="B620" s="261"/>
      <c r="C620" s="114">
        <v>2</v>
      </c>
      <c r="D620" s="263"/>
      <c r="E620" s="114">
        <v>332</v>
      </c>
      <c r="F620" s="114"/>
      <c r="G620" t="s">
        <v>775</v>
      </c>
      <c r="H620" s="200"/>
      <c r="I620" s="200"/>
      <c r="J620" s="200"/>
      <c r="K620" s="199"/>
      <c r="L620" s="200">
        <v>2.1423920626253415E-3</v>
      </c>
      <c r="M620" s="200"/>
      <c r="N620" s="197"/>
    </row>
    <row r="621" spans="1:14">
      <c r="A621" s="261"/>
      <c r="B621" s="261"/>
      <c r="C621" s="114">
        <v>3</v>
      </c>
      <c r="D621" s="263"/>
      <c r="E621" s="114">
        <v>335</v>
      </c>
      <c r="F621" s="114"/>
      <c r="G621" t="s">
        <v>776</v>
      </c>
      <c r="H621" s="200"/>
      <c r="I621" s="200"/>
      <c r="J621" s="200"/>
      <c r="K621" s="199"/>
      <c r="L621" s="200">
        <v>4.1339864235384266E-3</v>
      </c>
      <c r="M621" s="200"/>
      <c r="N621" s="197"/>
    </row>
    <row r="622" spans="1:14">
      <c r="A622" s="261"/>
      <c r="B622" s="261"/>
      <c r="C622" s="114">
        <v>4</v>
      </c>
      <c r="D622" s="263"/>
      <c r="E622" s="114">
        <v>0</v>
      </c>
      <c r="F622" s="114" t="s">
        <v>227</v>
      </c>
      <c r="G622" t="s">
        <v>325</v>
      </c>
      <c r="H622" s="200"/>
      <c r="I622" s="200"/>
      <c r="J622" s="200"/>
      <c r="K622" s="199"/>
      <c r="L622" s="200"/>
      <c r="M622" s="200" t="s">
        <v>233</v>
      </c>
      <c r="N622" s="197" t="s">
        <v>777</v>
      </c>
    </row>
    <row r="623" spans="1:14">
      <c r="A623" s="261"/>
      <c r="B623" s="261"/>
      <c r="C623" s="114">
        <v>5</v>
      </c>
      <c r="D623" s="263"/>
      <c r="E623" s="114">
        <v>337</v>
      </c>
      <c r="F623" s="114"/>
      <c r="G623" t="s">
        <v>778</v>
      </c>
      <c r="L623" s="200"/>
      <c r="M623" s="200"/>
      <c r="N623" s="197"/>
    </row>
    <row r="624" spans="1:14">
      <c r="A624" s="261"/>
      <c r="B624" s="261"/>
      <c r="C624" s="114">
        <v>6</v>
      </c>
      <c r="D624" s="263"/>
      <c r="E624" s="114">
        <v>0</v>
      </c>
      <c r="F624" s="114" t="s">
        <v>227</v>
      </c>
      <c r="G624" t="s">
        <v>720</v>
      </c>
      <c r="H624" s="200"/>
      <c r="I624" s="200"/>
      <c r="J624" s="200"/>
      <c r="K624" s="199"/>
      <c r="L624" s="200"/>
      <c r="M624" s="200"/>
      <c r="N624" s="197"/>
    </row>
    <row r="625" spans="1:14">
      <c r="A625" s="261"/>
      <c r="B625" s="261"/>
      <c r="C625" s="114">
        <v>7</v>
      </c>
      <c r="D625" s="263"/>
      <c r="E625" s="114">
        <v>0</v>
      </c>
      <c r="F625" s="114" t="s">
        <v>227</v>
      </c>
      <c r="G625" t="s">
        <v>415</v>
      </c>
      <c r="H625" s="200"/>
      <c r="I625" s="200"/>
      <c r="J625" s="200"/>
      <c r="K625" s="199"/>
      <c r="L625" s="200"/>
      <c r="M625" s="200"/>
      <c r="N625" s="197"/>
    </row>
    <row r="626" spans="1:14">
      <c r="A626" s="261"/>
      <c r="B626" s="261"/>
      <c r="C626" s="114">
        <v>8</v>
      </c>
      <c r="D626" s="263"/>
      <c r="E626" s="114">
        <v>0</v>
      </c>
      <c r="F626" s="114" t="s">
        <v>227</v>
      </c>
      <c r="G626" t="s">
        <v>721</v>
      </c>
      <c r="H626" s="200"/>
      <c r="I626" s="200"/>
      <c r="J626" s="200"/>
      <c r="K626" s="199"/>
      <c r="L626" s="200"/>
      <c r="M626" s="200"/>
      <c r="N626" s="197"/>
    </row>
    <row r="627" spans="1:14">
      <c r="A627" s="261"/>
      <c r="B627" s="261"/>
      <c r="C627" s="114">
        <v>9</v>
      </c>
      <c r="D627" s="263"/>
      <c r="E627" s="114">
        <v>335</v>
      </c>
      <c r="F627" s="114"/>
      <c r="G627" t="s">
        <v>779</v>
      </c>
      <c r="L627" s="200"/>
      <c r="M627" s="200"/>
      <c r="N627" s="197"/>
    </row>
    <row r="628" spans="1:14">
      <c r="A628" s="261"/>
      <c r="B628" s="261"/>
      <c r="C628" s="114">
        <v>10</v>
      </c>
      <c r="D628" s="263"/>
      <c r="E628" s="114">
        <v>373</v>
      </c>
      <c r="F628" s="114"/>
      <c r="G628" t="s">
        <v>780</v>
      </c>
      <c r="H628" s="200"/>
      <c r="I628" s="200"/>
      <c r="J628" s="200"/>
      <c r="K628" s="199"/>
      <c r="L628" s="200"/>
      <c r="M628" s="200"/>
      <c r="N628" s="197"/>
    </row>
    <row r="629" spans="1:14">
      <c r="A629" s="261"/>
      <c r="B629" s="261"/>
      <c r="C629" s="114">
        <v>11</v>
      </c>
      <c r="D629" s="263">
        <v>2</v>
      </c>
      <c r="E629" s="114">
        <v>406</v>
      </c>
      <c r="F629" s="114" t="s">
        <v>227</v>
      </c>
      <c r="G629" t="s">
        <v>781</v>
      </c>
      <c r="H629" s="200">
        <v>0.49</v>
      </c>
      <c r="I629" s="200">
        <v>1.01</v>
      </c>
      <c r="J629" s="200">
        <v>0.505</v>
      </c>
      <c r="K629" s="199" t="s">
        <v>229</v>
      </c>
      <c r="L629" s="200"/>
      <c r="M629" s="200"/>
      <c r="N629" s="197"/>
    </row>
    <row r="630" spans="1:14">
      <c r="A630" s="261"/>
      <c r="B630" s="261"/>
      <c r="C630" s="114">
        <v>12</v>
      </c>
      <c r="D630" s="263"/>
      <c r="E630" s="114">
        <v>402</v>
      </c>
      <c r="F630" s="114"/>
      <c r="G630" t="s">
        <v>782</v>
      </c>
      <c r="H630" s="200"/>
      <c r="I630" s="200"/>
      <c r="J630" s="200"/>
      <c r="K630" s="199"/>
      <c r="L630" s="200"/>
      <c r="M630" s="200"/>
      <c r="N630" s="197"/>
    </row>
    <row r="631" spans="1:14">
      <c r="A631" s="261"/>
      <c r="B631" s="261"/>
      <c r="C631" s="114">
        <v>13</v>
      </c>
      <c r="D631" s="263">
        <v>3</v>
      </c>
      <c r="E631" s="114">
        <v>342</v>
      </c>
      <c r="F631" s="114" t="s">
        <v>227</v>
      </c>
      <c r="G631" t="s">
        <v>783</v>
      </c>
      <c r="H631" s="200">
        <v>0.49</v>
      </c>
      <c r="I631" s="200">
        <v>1.01</v>
      </c>
      <c r="J631" s="200">
        <v>0.505</v>
      </c>
      <c r="K631" s="199" t="s">
        <v>229</v>
      </c>
      <c r="L631" s="200"/>
      <c r="M631" s="200"/>
      <c r="N631" s="197"/>
    </row>
    <row r="632" spans="1:14">
      <c r="A632" s="261"/>
      <c r="B632" s="261"/>
      <c r="C632" s="114">
        <v>14</v>
      </c>
      <c r="D632" s="263"/>
      <c r="E632" s="114">
        <v>344</v>
      </c>
      <c r="F632" s="114"/>
      <c r="G632" t="s">
        <v>784</v>
      </c>
      <c r="H632" s="200"/>
      <c r="I632" s="200"/>
      <c r="J632" s="200"/>
      <c r="K632" s="199"/>
      <c r="L632" s="200"/>
      <c r="M632" s="200"/>
      <c r="N632" s="197"/>
    </row>
    <row r="633" spans="1:14">
      <c r="A633" s="261"/>
      <c r="B633" s="261"/>
      <c r="C633" s="114">
        <v>15</v>
      </c>
      <c r="D633" s="263">
        <v>4</v>
      </c>
      <c r="E633" s="114">
        <v>343</v>
      </c>
      <c r="F633" s="114" t="s">
        <v>227</v>
      </c>
      <c r="G633" t="s">
        <v>785</v>
      </c>
      <c r="H633" s="200">
        <v>0.48499999999999999</v>
      </c>
      <c r="I633" s="200">
        <v>1.01</v>
      </c>
      <c r="J633" s="200">
        <v>0.5</v>
      </c>
      <c r="K633" s="199" t="s">
        <v>229</v>
      </c>
      <c r="L633" s="200"/>
      <c r="M633" s="200"/>
      <c r="N633" s="197"/>
    </row>
    <row r="634" spans="1:14">
      <c r="A634" s="261"/>
      <c r="B634" s="261"/>
      <c r="C634" s="114">
        <v>16</v>
      </c>
      <c r="D634" s="263"/>
      <c r="E634" s="114">
        <v>346</v>
      </c>
      <c r="F634" s="114"/>
      <c r="G634" t="s">
        <v>786</v>
      </c>
      <c r="L634" s="200"/>
      <c r="M634" s="200"/>
      <c r="N634" s="197"/>
    </row>
    <row r="635" spans="1:14">
      <c r="A635" s="261"/>
      <c r="B635" s="261"/>
      <c r="C635" s="114">
        <v>17</v>
      </c>
      <c r="D635" s="263"/>
      <c r="E635" s="114">
        <v>336</v>
      </c>
      <c r="F635" s="114"/>
      <c r="G635" t="s">
        <v>787</v>
      </c>
      <c r="H635" s="200"/>
      <c r="I635" s="200"/>
      <c r="J635" s="200"/>
      <c r="K635" s="199"/>
      <c r="L635" s="200"/>
      <c r="M635" s="200"/>
      <c r="N635" s="197"/>
    </row>
    <row r="636" spans="1:14">
      <c r="A636" s="261"/>
      <c r="B636" s="261"/>
      <c r="C636" s="114">
        <v>18</v>
      </c>
      <c r="D636" s="263"/>
      <c r="E636" s="114">
        <v>324</v>
      </c>
      <c r="F636" s="114"/>
      <c r="G636" t="s">
        <v>788</v>
      </c>
      <c r="H636" s="200"/>
      <c r="I636" s="200"/>
      <c r="J636" s="200"/>
      <c r="K636" s="199"/>
      <c r="L636" s="200"/>
      <c r="M636" s="200"/>
      <c r="N636" s="197"/>
    </row>
    <row r="637" spans="1:14">
      <c r="A637" s="261"/>
      <c r="B637" s="261"/>
      <c r="C637" s="114">
        <v>19</v>
      </c>
      <c r="D637" s="263"/>
      <c r="E637" s="114">
        <v>330</v>
      </c>
      <c r="F637" s="114"/>
      <c r="G637" t="s">
        <v>789</v>
      </c>
      <c r="H637" s="200"/>
      <c r="I637" s="200"/>
      <c r="J637" s="200"/>
      <c r="K637" s="199"/>
      <c r="L637" s="200"/>
      <c r="M637" s="200"/>
      <c r="N637" s="197"/>
    </row>
    <row r="638" spans="1:14">
      <c r="A638" s="261"/>
      <c r="B638" s="261"/>
      <c r="C638" s="114">
        <v>20</v>
      </c>
      <c r="D638" s="263"/>
      <c r="E638" s="114">
        <v>332</v>
      </c>
      <c r="F638" s="114"/>
      <c r="G638" t="s">
        <v>790</v>
      </c>
      <c r="H638" s="200"/>
      <c r="I638" s="200"/>
      <c r="J638" s="200"/>
      <c r="K638" s="199"/>
      <c r="L638" s="200"/>
      <c r="M638" s="200"/>
      <c r="N638" s="197"/>
    </row>
    <row r="639" spans="1:14">
      <c r="A639" s="261"/>
      <c r="B639" s="261"/>
      <c r="C639" s="114">
        <v>21</v>
      </c>
      <c r="D639" s="263"/>
      <c r="E639" s="114">
        <v>0</v>
      </c>
      <c r="F639" s="114" t="s">
        <v>227</v>
      </c>
      <c r="G639" t="s">
        <v>252</v>
      </c>
      <c r="H639" s="200">
        <v>0.49</v>
      </c>
      <c r="I639" s="200">
        <v>1.01</v>
      </c>
      <c r="J639" s="200">
        <v>0.51</v>
      </c>
      <c r="K639" s="199" t="s">
        <v>229</v>
      </c>
      <c r="L639" s="200"/>
      <c r="M639" s="200"/>
      <c r="N639" s="197"/>
    </row>
    <row r="640" spans="1:14">
      <c r="A640" s="261"/>
      <c r="B640" s="261"/>
      <c r="C640" s="114">
        <v>22</v>
      </c>
      <c r="D640" s="263">
        <v>5</v>
      </c>
      <c r="E640" s="114">
        <v>0</v>
      </c>
      <c r="F640" s="114" t="s">
        <v>227</v>
      </c>
      <c r="G640" t="s">
        <v>630</v>
      </c>
      <c r="H640" s="200">
        <v>0.48499999999999999</v>
      </c>
      <c r="I640" s="200">
        <v>1.01</v>
      </c>
      <c r="J640" s="200">
        <v>0.51</v>
      </c>
      <c r="K640" s="199" t="s">
        <v>229</v>
      </c>
      <c r="L640" s="200"/>
      <c r="M640" s="200"/>
      <c r="N640" s="197"/>
    </row>
    <row r="641" spans="1:14">
      <c r="A641" s="261"/>
      <c r="B641" s="261"/>
      <c r="C641" s="114">
        <v>23</v>
      </c>
      <c r="D641" s="263"/>
      <c r="E641" s="114">
        <v>327</v>
      </c>
      <c r="F641" s="114"/>
      <c r="G641" t="s">
        <v>791</v>
      </c>
      <c r="L641" s="200"/>
      <c r="M641" s="200"/>
      <c r="N641" s="197"/>
    </row>
    <row r="642" spans="1:14">
      <c r="A642" s="261"/>
      <c r="B642" s="261"/>
      <c r="C642" s="114">
        <v>24</v>
      </c>
      <c r="D642" s="263">
        <v>6</v>
      </c>
      <c r="E642" s="114">
        <v>328</v>
      </c>
      <c r="F642" s="114" t="s">
        <v>227</v>
      </c>
      <c r="G642" t="s">
        <v>792</v>
      </c>
      <c r="H642" s="200">
        <v>0.49</v>
      </c>
      <c r="I642" s="200">
        <v>1.01</v>
      </c>
      <c r="J642" s="200">
        <v>0.505</v>
      </c>
      <c r="K642" s="199" t="s">
        <v>229</v>
      </c>
      <c r="L642" s="200"/>
      <c r="M642" s="200"/>
      <c r="N642" s="197"/>
    </row>
    <row r="643" spans="1:14">
      <c r="A643" s="261"/>
      <c r="B643" s="261"/>
      <c r="C643" s="114">
        <v>25</v>
      </c>
      <c r="D643" s="263"/>
      <c r="E643" s="114">
        <v>312</v>
      </c>
      <c r="F643" s="114"/>
      <c r="G643" t="s">
        <v>793</v>
      </c>
      <c r="L643" s="200"/>
      <c r="M643" s="200"/>
      <c r="N643" s="197"/>
    </row>
    <row r="644" spans="1:14">
      <c r="A644" s="261"/>
      <c r="B644" s="261"/>
      <c r="C644" s="114">
        <v>26</v>
      </c>
      <c r="D644" s="263"/>
      <c r="E644" s="114">
        <v>316</v>
      </c>
      <c r="F644" s="114"/>
      <c r="G644" t="s">
        <v>794</v>
      </c>
      <c r="H644" s="200"/>
      <c r="I644" s="200"/>
      <c r="J644" s="200"/>
      <c r="K644" s="199"/>
      <c r="L644" s="200"/>
      <c r="M644" s="200"/>
      <c r="N644" s="197"/>
    </row>
    <row r="645" spans="1:14">
      <c r="A645" s="261"/>
      <c r="B645" s="261"/>
      <c r="C645" s="114">
        <v>27</v>
      </c>
      <c r="D645" s="263"/>
      <c r="E645" s="114">
        <v>0</v>
      </c>
      <c r="F645" s="114" t="s">
        <v>227</v>
      </c>
      <c r="G645" t="s">
        <v>258</v>
      </c>
      <c r="H645" s="200"/>
      <c r="I645" s="200"/>
      <c r="J645" s="200"/>
      <c r="K645" s="199"/>
      <c r="L645" s="200"/>
      <c r="M645" s="200"/>
      <c r="N645" s="197"/>
    </row>
    <row r="646" spans="1:14">
      <c r="A646" s="261"/>
      <c r="B646" s="261"/>
      <c r="C646" s="114">
        <v>28</v>
      </c>
      <c r="D646" s="263">
        <v>7</v>
      </c>
      <c r="E646" s="114">
        <v>231</v>
      </c>
      <c r="F646" s="114"/>
      <c r="G646" t="s">
        <v>795</v>
      </c>
      <c r="H646" s="200">
        <v>0.49</v>
      </c>
      <c r="I646" s="200">
        <v>1.0149999999999999</v>
      </c>
      <c r="J646" s="200">
        <v>0.505</v>
      </c>
      <c r="K646" s="199" t="s">
        <v>229</v>
      </c>
      <c r="L646" s="200"/>
      <c r="M646" s="200"/>
      <c r="N646" s="197"/>
    </row>
    <row r="647" spans="1:14">
      <c r="A647" s="261"/>
      <c r="B647" s="261"/>
      <c r="C647" s="114">
        <v>29</v>
      </c>
      <c r="D647" s="263"/>
      <c r="E647" s="114">
        <v>232</v>
      </c>
      <c r="F647" s="114"/>
      <c r="G647" t="s">
        <v>796</v>
      </c>
      <c r="H647" s="200"/>
      <c r="I647" s="200"/>
      <c r="J647" s="200"/>
      <c r="K647" s="199"/>
      <c r="L647" s="200"/>
      <c r="M647" s="200"/>
      <c r="N647" s="197"/>
    </row>
    <row r="648" spans="1:14">
      <c r="A648" s="261"/>
      <c r="B648" s="261"/>
      <c r="C648" s="114">
        <v>30</v>
      </c>
      <c r="D648" s="263">
        <v>8</v>
      </c>
      <c r="E648" s="114">
        <v>0</v>
      </c>
      <c r="F648" s="114" t="s">
        <v>227</v>
      </c>
      <c r="G648" t="s">
        <v>797</v>
      </c>
      <c r="H648" s="200">
        <v>0.49</v>
      </c>
      <c r="I648" s="200">
        <v>1.01</v>
      </c>
      <c r="J648" s="200">
        <v>0.505</v>
      </c>
      <c r="K648" s="199" t="s">
        <v>229</v>
      </c>
      <c r="L648" s="200"/>
      <c r="M648" s="200"/>
      <c r="N648" s="197"/>
    </row>
    <row r="649" spans="1:14">
      <c r="A649" s="261"/>
      <c r="B649" s="261"/>
      <c r="C649" s="114">
        <v>31</v>
      </c>
      <c r="D649" s="263"/>
      <c r="E649" s="114">
        <v>232</v>
      </c>
      <c r="F649" s="114" t="s">
        <v>227</v>
      </c>
      <c r="G649" t="s">
        <v>798</v>
      </c>
      <c r="L649" s="200"/>
      <c r="M649" s="200"/>
      <c r="N649" s="197"/>
    </row>
    <row r="650" spans="1:14">
      <c r="A650" s="261"/>
      <c r="B650" s="261"/>
      <c r="C650" s="114">
        <v>32</v>
      </c>
      <c r="D650" s="263"/>
      <c r="E650" s="114">
        <v>232</v>
      </c>
      <c r="F650" s="114"/>
      <c r="G650" t="s">
        <v>799</v>
      </c>
      <c r="H650" s="200"/>
      <c r="I650" s="200"/>
      <c r="J650" s="200"/>
      <c r="K650" s="199"/>
      <c r="L650" s="200"/>
      <c r="M650" s="200"/>
      <c r="N650" s="197"/>
    </row>
    <row r="651" spans="1:14">
      <c r="A651" s="261"/>
      <c r="B651" s="261"/>
      <c r="C651" s="114">
        <v>33</v>
      </c>
      <c r="D651" s="263"/>
      <c r="E651" s="114">
        <v>224</v>
      </c>
      <c r="F651" s="114"/>
      <c r="G651" t="s">
        <v>800</v>
      </c>
      <c r="H651" s="200"/>
      <c r="I651" s="200"/>
      <c r="J651" s="200"/>
      <c r="K651" s="199"/>
      <c r="L651" s="200"/>
      <c r="M651" s="200"/>
      <c r="N651" s="197"/>
    </row>
    <row r="652" spans="1:14">
      <c r="A652" s="261"/>
      <c r="B652" s="261"/>
      <c r="C652" s="114">
        <v>34</v>
      </c>
      <c r="D652" s="263"/>
      <c r="E652" s="114">
        <v>229</v>
      </c>
      <c r="F652" s="114"/>
      <c r="G652" t="s">
        <v>801</v>
      </c>
      <c r="H652" s="200"/>
      <c r="I652" s="200"/>
      <c r="J652" s="200"/>
      <c r="K652" s="199"/>
      <c r="L652" s="200"/>
      <c r="M652" s="200"/>
      <c r="N652" s="197"/>
    </row>
    <row r="653" spans="1:14">
      <c r="A653" s="261"/>
      <c r="B653" s="261"/>
      <c r="C653" s="114">
        <v>35</v>
      </c>
      <c r="D653" s="263"/>
      <c r="E653" s="114">
        <v>0</v>
      </c>
      <c r="F653" s="114" t="s">
        <v>227</v>
      </c>
      <c r="G653" t="s">
        <v>266</v>
      </c>
      <c r="H653" s="200"/>
      <c r="I653" s="200"/>
      <c r="J653" s="200"/>
      <c r="K653" s="199"/>
      <c r="L653" s="200"/>
      <c r="M653" s="200"/>
      <c r="N653" s="197"/>
    </row>
    <row r="654" spans="1:14">
      <c r="A654" s="261"/>
      <c r="B654" s="261"/>
      <c r="C654" s="114">
        <v>36</v>
      </c>
      <c r="D654" s="263"/>
      <c r="E654" s="114">
        <v>0</v>
      </c>
      <c r="F654" s="114" t="s">
        <v>227</v>
      </c>
      <c r="G654" t="s">
        <v>267</v>
      </c>
      <c r="H654" s="200"/>
      <c r="I654" s="200"/>
      <c r="J654" s="200"/>
      <c r="K654" s="199"/>
      <c r="L654" s="200"/>
      <c r="M654" s="200"/>
      <c r="N654" s="197"/>
    </row>
    <row r="655" spans="1:14">
      <c r="A655" s="261"/>
      <c r="B655" s="261"/>
      <c r="C655" s="114">
        <v>37</v>
      </c>
      <c r="D655" s="263">
        <v>9</v>
      </c>
      <c r="E655" s="114">
        <v>0</v>
      </c>
      <c r="F655" s="114" t="s">
        <v>227</v>
      </c>
      <c r="G655" t="s">
        <v>802</v>
      </c>
      <c r="H655" s="200">
        <v>0.495</v>
      </c>
      <c r="I655" s="200">
        <v>1.01</v>
      </c>
      <c r="J655" s="200">
        <v>0.51500000000000001</v>
      </c>
      <c r="K655" s="199" t="s">
        <v>229</v>
      </c>
      <c r="L655" s="200"/>
      <c r="M655" s="200"/>
      <c r="N655" s="197"/>
    </row>
    <row r="656" spans="1:14">
      <c r="A656" s="261"/>
      <c r="B656" s="261"/>
      <c r="C656" s="114">
        <v>38</v>
      </c>
      <c r="D656" s="263"/>
      <c r="E656" s="114">
        <v>0</v>
      </c>
      <c r="F656" s="114" t="s">
        <v>227</v>
      </c>
      <c r="G656" t="s">
        <v>803</v>
      </c>
      <c r="H656" s="200"/>
      <c r="I656" s="200"/>
      <c r="J656" s="200"/>
      <c r="K656" s="199"/>
      <c r="L656" s="200"/>
      <c r="M656" s="200"/>
      <c r="N656" s="197"/>
    </row>
    <row r="657" spans="1:14">
      <c r="A657" s="261"/>
      <c r="B657" s="261"/>
      <c r="C657" s="114">
        <v>39</v>
      </c>
      <c r="D657" s="263"/>
      <c r="E657" s="114">
        <v>312</v>
      </c>
      <c r="F657" s="114"/>
      <c r="G657" t="s">
        <v>804</v>
      </c>
      <c r="L657" s="200"/>
      <c r="M657" s="200"/>
      <c r="N657" s="197"/>
    </row>
    <row r="658" spans="1:14">
      <c r="A658" s="261"/>
      <c r="B658" s="261"/>
      <c r="C658" s="114">
        <v>40</v>
      </c>
      <c r="D658" s="263"/>
      <c r="E658" s="114">
        <v>315</v>
      </c>
      <c r="F658" s="114"/>
      <c r="G658" t="s">
        <v>805</v>
      </c>
      <c r="H658" s="200"/>
      <c r="I658" s="200"/>
      <c r="J658" s="200"/>
      <c r="K658" s="199"/>
      <c r="L658" s="200"/>
      <c r="M658" s="200"/>
      <c r="N658" s="197"/>
    </row>
    <row r="659" spans="1:14">
      <c r="A659" s="261"/>
      <c r="B659" s="261"/>
      <c r="C659" s="114">
        <v>41</v>
      </c>
      <c r="D659" s="263"/>
      <c r="E659" s="114">
        <v>315</v>
      </c>
      <c r="F659" s="114"/>
      <c r="G659" t="s">
        <v>806</v>
      </c>
      <c r="H659" s="200"/>
      <c r="I659" s="200"/>
      <c r="J659" s="200"/>
      <c r="K659" s="199"/>
      <c r="L659" s="200"/>
      <c r="M659" s="200"/>
      <c r="N659" s="197"/>
    </row>
    <row r="660" spans="1:14">
      <c r="A660" s="261"/>
      <c r="B660" s="261"/>
      <c r="C660" s="114">
        <v>42</v>
      </c>
      <c r="D660" s="263">
        <v>10</v>
      </c>
      <c r="E660" s="114">
        <v>305</v>
      </c>
      <c r="F660" s="114" t="s">
        <v>227</v>
      </c>
      <c r="G660" t="s">
        <v>807</v>
      </c>
      <c r="H660" s="200">
        <v>0.49</v>
      </c>
      <c r="I660" s="200">
        <v>1.01</v>
      </c>
      <c r="J660" s="200">
        <v>0.505</v>
      </c>
      <c r="K660" s="199" t="s">
        <v>229</v>
      </c>
      <c r="L660" s="200"/>
      <c r="M660" s="200"/>
      <c r="N660" s="197"/>
    </row>
    <row r="661" spans="1:14">
      <c r="A661" s="261"/>
      <c r="B661" s="261"/>
      <c r="C661" s="114">
        <v>43</v>
      </c>
      <c r="D661" s="263"/>
      <c r="E661" s="114">
        <v>0</v>
      </c>
      <c r="F661" s="114" t="s">
        <v>227</v>
      </c>
      <c r="G661" t="s">
        <v>808</v>
      </c>
      <c r="H661" s="200"/>
      <c r="I661" s="200"/>
      <c r="J661" s="200"/>
      <c r="K661" s="199"/>
      <c r="L661" s="200"/>
      <c r="M661" s="200"/>
      <c r="N661" s="197"/>
    </row>
    <row r="662" spans="1:14">
      <c r="A662" s="261"/>
      <c r="B662" s="261"/>
      <c r="C662" s="114">
        <v>44</v>
      </c>
      <c r="D662" s="263"/>
      <c r="E662" s="114">
        <v>0</v>
      </c>
      <c r="F662" s="114" t="s">
        <v>227</v>
      </c>
      <c r="G662" t="s">
        <v>809</v>
      </c>
      <c r="H662" s="200"/>
      <c r="I662" s="200"/>
      <c r="J662" s="200"/>
      <c r="K662" s="199"/>
      <c r="L662" s="200"/>
      <c r="M662" s="200"/>
      <c r="N662" s="197"/>
    </row>
    <row r="663" spans="1:14">
      <c r="A663" s="261"/>
      <c r="B663" s="261"/>
      <c r="C663" s="114">
        <v>45</v>
      </c>
      <c r="D663" s="263"/>
      <c r="E663" s="114">
        <v>776</v>
      </c>
      <c r="F663" s="114" t="s">
        <v>281</v>
      </c>
      <c r="G663" t="s">
        <v>810</v>
      </c>
      <c r="H663" s="200"/>
      <c r="I663" s="200"/>
      <c r="J663" s="200"/>
      <c r="K663" s="199"/>
      <c r="L663" s="200"/>
      <c r="M663" s="200"/>
      <c r="N663" s="197"/>
    </row>
    <row r="664" spans="1:14">
      <c r="A664" s="261"/>
      <c r="B664" s="261"/>
      <c r="C664" s="114">
        <v>46</v>
      </c>
      <c r="D664" s="263">
        <v>11</v>
      </c>
      <c r="E664" s="114">
        <v>397</v>
      </c>
      <c r="F664" s="114" t="s">
        <v>227</v>
      </c>
      <c r="G664" t="s">
        <v>811</v>
      </c>
      <c r="H664" s="200">
        <v>0.48499999999999999</v>
      </c>
      <c r="I664" s="200">
        <v>1.01</v>
      </c>
      <c r="J664" s="200">
        <v>0.51</v>
      </c>
      <c r="K664" s="199" t="s">
        <v>229</v>
      </c>
      <c r="L664" s="200"/>
      <c r="M664" s="200"/>
      <c r="N664" s="197"/>
    </row>
    <row r="665" spans="1:14">
      <c r="A665" s="261"/>
      <c r="B665" s="261"/>
      <c r="C665" s="114">
        <v>47</v>
      </c>
      <c r="D665" s="263"/>
      <c r="E665" s="114">
        <v>400</v>
      </c>
      <c r="F665" s="114"/>
      <c r="G665" t="s">
        <v>812</v>
      </c>
      <c r="H665" s="200"/>
      <c r="I665" s="200"/>
      <c r="J665" s="200"/>
      <c r="K665" s="199"/>
      <c r="L665" s="200"/>
      <c r="M665" s="200"/>
      <c r="N665" s="197"/>
    </row>
    <row r="666" spans="1:14">
      <c r="A666" s="261"/>
      <c r="B666" s="261"/>
      <c r="C666" s="114">
        <v>48</v>
      </c>
      <c r="D666" s="263">
        <v>12</v>
      </c>
      <c r="E666" s="114">
        <v>314</v>
      </c>
      <c r="F666" s="114" t="s">
        <v>227</v>
      </c>
      <c r="G666" t="s">
        <v>813</v>
      </c>
      <c r="H666" s="200">
        <v>0.48499999999999999</v>
      </c>
      <c r="I666" s="200">
        <v>1.01</v>
      </c>
      <c r="J666" s="200">
        <v>0.505</v>
      </c>
      <c r="K666" s="199" t="s">
        <v>229</v>
      </c>
      <c r="L666" s="200"/>
      <c r="M666" s="200"/>
      <c r="N666" s="197"/>
    </row>
    <row r="667" spans="1:14">
      <c r="A667" s="261"/>
      <c r="B667" s="261"/>
      <c r="C667" s="114">
        <v>49</v>
      </c>
      <c r="D667" s="263"/>
      <c r="E667" s="114">
        <v>323</v>
      </c>
      <c r="F667" s="114"/>
      <c r="G667" t="s">
        <v>814</v>
      </c>
      <c r="H667" s="200"/>
      <c r="I667" s="200"/>
      <c r="J667" s="200"/>
      <c r="K667" s="199"/>
      <c r="L667" s="200"/>
      <c r="M667" s="200"/>
      <c r="N667" s="197"/>
    </row>
    <row r="668" spans="1:14">
      <c r="A668" s="261"/>
      <c r="B668" s="261"/>
      <c r="C668" s="114">
        <v>50</v>
      </c>
      <c r="D668" s="263"/>
      <c r="E668" s="114">
        <v>319</v>
      </c>
      <c r="F668" s="114"/>
      <c r="G668" t="s">
        <v>815</v>
      </c>
      <c r="H668" s="200"/>
      <c r="I668" s="200"/>
      <c r="J668" s="200"/>
      <c r="K668" s="199"/>
      <c r="L668" s="200"/>
      <c r="M668" s="200"/>
      <c r="N668" s="197"/>
    </row>
    <row r="669" spans="1:14">
      <c r="A669" s="261"/>
      <c r="B669" s="261"/>
      <c r="C669" s="114">
        <v>51</v>
      </c>
      <c r="D669" s="263"/>
      <c r="E669" s="114">
        <v>314</v>
      </c>
      <c r="F669" s="114"/>
      <c r="G669" t="s">
        <v>816</v>
      </c>
      <c r="H669" s="200"/>
      <c r="I669" s="200"/>
      <c r="J669" s="200"/>
      <c r="K669" s="199"/>
      <c r="L669" s="200"/>
      <c r="M669" s="200"/>
      <c r="N669" s="197"/>
    </row>
    <row r="670" spans="1:14">
      <c r="A670" s="261"/>
      <c r="B670" s="261"/>
      <c r="C670" s="114">
        <v>52</v>
      </c>
      <c r="D670" s="263"/>
      <c r="E670" s="114">
        <v>318</v>
      </c>
      <c r="F670" s="114"/>
      <c r="G670" t="s">
        <v>817</v>
      </c>
      <c r="H670" s="200"/>
      <c r="I670" s="200"/>
      <c r="J670" s="200"/>
      <c r="K670" s="199"/>
      <c r="L670" s="200"/>
      <c r="M670" s="200"/>
      <c r="N670" s="197"/>
    </row>
    <row r="671" spans="1:14">
      <c r="A671" s="261"/>
      <c r="B671" s="261"/>
      <c r="C671" s="114">
        <v>53</v>
      </c>
      <c r="D671" s="263"/>
      <c r="E671" s="114">
        <v>0</v>
      </c>
      <c r="F671" s="114" t="s">
        <v>227</v>
      </c>
      <c r="G671" t="s">
        <v>654</v>
      </c>
      <c r="H671" s="200"/>
      <c r="I671" s="200"/>
      <c r="J671" s="200"/>
      <c r="K671" s="199"/>
      <c r="L671" s="200"/>
      <c r="M671" s="200"/>
      <c r="N671" s="197"/>
    </row>
    <row r="672" spans="1:14">
      <c r="A672" s="261"/>
      <c r="B672" s="261"/>
      <c r="C672" s="114">
        <v>54</v>
      </c>
      <c r="D672" s="263">
        <v>13</v>
      </c>
      <c r="E672" s="114">
        <v>0</v>
      </c>
      <c r="F672" s="114" t="s">
        <v>227</v>
      </c>
      <c r="G672" t="s">
        <v>818</v>
      </c>
      <c r="H672" s="200">
        <v>0.48499999999999999</v>
      </c>
      <c r="I672" s="200">
        <v>1.0049999999999999</v>
      </c>
      <c r="J672" s="200">
        <v>0.5</v>
      </c>
      <c r="K672" s="199" t="s">
        <v>229</v>
      </c>
      <c r="L672" s="200"/>
      <c r="M672" s="200"/>
      <c r="N672" s="197"/>
    </row>
    <row r="673" spans="1:14">
      <c r="A673" s="261"/>
      <c r="B673" s="261"/>
      <c r="C673" s="114">
        <v>55</v>
      </c>
      <c r="D673" s="263"/>
      <c r="E673" s="114">
        <v>0</v>
      </c>
      <c r="F673" s="114" t="s">
        <v>227</v>
      </c>
      <c r="G673" t="s">
        <v>819</v>
      </c>
      <c r="H673" s="200"/>
      <c r="I673" s="200"/>
      <c r="J673" s="200"/>
      <c r="K673" s="199"/>
      <c r="L673" s="200"/>
      <c r="M673" s="200"/>
      <c r="N673" s="197"/>
    </row>
    <row r="674" spans="1:14">
      <c r="A674" s="261"/>
      <c r="B674" s="261"/>
      <c r="C674" s="114">
        <v>56</v>
      </c>
      <c r="D674" s="263"/>
      <c r="E674" s="114">
        <v>0</v>
      </c>
      <c r="F674" s="114" t="s">
        <v>227</v>
      </c>
      <c r="G674" t="s">
        <v>820</v>
      </c>
      <c r="H674" s="200"/>
      <c r="I674" s="200"/>
      <c r="J674" s="200"/>
      <c r="K674" s="199"/>
      <c r="L674" s="200"/>
      <c r="M674" s="200"/>
      <c r="N674" s="197"/>
    </row>
    <row r="675" spans="1:14">
      <c r="A675" s="261"/>
      <c r="B675" s="261"/>
      <c r="C675" s="114">
        <v>57</v>
      </c>
      <c r="D675" s="263"/>
      <c r="E675" s="114">
        <v>0</v>
      </c>
      <c r="F675" s="114" t="s">
        <v>227</v>
      </c>
      <c r="G675" t="s">
        <v>821</v>
      </c>
      <c r="L675" s="200"/>
      <c r="M675" s="200"/>
      <c r="N675" s="197"/>
    </row>
    <row r="676" spans="1:14">
      <c r="A676" s="261"/>
      <c r="B676" s="261"/>
      <c r="C676" s="114">
        <v>58</v>
      </c>
      <c r="D676" s="263"/>
      <c r="E676" s="114">
        <v>0</v>
      </c>
      <c r="F676" s="114" t="s">
        <v>227</v>
      </c>
      <c r="G676" t="s">
        <v>822</v>
      </c>
      <c r="H676" s="200"/>
      <c r="I676" s="200"/>
      <c r="J676" s="200"/>
      <c r="K676" s="199"/>
      <c r="L676" s="200"/>
      <c r="M676" s="200"/>
      <c r="N676" s="197"/>
    </row>
    <row r="677" spans="1:14">
      <c r="A677" s="261"/>
      <c r="B677" s="261"/>
      <c r="C677" s="114">
        <v>59</v>
      </c>
      <c r="D677" s="263"/>
      <c r="E677" s="114">
        <v>0</v>
      </c>
      <c r="F677" s="114" t="s">
        <v>227</v>
      </c>
      <c r="G677" t="s">
        <v>823</v>
      </c>
      <c r="H677" s="200"/>
      <c r="I677" s="200"/>
      <c r="J677" s="200"/>
      <c r="K677" s="199"/>
      <c r="L677" s="200"/>
      <c r="M677" s="200"/>
      <c r="N677" s="197"/>
    </row>
    <row r="678" spans="1:14">
      <c r="A678" s="261"/>
      <c r="B678" s="261"/>
      <c r="C678" s="114">
        <v>60</v>
      </c>
      <c r="D678" s="263"/>
      <c r="E678" s="114">
        <v>0</v>
      </c>
      <c r="F678" s="114" t="s">
        <v>227</v>
      </c>
      <c r="G678" t="s">
        <v>824</v>
      </c>
      <c r="H678" s="200"/>
      <c r="I678" s="200"/>
      <c r="J678" s="200"/>
      <c r="K678" s="199"/>
      <c r="L678" s="200"/>
      <c r="M678" s="200"/>
      <c r="N678" s="197"/>
    </row>
    <row r="679" spans="1:14">
      <c r="A679" s="261"/>
      <c r="B679" s="261"/>
      <c r="C679" s="114">
        <v>61</v>
      </c>
      <c r="D679" s="263"/>
      <c r="E679" s="114">
        <v>0</v>
      </c>
      <c r="F679" s="114" t="s">
        <v>227</v>
      </c>
      <c r="G679" t="s">
        <v>825</v>
      </c>
      <c r="H679" s="200"/>
      <c r="I679" s="200"/>
      <c r="J679" s="200"/>
      <c r="K679" s="199"/>
      <c r="L679" s="200"/>
      <c r="M679" s="200"/>
      <c r="N679" s="197"/>
    </row>
    <row r="680" spans="1:14">
      <c r="A680" s="261"/>
      <c r="B680" s="261"/>
      <c r="C680" s="114">
        <v>62</v>
      </c>
      <c r="D680" s="263"/>
      <c r="E680" s="114">
        <v>334</v>
      </c>
      <c r="F680" s="114"/>
      <c r="G680" t="s">
        <v>826</v>
      </c>
      <c r="H680" s="200"/>
      <c r="I680" s="200"/>
      <c r="J680" s="200"/>
      <c r="K680" s="199"/>
      <c r="L680" s="200"/>
      <c r="M680" s="200"/>
      <c r="N680" s="197"/>
    </row>
    <row r="681" spans="1:14">
      <c r="A681" s="261"/>
      <c r="B681" s="261"/>
      <c r="C681" s="114">
        <v>63</v>
      </c>
      <c r="D681" s="263"/>
      <c r="E681" s="114">
        <v>336</v>
      </c>
      <c r="F681" s="114"/>
      <c r="G681" t="s">
        <v>827</v>
      </c>
      <c r="H681" s="200"/>
      <c r="I681" s="200"/>
      <c r="J681" s="200"/>
      <c r="K681" s="199"/>
      <c r="L681" s="200"/>
      <c r="M681" s="200"/>
      <c r="N681" s="197"/>
    </row>
    <row r="682" spans="1:14">
      <c r="A682" s="261"/>
      <c r="B682" s="261"/>
      <c r="C682" s="114">
        <v>64</v>
      </c>
      <c r="D682" s="263">
        <v>14</v>
      </c>
      <c r="E682" s="114">
        <v>318</v>
      </c>
      <c r="F682" s="114" t="s">
        <v>227</v>
      </c>
      <c r="G682" t="s">
        <v>828</v>
      </c>
      <c r="H682" s="200">
        <v>0.48499999999999999</v>
      </c>
      <c r="I682" s="200">
        <v>1.01</v>
      </c>
      <c r="J682" s="200">
        <v>0.51</v>
      </c>
      <c r="K682" s="199" t="s">
        <v>229</v>
      </c>
      <c r="L682" s="200"/>
      <c r="M682" s="200"/>
      <c r="N682" s="197"/>
    </row>
    <row r="683" spans="1:14">
      <c r="A683" s="261"/>
      <c r="B683" s="261"/>
      <c r="C683" s="114">
        <v>65</v>
      </c>
      <c r="D683" s="263"/>
      <c r="E683" s="114">
        <v>323</v>
      </c>
      <c r="F683" s="114"/>
      <c r="G683" t="s">
        <v>829</v>
      </c>
      <c r="L683" s="200"/>
      <c r="M683" s="200"/>
      <c r="N683" s="197"/>
    </row>
    <row r="684" spans="1:14">
      <c r="A684" s="261"/>
      <c r="B684" s="261"/>
      <c r="C684" s="114">
        <v>66</v>
      </c>
      <c r="D684" s="263">
        <v>15</v>
      </c>
      <c r="E684" s="114">
        <v>0</v>
      </c>
      <c r="F684" s="114" t="s">
        <v>227</v>
      </c>
      <c r="G684" t="s">
        <v>830</v>
      </c>
      <c r="H684" s="200">
        <v>0.48</v>
      </c>
      <c r="I684" s="200">
        <v>1.0049999999999999</v>
      </c>
      <c r="J684" s="200">
        <v>0.5</v>
      </c>
      <c r="K684" s="199" t="s">
        <v>229</v>
      </c>
      <c r="L684" s="200"/>
      <c r="M684" s="200"/>
      <c r="N684" s="197"/>
    </row>
    <row r="685" spans="1:14">
      <c r="A685" s="261"/>
      <c r="B685" s="261"/>
      <c r="C685" s="114">
        <v>67</v>
      </c>
      <c r="D685" s="263"/>
      <c r="E685" s="114">
        <v>0</v>
      </c>
      <c r="F685" s="114" t="s">
        <v>227</v>
      </c>
      <c r="G685" t="s">
        <v>771</v>
      </c>
      <c r="H685" s="200"/>
      <c r="I685" s="200"/>
      <c r="J685" s="200"/>
      <c r="K685" s="199"/>
      <c r="L685" s="200"/>
      <c r="M685" s="200"/>
      <c r="N685" s="197"/>
    </row>
    <row r="686" spans="1:14">
      <c r="A686" s="261"/>
      <c r="B686" s="261"/>
      <c r="C686" s="114">
        <v>68</v>
      </c>
      <c r="D686" s="263"/>
      <c r="E686" s="114">
        <v>0</v>
      </c>
      <c r="F686" s="114" t="s">
        <v>227</v>
      </c>
      <c r="G686" t="s">
        <v>772</v>
      </c>
      <c r="H686" s="200"/>
      <c r="I686" s="200"/>
      <c r="J686" s="200"/>
      <c r="K686" s="199"/>
      <c r="L686" s="200"/>
      <c r="M686" s="200"/>
      <c r="N686" s="197"/>
    </row>
    <row r="687" spans="1:14">
      <c r="A687" s="261"/>
      <c r="B687" s="261"/>
      <c r="C687" s="114">
        <v>69</v>
      </c>
      <c r="D687" s="263"/>
      <c r="E687" s="114">
        <v>0</v>
      </c>
      <c r="F687" s="114" t="s">
        <v>227</v>
      </c>
      <c r="G687" t="s">
        <v>773</v>
      </c>
      <c r="H687" s="200"/>
      <c r="I687" s="200"/>
      <c r="J687" s="200"/>
      <c r="K687" s="199"/>
      <c r="L687" s="200"/>
      <c r="M687" s="200"/>
      <c r="N687" s="197"/>
    </row>
    <row r="688" spans="1:14">
      <c r="A688" s="261"/>
      <c r="B688" s="261"/>
      <c r="C688" s="114">
        <v>70</v>
      </c>
      <c r="D688" s="263">
        <v>16</v>
      </c>
      <c r="E688" s="114">
        <v>0</v>
      </c>
      <c r="F688" s="114" t="s">
        <v>227</v>
      </c>
      <c r="G688" t="s">
        <v>667</v>
      </c>
      <c r="H688" s="200">
        <v>0.48</v>
      </c>
      <c r="I688" s="200">
        <v>1.01</v>
      </c>
      <c r="J688" s="200">
        <v>0.5</v>
      </c>
      <c r="K688" s="199" t="s">
        <v>229</v>
      </c>
      <c r="L688" s="200"/>
      <c r="M688" s="200"/>
      <c r="N688" s="197"/>
    </row>
    <row r="689" spans="1:14">
      <c r="A689" s="261"/>
      <c r="B689" s="261"/>
      <c r="C689" s="114">
        <v>71</v>
      </c>
      <c r="D689" s="263"/>
      <c r="E689" s="114">
        <v>0</v>
      </c>
      <c r="F689" s="114" t="s">
        <v>227</v>
      </c>
      <c r="G689" t="s">
        <v>668</v>
      </c>
      <c r="H689" s="200"/>
      <c r="I689" s="200"/>
      <c r="J689" s="200"/>
      <c r="K689" s="199"/>
      <c r="L689" s="200"/>
      <c r="M689" s="200"/>
      <c r="N689" s="197"/>
    </row>
    <row r="690" spans="1:14">
      <c r="A690" s="261" t="s">
        <v>831</v>
      </c>
      <c r="B690" s="261">
        <v>8</v>
      </c>
      <c r="C690" s="197">
        <v>1</v>
      </c>
      <c r="D690" s="261">
        <v>1</v>
      </c>
      <c r="E690" s="198">
        <v>0</v>
      </c>
      <c r="F690" s="197" t="s">
        <v>227</v>
      </c>
      <c r="G690" s="199" t="s">
        <v>228</v>
      </c>
      <c r="H690" s="200">
        <v>0.49</v>
      </c>
      <c r="I690" s="200">
        <v>1.01</v>
      </c>
      <c r="J690" s="200">
        <v>0.5</v>
      </c>
      <c r="K690" s="199" t="s">
        <v>229</v>
      </c>
      <c r="L690" s="200">
        <v>1.2358574958303248E-2</v>
      </c>
      <c r="M690" s="200"/>
      <c r="N690" s="197"/>
    </row>
    <row r="691" spans="1:14">
      <c r="A691" s="262"/>
      <c r="B691" s="262"/>
      <c r="C691" s="197">
        <v>2</v>
      </c>
      <c r="D691" s="262"/>
      <c r="E691" s="198">
        <v>0</v>
      </c>
      <c r="F691" s="197" t="s">
        <v>227</v>
      </c>
      <c r="G691" s="199" t="s">
        <v>230</v>
      </c>
      <c r="H691" s="200"/>
      <c r="I691" s="200"/>
      <c r="J691" s="200"/>
      <c r="K691" s="199"/>
      <c r="L691" s="200">
        <v>3.9031237489989957E-3</v>
      </c>
      <c r="M691" s="200"/>
      <c r="N691" s="197"/>
    </row>
    <row r="692" spans="1:14">
      <c r="A692" s="262"/>
      <c r="B692" s="262"/>
      <c r="C692" s="197">
        <v>3</v>
      </c>
      <c r="D692" s="262"/>
      <c r="E692" s="198">
        <v>0</v>
      </c>
      <c r="F692" s="197" t="s">
        <v>227</v>
      </c>
      <c r="G692" s="199" t="s">
        <v>324</v>
      </c>
      <c r="H692" s="200"/>
      <c r="I692" s="200"/>
      <c r="J692" s="200"/>
      <c r="K692" s="199"/>
      <c r="L692" s="200">
        <v>6.0917464655056075E-3</v>
      </c>
      <c r="M692" s="200"/>
      <c r="N692" s="197"/>
    </row>
    <row r="693" spans="1:14">
      <c r="A693" s="262"/>
      <c r="B693" s="262"/>
      <c r="C693" s="197">
        <v>4</v>
      </c>
      <c r="D693" s="262"/>
      <c r="E693" s="198">
        <v>0</v>
      </c>
      <c r="F693" s="197" t="s">
        <v>227</v>
      </c>
      <c r="G693" s="199" t="s">
        <v>325</v>
      </c>
      <c r="H693" s="200"/>
      <c r="I693" s="200"/>
      <c r="J693" s="200"/>
      <c r="K693" s="199"/>
      <c r="L693" s="200"/>
      <c r="M693" s="200" t="s">
        <v>832</v>
      </c>
      <c r="N693" s="197" t="s">
        <v>833</v>
      </c>
    </row>
    <row r="694" spans="1:14">
      <c r="A694" s="262"/>
      <c r="B694" s="262"/>
      <c r="C694" s="197">
        <v>5</v>
      </c>
      <c r="D694" s="262"/>
      <c r="E694" s="198">
        <v>0</v>
      </c>
      <c r="F694" s="197" t="s">
        <v>227</v>
      </c>
      <c r="G694" s="199" t="s">
        <v>327</v>
      </c>
      <c r="H694" s="200"/>
      <c r="I694" s="200"/>
      <c r="J694" s="200"/>
      <c r="K694" s="199"/>
      <c r="L694" s="200"/>
      <c r="M694" s="200"/>
      <c r="N694" s="197"/>
    </row>
    <row r="695" spans="1:14">
      <c r="A695" s="262"/>
      <c r="B695" s="262"/>
      <c r="C695" s="197">
        <v>6</v>
      </c>
      <c r="D695" s="262"/>
      <c r="E695" s="198">
        <v>0</v>
      </c>
      <c r="F695" s="197" t="s">
        <v>227</v>
      </c>
      <c r="G695" s="199" t="s">
        <v>720</v>
      </c>
      <c r="H695" s="200"/>
      <c r="I695" s="200"/>
      <c r="J695" s="200"/>
      <c r="K695" s="199"/>
      <c r="L695" s="200"/>
      <c r="M695" s="200"/>
      <c r="N695" s="197"/>
    </row>
    <row r="696" spans="1:14">
      <c r="A696" s="262"/>
      <c r="B696" s="262"/>
      <c r="C696" s="197">
        <v>7</v>
      </c>
      <c r="D696" s="262"/>
      <c r="E696" s="198">
        <v>0</v>
      </c>
      <c r="F696" s="197" t="s">
        <v>227</v>
      </c>
      <c r="G696" s="199" t="s">
        <v>415</v>
      </c>
      <c r="H696" s="200"/>
      <c r="I696" s="200"/>
      <c r="J696" s="200"/>
      <c r="K696" s="199"/>
      <c r="L696" s="200"/>
      <c r="M696" s="200"/>
      <c r="N696" s="197"/>
    </row>
    <row r="697" spans="1:14">
      <c r="A697" s="262"/>
      <c r="B697" s="262"/>
      <c r="C697" s="197">
        <v>8</v>
      </c>
      <c r="D697" s="262"/>
      <c r="E697" s="198">
        <v>0</v>
      </c>
      <c r="F697" s="197" t="s">
        <v>227</v>
      </c>
      <c r="G697" s="199" t="s">
        <v>721</v>
      </c>
      <c r="H697" s="200"/>
      <c r="I697" s="200"/>
      <c r="J697" s="200"/>
      <c r="K697" s="199"/>
      <c r="L697" s="200"/>
      <c r="M697" s="200"/>
      <c r="N697" s="197"/>
    </row>
    <row r="698" spans="1:14">
      <c r="A698" s="262"/>
      <c r="B698" s="262"/>
      <c r="C698" s="197">
        <v>9</v>
      </c>
      <c r="D698" s="262"/>
      <c r="E698" s="198">
        <v>347.01512600000001</v>
      </c>
      <c r="F698" s="197"/>
      <c r="G698" s="199" t="s">
        <v>834</v>
      </c>
      <c r="H698" s="200"/>
      <c r="I698" s="200"/>
      <c r="J698" s="200"/>
      <c r="K698" s="199"/>
      <c r="L698" s="200"/>
      <c r="M698" s="200"/>
      <c r="N698" s="197"/>
    </row>
    <row r="699" spans="1:14">
      <c r="A699" s="262"/>
      <c r="B699" s="262"/>
      <c r="C699" s="197">
        <v>10</v>
      </c>
      <c r="D699" s="262"/>
      <c r="E699" s="198">
        <v>350.88779699999998</v>
      </c>
      <c r="F699" s="197"/>
      <c r="G699" s="199" t="s">
        <v>835</v>
      </c>
      <c r="H699" s="200"/>
      <c r="I699" s="200"/>
      <c r="J699" s="200"/>
      <c r="K699" s="199"/>
      <c r="L699" s="200"/>
      <c r="M699" s="200"/>
      <c r="N699" s="197"/>
    </row>
    <row r="700" spans="1:14">
      <c r="A700" s="262"/>
      <c r="B700" s="262"/>
      <c r="C700" s="197">
        <v>11</v>
      </c>
      <c r="D700" s="261">
        <v>2</v>
      </c>
      <c r="E700" s="198">
        <v>353.82755900000001</v>
      </c>
      <c r="F700" s="197" t="s">
        <v>227</v>
      </c>
      <c r="G700" s="199" t="s">
        <v>836</v>
      </c>
      <c r="H700" s="200">
        <v>0.495</v>
      </c>
      <c r="I700" s="200">
        <v>1.01</v>
      </c>
      <c r="J700" s="200">
        <v>0.51500000000000001</v>
      </c>
      <c r="K700" s="199" t="s">
        <v>671</v>
      </c>
      <c r="L700" s="200"/>
      <c r="M700" s="200"/>
      <c r="N700" s="197"/>
    </row>
    <row r="701" spans="1:14">
      <c r="A701" s="262"/>
      <c r="B701" s="262"/>
      <c r="C701" s="197">
        <v>12</v>
      </c>
      <c r="D701" s="262"/>
      <c r="E701" s="198">
        <v>424.015601</v>
      </c>
      <c r="F701" s="197"/>
      <c r="G701" s="199" t="s">
        <v>837</v>
      </c>
      <c r="H701" s="200"/>
      <c r="I701" s="200"/>
      <c r="J701" s="200"/>
      <c r="K701" s="199"/>
      <c r="L701" s="200"/>
      <c r="M701" s="200"/>
      <c r="N701" s="197"/>
    </row>
    <row r="702" spans="1:14">
      <c r="A702" s="262"/>
      <c r="B702" s="262"/>
      <c r="C702" s="197">
        <v>13</v>
      </c>
      <c r="D702" s="262"/>
      <c r="E702" s="198">
        <v>414.390916</v>
      </c>
      <c r="F702" s="197"/>
      <c r="G702" s="199" t="s">
        <v>838</v>
      </c>
      <c r="H702" s="200"/>
      <c r="I702" s="200"/>
      <c r="J702" s="200"/>
      <c r="K702" s="199"/>
      <c r="L702" s="200"/>
      <c r="M702" s="200"/>
      <c r="N702" s="197"/>
    </row>
    <row r="703" spans="1:14">
      <c r="A703" s="262"/>
      <c r="B703" s="262"/>
      <c r="C703" s="197">
        <v>14</v>
      </c>
      <c r="D703" s="261">
        <v>3</v>
      </c>
      <c r="E703" s="198">
        <v>337.57626399999998</v>
      </c>
      <c r="F703" s="197" t="s">
        <v>227</v>
      </c>
      <c r="G703" s="199" t="s">
        <v>839</v>
      </c>
      <c r="H703" s="200">
        <v>0.46500000000000002</v>
      </c>
      <c r="I703" s="200">
        <v>1.01</v>
      </c>
      <c r="J703" s="200">
        <v>0.495</v>
      </c>
      <c r="K703" s="199" t="s">
        <v>417</v>
      </c>
      <c r="L703" s="200"/>
      <c r="M703" s="200"/>
      <c r="N703" s="197"/>
    </row>
    <row r="704" spans="1:14">
      <c r="A704" s="262"/>
      <c r="B704" s="262"/>
      <c r="C704" s="197">
        <v>15</v>
      </c>
      <c r="D704" s="262"/>
      <c r="E704" s="198">
        <v>338.526003</v>
      </c>
      <c r="F704" s="197"/>
      <c r="G704" s="199" t="s">
        <v>840</v>
      </c>
      <c r="H704" s="200"/>
      <c r="I704" s="200"/>
      <c r="J704" s="200"/>
      <c r="K704" s="199"/>
      <c r="L704" s="200"/>
      <c r="M704" s="200"/>
      <c r="N704" s="197"/>
    </row>
    <row r="705" spans="1:14">
      <c r="A705" s="262"/>
      <c r="B705" s="262"/>
      <c r="C705" s="197">
        <v>16</v>
      </c>
      <c r="D705" s="262"/>
      <c r="E705" s="198">
        <v>340.44248599999997</v>
      </c>
      <c r="F705" s="197"/>
      <c r="G705" s="199" t="s">
        <v>841</v>
      </c>
      <c r="H705" s="200"/>
      <c r="I705" s="200"/>
      <c r="J705" s="200"/>
      <c r="K705" s="199"/>
      <c r="L705" s="200"/>
      <c r="M705" s="200"/>
      <c r="N705" s="197"/>
    </row>
    <row r="706" spans="1:14">
      <c r="A706" s="262"/>
      <c r="B706" s="262"/>
      <c r="C706" s="197">
        <v>17</v>
      </c>
      <c r="D706" s="261">
        <v>4</v>
      </c>
      <c r="E706" s="198">
        <v>341.781451</v>
      </c>
      <c r="F706" s="197" t="s">
        <v>227</v>
      </c>
      <c r="G706" s="199" t="s">
        <v>842</v>
      </c>
      <c r="H706" s="200">
        <v>0.49</v>
      </c>
      <c r="I706" s="200">
        <v>1.0149999999999999</v>
      </c>
      <c r="J706" s="200">
        <v>0.51</v>
      </c>
      <c r="K706" s="199" t="s">
        <v>417</v>
      </c>
      <c r="L706" s="200"/>
      <c r="M706" s="200"/>
      <c r="N706" s="197"/>
    </row>
    <row r="707" spans="1:14">
      <c r="A707" s="262"/>
      <c r="B707" s="262"/>
      <c r="C707" s="197">
        <v>18</v>
      </c>
      <c r="D707" s="262"/>
      <c r="E707" s="198">
        <v>339.88565</v>
      </c>
      <c r="F707" s="197"/>
      <c r="G707" s="199" t="s">
        <v>843</v>
      </c>
      <c r="H707" s="200"/>
      <c r="I707" s="200"/>
      <c r="J707" s="200"/>
      <c r="K707" s="199"/>
      <c r="L707" s="200"/>
      <c r="M707" s="200"/>
      <c r="N707" s="197"/>
    </row>
    <row r="708" spans="1:14">
      <c r="A708" s="262"/>
      <c r="B708" s="262"/>
      <c r="C708" s="197">
        <v>19</v>
      </c>
      <c r="D708" s="262"/>
      <c r="E708" s="198">
        <v>341.55721399999999</v>
      </c>
      <c r="F708" s="197"/>
      <c r="G708" s="199" t="s">
        <v>844</v>
      </c>
      <c r="H708" s="200"/>
      <c r="I708" s="200"/>
      <c r="J708" s="200"/>
      <c r="K708" s="199"/>
      <c r="L708" s="200"/>
      <c r="M708" s="200"/>
      <c r="N708" s="197"/>
    </row>
    <row r="709" spans="1:14">
      <c r="A709" s="262"/>
      <c r="B709" s="262"/>
      <c r="C709" s="197">
        <v>20</v>
      </c>
      <c r="D709" s="262"/>
      <c r="E709" s="198">
        <v>341.660955</v>
      </c>
      <c r="F709" s="197"/>
      <c r="G709" s="199" t="s">
        <v>845</v>
      </c>
      <c r="H709" s="200"/>
      <c r="I709" s="200"/>
      <c r="J709" s="200"/>
      <c r="K709" s="199"/>
      <c r="L709" s="200"/>
      <c r="M709" s="200"/>
      <c r="N709" s="197"/>
    </row>
    <row r="710" spans="1:14">
      <c r="A710" s="262"/>
      <c r="B710" s="262"/>
      <c r="C710" s="197">
        <v>21</v>
      </c>
      <c r="D710" s="262"/>
      <c r="E710" s="198">
        <v>341.18713400000001</v>
      </c>
      <c r="F710" s="197"/>
      <c r="G710" s="199" t="s">
        <v>846</v>
      </c>
      <c r="H710" s="200"/>
      <c r="I710" s="200"/>
      <c r="J710" s="200"/>
      <c r="K710" s="199"/>
      <c r="L710" s="200"/>
      <c r="M710" s="200"/>
      <c r="N710" s="197"/>
    </row>
    <row r="711" spans="1:14">
      <c r="A711" s="262"/>
      <c r="B711" s="262"/>
      <c r="C711" s="197">
        <v>22</v>
      </c>
      <c r="D711" s="262"/>
      <c r="E711" s="198">
        <v>318.64103899999998</v>
      </c>
      <c r="F711" s="197"/>
      <c r="G711" s="199" t="s">
        <v>847</v>
      </c>
      <c r="H711" s="200"/>
      <c r="I711" s="200"/>
      <c r="J711" s="200"/>
      <c r="K711" s="199"/>
      <c r="L711" s="200"/>
      <c r="M711" s="200"/>
      <c r="N711" s="197"/>
    </row>
    <row r="712" spans="1:14">
      <c r="A712" s="262"/>
      <c r="B712" s="262"/>
      <c r="C712" s="197">
        <v>23</v>
      </c>
      <c r="D712" s="262"/>
      <c r="E712" s="198">
        <v>0</v>
      </c>
      <c r="F712" s="197" t="s">
        <v>227</v>
      </c>
      <c r="G712" s="199" t="s">
        <v>687</v>
      </c>
      <c r="H712" s="200"/>
      <c r="I712" s="200"/>
      <c r="J712" s="200"/>
      <c r="K712" s="199"/>
      <c r="L712" s="200"/>
      <c r="M712" s="200"/>
      <c r="N712" s="197"/>
    </row>
    <row r="713" spans="1:14">
      <c r="A713" s="262"/>
      <c r="B713" s="262"/>
      <c r="C713" s="197">
        <v>24</v>
      </c>
      <c r="D713" s="262"/>
      <c r="E713" s="198">
        <v>0</v>
      </c>
      <c r="F713" s="197" t="s">
        <v>227</v>
      </c>
      <c r="G713" s="199" t="s">
        <v>688</v>
      </c>
      <c r="H713" s="200"/>
      <c r="I713" s="200"/>
      <c r="J713" s="200"/>
      <c r="K713" s="199"/>
      <c r="L713" s="200"/>
      <c r="M713" s="200"/>
      <c r="N713" s="197"/>
    </row>
    <row r="714" spans="1:14">
      <c r="A714" s="262"/>
      <c r="B714" s="262"/>
      <c r="C714" s="197">
        <v>25</v>
      </c>
      <c r="D714" s="261">
        <v>5</v>
      </c>
      <c r="E714" s="198">
        <v>341.069615</v>
      </c>
      <c r="F714" s="197"/>
      <c r="G714" s="199" t="s">
        <v>848</v>
      </c>
      <c r="H714" s="200">
        <v>0.48</v>
      </c>
      <c r="I714" s="200">
        <v>1.01</v>
      </c>
      <c r="J714" s="200">
        <v>0.505</v>
      </c>
      <c r="K714" s="199" t="s">
        <v>417</v>
      </c>
      <c r="L714" s="200"/>
      <c r="M714" s="200"/>
      <c r="N714" s="197"/>
    </row>
    <row r="715" spans="1:14">
      <c r="A715" s="262"/>
      <c r="B715" s="262"/>
      <c r="C715" s="197">
        <v>26</v>
      </c>
      <c r="D715" s="262"/>
      <c r="E715" s="198">
        <v>341.18546500000002</v>
      </c>
      <c r="F715" s="197"/>
      <c r="G715" s="199" t="s">
        <v>849</v>
      </c>
      <c r="H715" s="200"/>
      <c r="I715" s="200"/>
      <c r="J715" s="200"/>
      <c r="K715" s="199"/>
      <c r="L715" s="200"/>
      <c r="M715" s="200"/>
      <c r="N715" s="197"/>
    </row>
    <row r="716" spans="1:14">
      <c r="A716" s="262"/>
      <c r="B716" s="262"/>
      <c r="C716" s="197">
        <v>27</v>
      </c>
      <c r="D716" s="262"/>
      <c r="E716" s="198">
        <v>315.53510499999999</v>
      </c>
      <c r="F716" s="197"/>
      <c r="G716" s="199" t="s">
        <v>850</v>
      </c>
      <c r="H716" s="200"/>
      <c r="I716" s="200"/>
      <c r="J716" s="200"/>
      <c r="K716" s="199"/>
      <c r="L716" s="200"/>
      <c r="M716" s="200"/>
      <c r="N716" s="197"/>
    </row>
    <row r="717" spans="1:14">
      <c r="A717" s="262"/>
      <c r="B717" s="262"/>
      <c r="C717" s="197">
        <v>28</v>
      </c>
      <c r="D717" s="261">
        <v>6</v>
      </c>
      <c r="E717" s="198">
        <v>325.24843099999998</v>
      </c>
      <c r="F717" s="197" t="s">
        <v>227</v>
      </c>
      <c r="G717" s="199" t="s">
        <v>851</v>
      </c>
      <c r="H717" s="200">
        <v>0.48499999999999999</v>
      </c>
      <c r="I717" s="200">
        <v>1.0049999999999999</v>
      </c>
      <c r="J717" s="200">
        <v>0.5</v>
      </c>
      <c r="K717" s="199" t="s">
        <v>417</v>
      </c>
      <c r="L717" s="200"/>
      <c r="M717" s="200"/>
      <c r="N717" s="197"/>
    </row>
    <row r="718" spans="1:14">
      <c r="A718" s="262"/>
      <c r="B718" s="262"/>
      <c r="C718" s="197">
        <v>29</v>
      </c>
      <c r="D718" s="262"/>
      <c r="E718" s="198">
        <v>220.745285</v>
      </c>
      <c r="F718" s="197"/>
      <c r="G718" s="199" t="s">
        <v>852</v>
      </c>
      <c r="H718" s="200"/>
      <c r="I718" s="200"/>
      <c r="J718" s="200"/>
      <c r="K718" s="199"/>
      <c r="L718" s="200"/>
      <c r="M718" s="200"/>
      <c r="N718" s="197"/>
    </row>
    <row r="719" spans="1:14">
      <c r="A719" s="262"/>
      <c r="B719" s="262"/>
      <c r="C719" s="197">
        <v>30</v>
      </c>
      <c r="D719" s="261">
        <v>7</v>
      </c>
      <c r="E719" s="198">
        <v>237.647966</v>
      </c>
      <c r="F719" s="197" t="s">
        <v>227</v>
      </c>
      <c r="G719" s="199" t="s">
        <v>853</v>
      </c>
      <c r="H719" s="200">
        <v>0.48499999999999999</v>
      </c>
      <c r="I719" s="200">
        <v>1.01</v>
      </c>
      <c r="J719" s="200">
        <v>0.505</v>
      </c>
      <c r="K719" s="199" t="s">
        <v>671</v>
      </c>
      <c r="L719" s="200"/>
      <c r="M719" s="200"/>
      <c r="N719" s="197"/>
    </row>
    <row r="720" spans="1:14">
      <c r="A720" s="262"/>
      <c r="B720" s="262"/>
      <c r="C720" s="197">
        <v>31</v>
      </c>
      <c r="D720" s="262"/>
      <c r="E720" s="198">
        <v>237.04633799999999</v>
      </c>
      <c r="F720" s="197"/>
      <c r="G720" s="199" t="s">
        <v>854</v>
      </c>
      <c r="H720" s="200"/>
      <c r="I720" s="200"/>
      <c r="J720" s="200"/>
      <c r="K720" s="199"/>
      <c r="L720" s="200"/>
      <c r="M720" s="200"/>
      <c r="N720" s="197"/>
    </row>
    <row r="721" spans="1:14">
      <c r="A721" s="262"/>
      <c r="B721" s="262"/>
      <c r="C721" s="197">
        <v>32</v>
      </c>
      <c r="D721" s="262"/>
      <c r="E721" s="198">
        <v>238.10201799999999</v>
      </c>
      <c r="F721" s="197"/>
      <c r="G721" s="199" t="s">
        <v>855</v>
      </c>
      <c r="H721" s="200"/>
      <c r="I721" s="200"/>
      <c r="J721" s="200"/>
      <c r="K721" s="199"/>
      <c r="L721" s="200"/>
      <c r="M721" s="200"/>
      <c r="N721" s="197"/>
    </row>
    <row r="722" spans="1:14">
      <c r="A722" s="262"/>
      <c r="B722" s="262"/>
      <c r="C722" s="197">
        <v>33</v>
      </c>
      <c r="D722" s="261">
        <v>8</v>
      </c>
      <c r="E722" s="198">
        <v>232.717682</v>
      </c>
      <c r="F722" s="197" t="s">
        <v>227</v>
      </c>
      <c r="G722" s="199" t="s">
        <v>856</v>
      </c>
      <c r="H722" s="200">
        <v>0.49</v>
      </c>
      <c r="I722" s="200">
        <v>1.0149999999999999</v>
      </c>
      <c r="J722" s="200">
        <v>0.5</v>
      </c>
      <c r="K722" s="199" t="s">
        <v>229</v>
      </c>
      <c r="L722" s="200"/>
      <c r="M722" s="200"/>
      <c r="N722" s="197"/>
    </row>
    <row r="723" spans="1:14">
      <c r="A723" s="262"/>
      <c r="B723" s="262"/>
      <c r="C723" s="197">
        <v>34</v>
      </c>
      <c r="D723" s="262"/>
      <c r="E723" s="198">
        <v>236.531586</v>
      </c>
      <c r="F723" s="197"/>
      <c r="G723" s="199" t="s">
        <v>857</v>
      </c>
      <c r="H723" s="200"/>
      <c r="I723" s="200"/>
      <c r="J723" s="200"/>
      <c r="K723" s="199"/>
      <c r="L723" s="200"/>
      <c r="M723" s="200"/>
      <c r="N723" s="197"/>
    </row>
    <row r="724" spans="1:14">
      <c r="A724" s="262"/>
      <c r="B724" s="262"/>
      <c r="C724" s="197">
        <v>35</v>
      </c>
      <c r="D724" s="262"/>
      <c r="E724" s="198">
        <v>227.353148</v>
      </c>
      <c r="F724" s="197"/>
      <c r="G724" s="199" t="s">
        <v>858</v>
      </c>
      <c r="H724" s="200"/>
      <c r="I724" s="200"/>
      <c r="J724" s="200"/>
      <c r="K724" s="199"/>
      <c r="L724" s="200"/>
      <c r="M724" s="200"/>
      <c r="N724" s="197"/>
    </row>
    <row r="725" spans="1:14">
      <c r="A725" s="262"/>
      <c r="B725" s="262"/>
      <c r="C725" s="197">
        <v>36</v>
      </c>
      <c r="D725" s="262"/>
      <c r="E725" s="198">
        <v>227.353148</v>
      </c>
      <c r="F725" s="197"/>
      <c r="G725" s="199" t="s">
        <v>859</v>
      </c>
      <c r="H725" s="200"/>
      <c r="I725" s="200"/>
      <c r="J725" s="200"/>
      <c r="K725" s="199"/>
      <c r="L725" s="200"/>
      <c r="M725" s="200"/>
      <c r="N725" s="197"/>
    </row>
    <row r="726" spans="1:14">
      <c r="A726" s="262"/>
      <c r="B726" s="262"/>
      <c r="C726" s="197">
        <v>37</v>
      </c>
      <c r="D726" s="262"/>
      <c r="E726" s="198">
        <v>0</v>
      </c>
      <c r="F726" s="197" t="s">
        <v>227</v>
      </c>
      <c r="G726" s="199" t="s">
        <v>268</v>
      </c>
      <c r="H726" s="200"/>
      <c r="I726" s="200"/>
      <c r="J726" s="200"/>
      <c r="K726" s="199"/>
      <c r="L726" s="200"/>
      <c r="M726" s="200"/>
      <c r="N726" s="197"/>
    </row>
    <row r="727" spans="1:14">
      <c r="A727" s="262"/>
      <c r="B727" s="262"/>
      <c r="C727" s="197">
        <v>38</v>
      </c>
      <c r="D727" s="262"/>
      <c r="E727" s="198">
        <v>0</v>
      </c>
      <c r="F727" s="197" t="s">
        <v>227</v>
      </c>
      <c r="G727" s="199" t="s">
        <v>269</v>
      </c>
      <c r="H727" s="200"/>
      <c r="I727" s="200"/>
      <c r="J727" s="200"/>
      <c r="K727" s="199"/>
      <c r="L727" s="200"/>
      <c r="M727" s="200"/>
      <c r="N727" s="197"/>
    </row>
    <row r="728" spans="1:14">
      <c r="A728" s="262"/>
      <c r="B728" s="262"/>
      <c r="C728" s="197">
        <v>39</v>
      </c>
      <c r="D728" s="262"/>
      <c r="E728" s="198">
        <v>0</v>
      </c>
      <c r="F728" s="197" t="s">
        <v>227</v>
      </c>
      <c r="G728" s="199" t="s">
        <v>270</v>
      </c>
      <c r="H728" s="200"/>
      <c r="I728" s="200"/>
      <c r="J728" s="200"/>
      <c r="K728" s="199"/>
      <c r="L728" s="200"/>
      <c r="M728" s="200"/>
      <c r="N728" s="197"/>
    </row>
    <row r="729" spans="1:14">
      <c r="A729" s="262"/>
      <c r="B729" s="262"/>
      <c r="C729" s="197">
        <v>40</v>
      </c>
      <c r="D729" s="262"/>
      <c r="E729" s="198">
        <v>0</v>
      </c>
      <c r="F729" s="197" t="s">
        <v>227</v>
      </c>
      <c r="G729" s="199" t="s">
        <v>271</v>
      </c>
      <c r="H729" s="200"/>
      <c r="I729" s="200"/>
      <c r="J729" s="200"/>
      <c r="K729" s="199"/>
      <c r="L729" s="200"/>
      <c r="M729" s="200"/>
      <c r="N729" s="197"/>
    </row>
    <row r="730" spans="1:14">
      <c r="A730" s="262"/>
      <c r="B730" s="262"/>
      <c r="C730" s="197">
        <v>41</v>
      </c>
      <c r="D730" s="261">
        <v>9</v>
      </c>
      <c r="E730" s="198">
        <v>323.45842299999998</v>
      </c>
      <c r="F730" s="197"/>
      <c r="G730" s="199" t="s">
        <v>860</v>
      </c>
      <c r="H730" s="200">
        <v>0.49</v>
      </c>
      <c r="I730" s="200">
        <v>1.01</v>
      </c>
      <c r="J730" s="200">
        <v>0.505</v>
      </c>
      <c r="K730" s="199" t="s">
        <v>671</v>
      </c>
      <c r="L730" s="200"/>
      <c r="M730" s="200"/>
      <c r="N730" s="197"/>
    </row>
    <row r="731" spans="1:14">
      <c r="A731" s="262"/>
      <c r="B731" s="262"/>
      <c r="C731" s="197">
        <v>42</v>
      </c>
      <c r="D731" s="262"/>
      <c r="E731" s="198">
        <v>326.082224</v>
      </c>
      <c r="F731" s="197"/>
      <c r="G731" s="199" t="s">
        <v>861</v>
      </c>
      <c r="H731" s="200"/>
      <c r="I731" s="200"/>
      <c r="J731" s="200"/>
      <c r="K731" s="199"/>
      <c r="L731" s="200"/>
      <c r="M731" s="200"/>
      <c r="N731" s="197"/>
    </row>
    <row r="732" spans="1:14">
      <c r="A732" s="262"/>
      <c r="B732" s="262"/>
      <c r="C732" s="197">
        <v>43</v>
      </c>
      <c r="D732" s="262"/>
      <c r="E732" s="198">
        <v>0</v>
      </c>
      <c r="F732" s="197" t="s">
        <v>227</v>
      </c>
      <c r="G732" s="199" t="s">
        <v>274</v>
      </c>
      <c r="H732" s="200"/>
      <c r="I732" s="200"/>
      <c r="J732" s="200"/>
      <c r="K732" s="199"/>
      <c r="L732" s="200"/>
      <c r="M732" s="200"/>
      <c r="N732" s="197"/>
    </row>
    <row r="733" spans="1:14">
      <c r="A733" s="262"/>
      <c r="B733" s="262"/>
      <c r="C733" s="197">
        <v>44</v>
      </c>
      <c r="D733" s="261">
        <v>10</v>
      </c>
      <c r="E733" s="198">
        <v>234.57446300000001</v>
      </c>
      <c r="F733" s="197"/>
      <c r="G733" s="199" t="s">
        <v>862</v>
      </c>
      <c r="H733" s="200">
        <v>0.495</v>
      </c>
      <c r="I733" s="200">
        <v>1</v>
      </c>
      <c r="J733" s="200">
        <v>0.5</v>
      </c>
      <c r="K733" s="199" t="s">
        <v>417</v>
      </c>
      <c r="L733" s="200"/>
      <c r="M733" s="200"/>
      <c r="N733" s="197"/>
    </row>
    <row r="734" spans="1:14">
      <c r="A734" s="262"/>
      <c r="B734" s="262"/>
      <c r="C734" s="197">
        <v>45</v>
      </c>
      <c r="D734" s="262"/>
      <c r="E734" s="198">
        <v>0</v>
      </c>
      <c r="F734" s="197" t="s">
        <v>227</v>
      </c>
      <c r="G734" s="199" t="s">
        <v>646</v>
      </c>
      <c r="H734" s="200"/>
      <c r="I734" s="200"/>
      <c r="J734" s="200"/>
      <c r="K734" s="199"/>
      <c r="L734" s="200"/>
      <c r="M734" s="200"/>
      <c r="N734" s="197"/>
    </row>
    <row r="735" spans="1:14">
      <c r="A735" s="262"/>
      <c r="B735" s="262"/>
      <c r="C735" s="197">
        <v>46</v>
      </c>
      <c r="D735" s="261">
        <v>11</v>
      </c>
      <c r="E735" s="198">
        <v>414.768979</v>
      </c>
      <c r="F735" s="197"/>
      <c r="G735" s="199" t="s">
        <v>863</v>
      </c>
      <c r="H735" s="200">
        <v>0.48</v>
      </c>
      <c r="I735" s="200">
        <v>1.01</v>
      </c>
      <c r="J735" s="200">
        <v>0.5</v>
      </c>
      <c r="K735" s="199" t="s">
        <v>229</v>
      </c>
      <c r="L735" s="200"/>
      <c r="M735" s="200"/>
      <c r="N735" s="197"/>
    </row>
    <row r="736" spans="1:14">
      <c r="A736" s="262"/>
      <c r="B736" s="262"/>
      <c r="C736" s="197">
        <v>47</v>
      </c>
      <c r="D736" s="262"/>
      <c r="E736" s="198">
        <v>408.94413900000001</v>
      </c>
      <c r="F736" s="197"/>
      <c r="G736" s="199" t="s">
        <v>864</v>
      </c>
      <c r="H736" s="200"/>
      <c r="I736" s="200"/>
      <c r="J736" s="200"/>
      <c r="K736" s="199"/>
      <c r="L736" s="200"/>
      <c r="M736" s="200"/>
      <c r="N736" s="197"/>
    </row>
    <row r="737" spans="1:14">
      <c r="A737" s="262"/>
      <c r="B737" s="262"/>
      <c r="C737" s="197">
        <v>48</v>
      </c>
      <c r="D737" s="261">
        <v>12</v>
      </c>
      <c r="E737" s="198">
        <v>406.32678199999998</v>
      </c>
      <c r="F737" s="197" t="s">
        <v>227</v>
      </c>
      <c r="G737" s="199" t="s">
        <v>865</v>
      </c>
      <c r="H737" s="200">
        <v>0.52500000000000002</v>
      </c>
      <c r="I737" s="200">
        <v>1.0049999999999999</v>
      </c>
      <c r="J737" s="200">
        <v>0.495</v>
      </c>
      <c r="K737" s="199" t="s">
        <v>671</v>
      </c>
      <c r="L737" s="200"/>
      <c r="M737" s="200"/>
      <c r="N737" s="197"/>
    </row>
    <row r="738" spans="1:14">
      <c r="A738" s="262"/>
      <c r="B738" s="262"/>
      <c r="C738" s="197">
        <v>49</v>
      </c>
      <c r="D738" s="262"/>
      <c r="E738" s="198">
        <v>325.98249499999997</v>
      </c>
      <c r="F738" s="197"/>
      <c r="G738" s="199" t="s">
        <v>866</v>
      </c>
      <c r="H738" s="200"/>
      <c r="I738" s="200"/>
      <c r="J738" s="200"/>
      <c r="K738" s="199"/>
      <c r="L738" s="200"/>
      <c r="M738" s="200"/>
      <c r="N738" s="197"/>
    </row>
    <row r="739" spans="1:14">
      <c r="A739" s="262"/>
      <c r="B739" s="262"/>
      <c r="C739" s="197">
        <v>50</v>
      </c>
      <c r="D739" s="262"/>
      <c r="E739" s="198">
        <v>326.600798</v>
      </c>
      <c r="F739" s="197"/>
      <c r="G739" s="199" t="s">
        <v>867</v>
      </c>
      <c r="H739" s="200"/>
      <c r="I739" s="200"/>
      <c r="J739" s="200"/>
      <c r="K739" s="199"/>
      <c r="L739" s="200"/>
      <c r="M739" s="200"/>
      <c r="N739" s="197"/>
    </row>
    <row r="740" spans="1:14">
      <c r="A740" s="262"/>
      <c r="B740" s="262"/>
      <c r="C740" s="197">
        <v>51</v>
      </c>
      <c r="D740" s="262"/>
      <c r="E740" s="198">
        <v>327.36274600000002</v>
      </c>
      <c r="F740" s="197"/>
      <c r="G740" s="199" t="s">
        <v>868</v>
      </c>
      <c r="H740" s="200"/>
      <c r="I740" s="200"/>
      <c r="J740" s="200"/>
      <c r="K740" s="199"/>
      <c r="L740" s="200"/>
      <c r="M740" s="200"/>
      <c r="N740" s="197"/>
    </row>
    <row r="741" spans="1:14">
      <c r="A741" s="262"/>
      <c r="B741" s="262"/>
      <c r="C741" s="197">
        <v>52</v>
      </c>
      <c r="D741" s="262"/>
      <c r="E741" s="198">
        <v>326.19465000000002</v>
      </c>
      <c r="F741" s="197"/>
      <c r="G741" s="199" t="s">
        <v>869</v>
      </c>
      <c r="H741" s="200"/>
      <c r="I741" s="200"/>
      <c r="J741" s="200"/>
      <c r="K741" s="199"/>
      <c r="L741" s="200"/>
      <c r="M741" s="200"/>
      <c r="N741" s="197"/>
    </row>
    <row r="742" spans="1:14">
      <c r="A742" s="262"/>
      <c r="B742" s="262"/>
      <c r="C742" s="197">
        <v>53</v>
      </c>
      <c r="D742" s="262"/>
      <c r="E742" s="198">
        <v>315.451348</v>
      </c>
      <c r="F742" s="197"/>
      <c r="G742" s="199" t="s">
        <v>870</v>
      </c>
      <c r="H742" s="200"/>
      <c r="I742" s="200"/>
      <c r="J742" s="200"/>
      <c r="K742" s="199"/>
      <c r="L742" s="200"/>
      <c r="M742" s="200"/>
      <c r="N742" s="197"/>
    </row>
    <row r="743" spans="1:14">
      <c r="A743" s="262"/>
      <c r="B743" s="262"/>
      <c r="C743" s="197">
        <v>54</v>
      </c>
      <c r="D743" s="262"/>
      <c r="E743" s="198">
        <v>0</v>
      </c>
      <c r="F743" s="197" t="s">
        <v>227</v>
      </c>
      <c r="G743" s="199" t="s">
        <v>655</v>
      </c>
      <c r="H743" s="200"/>
      <c r="I743" s="200"/>
      <c r="J743" s="200"/>
      <c r="K743" s="199"/>
      <c r="L743" s="200"/>
      <c r="M743" s="200"/>
      <c r="N743" s="197"/>
    </row>
    <row r="744" spans="1:14">
      <c r="A744" s="262"/>
      <c r="B744" s="262"/>
      <c r="C744" s="197">
        <v>55</v>
      </c>
      <c r="D744" s="262"/>
      <c r="E744" s="198">
        <v>0</v>
      </c>
      <c r="F744" s="197" t="s">
        <v>227</v>
      </c>
      <c r="G744" s="199" t="s">
        <v>287</v>
      </c>
      <c r="H744" s="200"/>
      <c r="I744" s="200"/>
      <c r="J744" s="200"/>
      <c r="K744" s="199"/>
      <c r="L744" s="200"/>
      <c r="M744" s="200"/>
      <c r="N744" s="197"/>
    </row>
    <row r="745" spans="1:14">
      <c r="A745" s="262"/>
      <c r="B745" s="262"/>
      <c r="C745" s="197">
        <v>56</v>
      </c>
      <c r="D745" s="262"/>
      <c r="E745" s="198">
        <v>0</v>
      </c>
      <c r="F745" s="197" t="s">
        <v>227</v>
      </c>
      <c r="G745" s="199" t="s">
        <v>288</v>
      </c>
      <c r="H745" s="200"/>
      <c r="I745" s="200"/>
      <c r="J745" s="200"/>
      <c r="K745" s="199"/>
      <c r="L745" s="200"/>
      <c r="M745" s="200"/>
      <c r="N745" s="197"/>
    </row>
    <row r="746" spans="1:14">
      <c r="A746" s="262"/>
      <c r="B746" s="262"/>
      <c r="C746" s="197">
        <v>57</v>
      </c>
      <c r="D746" s="262"/>
      <c r="E746" s="198">
        <v>337.65949899999998</v>
      </c>
      <c r="F746" s="197" t="s">
        <v>281</v>
      </c>
      <c r="G746" s="199" t="s">
        <v>871</v>
      </c>
      <c r="H746" s="200"/>
      <c r="I746" s="200"/>
      <c r="J746" s="200"/>
      <c r="K746" s="199"/>
      <c r="L746" s="200"/>
      <c r="M746" s="200"/>
      <c r="N746" s="197"/>
    </row>
    <row r="747" spans="1:14">
      <c r="A747" s="262"/>
      <c r="B747" s="262"/>
      <c r="C747" s="197">
        <v>58</v>
      </c>
      <c r="D747" s="261">
        <v>13</v>
      </c>
      <c r="E747" s="198">
        <v>342.009456</v>
      </c>
      <c r="F747" s="197" t="s">
        <v>227</v>
      </c>
      <c r="G747" s="199" t="s">
        <v>872</v>
      </c>
      <c r="H747" s="200">
        <v>0.48499999999999999</v>
      </c>
      <c r="I747" s="200">
        <v>1.0049999999999999</v>
      </c>
      <c r="J747" s="200">
        <v>0.5</v>
      </c>
      <c r="K747" s="199" t="s">
        <v>408</v>
      </c>
      <c r="L747" s="200"/>
      <c r="M747" s="200"/>
      <c r="N747" s="197"/>
    </row>
    <row r="748" spans="1:14">
      <c r="A748" s="262"/>
      <c r="B748" s="262"/>
      <c r="C748" s="197">
        <v>59</v>
      </c>
      <c r="D748" s="262"/>
      <c r="E748" s="198">
        <v>340.35336799999999</v>
      </c>
      <c r="F748" s="197"/>
      <c r="G748" s="199" t="s">
        <v>873</v>
      </c>
      <c r="H748" s="200"/>
      <c r="I748" s="200"/>
      <c r="J748" s="200"/>
      <c r="K748" s="199"/>
      <c r="L748" s="200"/>
      <c r="M748" s="200"/>
      <c r="N748" s="197"/>
    </row>
    <row r="749" spans="1:14">
      <c r="A749" s="262"/>
      <c r="B749" s="262"/>
      <c r="C749" s="197">
        <v>60</v>
      </c>
      <c r="D749" s="261">
        <v>14</v>
      </c>
      <c r="E749" s="198">
        <v>329.39643999999998</v>
      </c>
      <c r="F749" s="197" t="s">
        <v>227</v>
      </c>
      <c r="G749" s="199" t="s">
        <v>874</v>
      </c>
      <c r="H749" s="200">
        <v>0.48</v>
      </c>
      <c r="I749" s="200">
        <v>1.0149999999999999</v>
      </c>
      <c r="J749" s="200">
        <v>0.5</v>
      </c>
      <c r="K749" s="199" t="s">
        <v>671</v>
      </c>
      <c r="L749" s="200"/>
      <c r="M749" s="200"/>
      <c r="N749" s="197"/>
    </row>
    <row r="750" spans="1:14">
      <c r="A750" s="262"/>
      <c r="B750" s="262"/>
      <c r="C750" s="197">
        <v>61</v>
      </c>
      <c r="D750" s="262"/>
      <c r="E750" s="198">
        <v>328.77903400000002</v>
      </c>
      <c r="F750" s="197"/>
      <c r="G750" s="199" t="s">
        <v>875</v>
      </c>
      <c r="H750" s="200"/>
      <c r="I750" s="200"/>
      <c r="J750" s="200"/>
      <c r="K750" s="199"/>
      <c r="L750" s="200"/>
      <c r="M750" s="200"/>
      <c r="N750" s="197"/>
    </row>
    <row r="751" spans="1:14">
      <c r="A751" s="262"/>
      <c r="B751" s="262"/>
      <c r="C751" s="197">
        <v>62</v>
      </c>
      <c r="D751" s="261">
        <v>15</v>
      </c>
      <c r="E751" s="198">
        <v>0</v>
      </c>
      <c r="F751" s="197" t="s">
        <v>227</v>
      </c>
      <c r="G751" s="199" t="s">
        <v>876</v>
      </c>
      <c r="H751" s="200">
        <v>0.48</v>
      </c>
      <c r="I751" s="200">
        <v>1.01</v>
      </c>
      <c r="J751" s="200">
        <v>0.49</v>
      </c>
      <c r="K751" s="199" t="s">
        <v>671</v>
      </c>
      <c r="L751" s="200"/>
      <c r="M751" s="200"/>
      <c r="N751" s="197"/>
    </row>
    <row r="752" spans="1:14">
      <c r="A752" s="262"/>
      <c r="B752" s="262"/>
      <c r="C752" s="197">
        <v>63</v>
      </c>
      <c r="D752" s="262"/>
      <c r="E752" s="198">
        <v>232.92254600000001</v>
      </c>
      <c r="F752" s="197"/>
      <c r="G752" s="199" t="s">
        <v>877</v>
      </c>
      <c r="H752" s="200"/>
      <c r="I752" s="200"/>
      <c r="J752" s="200"/>
      <c r="K752" s="199"/>
      <c r="L752" s="200"/>
      <c r="M752" s="200"/>
      <c r="N752" s="197"/>
    </row>
    <row r="753" spans="1:14">
      <c r="A753" s="262"/>
      <c r="B753" s="262"/>
      <c r="C753" s="197">
        <v>64</v>
      </c>
      <c r="D753" s="262"/>
      <c r="E753" s="198">
        <v>238.56599700000001</v>
      </c>
      <c r="F753" s="197"/>
      <c r="G753" s="199" t="s">
        <v>878</v>
      </c>
      <c r="H753" s="200"/>
      <c r="I753" s="200"/>
      <c r="J753" s="200"/>
      <c r="K753" s="199"/>
      <c r="L753" s="200"/>
      <c r="M753" s="200"/>
      <c r="N753" s="197"/>
    </row>
    <row r="754" spans="1:14">
      <c r="A754" s="262"/>
      <c r="B754" s="262"/>
      <c r="C754" s="197">
        <v>65</v>
      </c>
      <c r="D754" s="261">
        <v>16</v>
      </c>
      <c r="E754" s="198">
        <v>240.77712199999999</v>
      </c>
      <c r="F754" s="197" t="s">
        <v>227</v>
      </c>
      <c r="G754" s="199" t="s">
        <v>879</v>
      </c>
      <c r="H754" s="200">
        <v>0.47499999999999998</v>
      </c>
      <c r="I754" s="200">
        <v>1.01</v>
      </c>
      <c r="J754" s="200">
        <v>0.51</v>
      </c>
      <c r="K754" s="199" t="s">
        <v>229</v>
      </c>
      <c r="L754" s="200"/>
      <c r="M754" s="200"/>
      <c r="N754" s="197"/>
    </row>
    <row r="755" spans="1:14">
      <c r="A755" s="262"/>
      <c r="B755" s="262"/>
      <c r="C755" s="197">
        <v>66</v>
      </c>
      <c r="D755" s="262"/>
      <c r="E755" s="198">
        <v>226.94903500000001</v>
      </c>
      <c r="F755" s="197"/>
      <c r="G755" s="199" t="s">
        <v>880</v>
      </c>
      <c r="H755" s="200"/>
      <c r="I755" s="200"/>
      <c r="J755" s="200"/>
      <c r="K755" s="199"/>
      <c r="L755" s="200"/>
      <c r="M755" s="200"/>
      <c r="N755" s="197"/>
    </row>
    <row r="756" spans="1:14">
      <c r="A756" s="262"/>
      <c r="B756" s="262"/>
      <c r="C756" s="197">
        <v>67</v>
      </c>
      <c r="D756" s="262"/>
      <c r="E756" s="198">
        <v>0</v>
      </c>
      <c r="F756" s="197" t="s">
        <v>227</v>
      </c>
      <c r="G756" s="199" t="s">
        <v>718</v>
      </c>
      <c r="H756" s="200"/>
      <c r="I756" s="200"/>
      <c r="J756" s="200"/>
      <c r="K756" s="199"/>
      <c r="L756" s="200"/>
      <c r="M756" s="200"/>
      <c r="N756" s="197"/>
    </row>
    <row r="757" spans="1:14">
      <c r="A757" s="262"/>
      <c r="B757" s="262"/>
      <c r="C757" s="197">
        <v>68</v>
      </c>
      <c r="D757" s="262"/>
      <c r="E757" s="198">
        <v>0</v>
      </c>
      <c r="F757" s="197" t="s">
        <v>227</v>
      </c>
      <c r="G757" s="199" t="s">
        <v>665</v>
      </c>
      <c r="H757" s="200"/>
      <c r="I757" s="200"/>
      <c r="J757" s="200"/>
      <c r="K757" s="199"/>
      <c r="L757" s="200"/>
      <c r="M757" s="200"/>
      <c r="N757" s="197"/>
    </row>
    <row r="758" spans="1:14">
      <c r="A758" s="262"/>
      <c r="B758" s="262"/>
      <c r="C758" s="197">
        <v>69</v>
      </c>
      <c r="D758" s="262"/>
      <c r="E758" s="198">
        <v>0</v>
      </c>
      <c r="F758" s="197" t="s">
        <v>227</v>
      </c>
      <c r="G758" s="199" t="s">
        <v>666</v>
      </c>
      <c r="H758" s="200"/>
      <c r="I758" s="200"/>
      <c r="J758" s="200"/>
      <c r="K758" s="199"/>
      <c r="L758" s="200"/>
      <c r="M758" s="200"/>
      <c r="N758" s="197"/>
    </row>
    <row r="759" spans="1:14">
      <c r="A759" s="262"/>
      <c r="B759" s="262"/>
      <c r="C759" s="197">
        <v>70</v>
      </c>
      <c r="D759" s="262"/>
      <c r="E759" s="198">
        <v>0</v>
      </c>
      <c r="F759" s="197" t="s">
        <v>227</v>
      </c>
      <c r="G759" s="199" t="s">
        <v>667</v>
      </c>
      <c r="H759" s="200"/>
      <c r="I759" s="200"/>
      <c r="J759" s="200"/>
      <c r="K759" s="199"/>
      <c r="L759" s="200"/>
      <c r="M759" s="200"/>
      <c r="N759" s="197"/>
    </row>
    <row r="760" spans="1:14">
      <c r="A760" s="261" t="s">
        <v>881</v>
      </c>
      <c r="B760" s="261">
        <v>4</v>
      </c>
      <c r="C760" s="197">
        <v>1</v>
      </c>
      <c r="D760" s="261">
        <v>1</v>
      </c>
      <c r="E760" s="198">
        <v>0</v>
      </c>
      <c r="F760" s="197" t="s">
        <v>227</v>
      </c>
      <c r="G760" s="199" t="s">
        <v>228</v>
      </c>
      <c r="H760" s="200">
        <v>0.42499999999999999</v>
      </c>
      <c r="I760" s="200">
        <v>1.0249999999999999</v>
      </c>
      <c r="J760" s="200">
        <v>0.54</v>
      </c>
      <c r="K760" s="199" t="s">
        <v>229</v>
      </c>
      <c r="L760" s="200">
        <v>1.6029148254040206E-2</v>
      </c>
      <c r="M760" s="200"/>
      <c r="N760" s="197"/>
    </row>
    <row r="761" spans="1:14">
      <c r="A761" s="262"/>
      <c r="B761" s="262"/>
      <c r="C761" s="197">
        <v>2</v>
      </c>
      <c r="D761" s="262"/>
      <c r="E761" s="198">
        <v>0</v>
      </c>
      <c r="F761" s="197" t="s">
        <v>227</v>
      </c>
      <c r="G761" s="199" t="s">
        <v>230</v>
      </c>
      <c r="H761" s="200"/>
      <c r="I761" s="200"/>
      <c r="J761" s="200"/>
      <c r="K761" s="199"/>
      <c r="L761" s="200">
        <v>1.2774333397481043E-2</v>
      </c>
      <c r="M761" s="200"/>
      <c r="N761" s="197"/>
    </row>
    <row r="762" spans="1:14">
      <c r="A762" s="262"/>
      <c r="B762" s="262"/>
      <c r="C762" s="197">
        <v>3</v>
      </c>
      <c r="D762" s="262"/>
      <c r="E762" s="198">
        <v>0</v>
      </c>
      <c r="F762" s="197" t="s">
        <v>227</v>
      </c>
      <c r="G762" s="199" t="s">
        <v>324</v>
      </c>
      <c r="H762" s="200"/>
      <c r="I762" s="200"/>
      <c r="J762" s="200"/>
      <c r="K762" s="199"/>
      <c r="L762" s="200">
        <v>1.7452502506804E-2</v>
      </c>
      <c r="M762" s="200"/>
      <c r="N762" s="197"/>
    </row>
    <row r="763" spans="1:14">
      <c r="A763" s="262"/>
      <c r="B763" s="262"/>
      <c r="C763" s="197">
        <v>4</v>
      </c>
      <c r="D763" s="262"/>
      <c r="E763" s="198">
        <v>0</v>
      </c>
      <c r="F763" s="197" t="s">
        <v>227</v>
      </c>
      <c r="G763" s="199" t="s">
        <v>325</v>
      </c>
      <c r="H763" s="200"/>
      <c r="I763" s="200"/>
      <c r="J763" s="200"/>
      <c r="K763" s="199"/>
      <c r="L763" s="200"/>
      <c r="M763" s="200" t="s">
        <v>233</v>
      </c>
      <c r="N763" s="197" t="s">
        <v>882</v>
      </c>
    </row>
    <row r="764" spans="1:14">
      <c r="A764" s="262"/>
      <c r="B764" s="262"/>
      <c r="C764" s="197">
        <v>5</v>
      </c>
      <c r="D764" s="262"/>
      <c r="E764" s="198">
        <v>0</v>
      </c>
      <c r="F764" s="197" t="s">
        <v>227</v>
      </c>
      <c r="G764" s="199" t="s">
        <v>327</v>
      </c>
      <c r="H764" s="200"/>
      <c r="I764" s="200"/>
      <c r="J764" s="200"/>
      <c r="K764" s="199"/>
      <c r="L764" s="200"/>
      <c r="M764" s="200"/>
      <c r="N764" s="197"/>
    </row>
    <row r="765" spans="1:14">
      <c r="A765" s="262"/>
      <c r="B765" s="262"/>
      <c r="C765" s="197">
        <v>6</v>
      </c>
      <c r="D765" s="262"/>
      <c r="E765" s="198">
        <v>286.87076100000002</v>
      </c>
      <c r="F765" s="197"/>
      <c r="G765" s="199" t="s">
        <v>883</v>
      </c>
      <c r="H765" s="200"/>
      <c r="I765" s="200"/>
      <c r="J765" s="200"/>
      <c r="K765" s="199"/>
      <c r="L765" s="200"/>
      <c r="M765" s="200"/>
      <c r="N765" s="197"/>
    </row>
    <row r="766" spans="1:14">
      <c r="A766" s="262"/>
      <c r="B766" s="262"/>
      <c r="C766" s="197">
        <v>7</v>
      </c>
      <c r="D766" s="262"/>
      <c r="E766" s="198">
        <v>289.56818199999998</v>
      </c>
      <c r="F766" s="197"/>
      <c r="G766" s="199" t="s">
        <v>884</v>
      </c>
      <c r="H766" s="200"/>
      <c r="I766" s="200"/>
      <c r="J766" s="200"/>
      <c r="K766" s="199"/>
      <c r="L766" s="200"/>
      <c r="M766" s="200"/>
      <c r="N766" s="197"/>
    </row>
    <row r="767" spans="1:14">
      <c r="A767" s="262"/>
      <c r="B767" s="262"/>
      <c r="C767" s="197">
        <v>8</v>
      </c>
      <c r="D767" s="261">
        <v>2</v>
      </c>
      <c r="E767" s="198">
        <v>291.03822100000002</v>
      </c>
      <c r="F767" s="197" t="s">
        <v>227</v>
      </c>
      <c r="G767" s="199" t="s">
        <v>885</v>
      </c>
      <c r="H767" s="200">
        <v>0.48</v>
      </c>
      <c r="I767" s="200">
        <v>1.0049999999999999</v>
      </c>
      <c r="J767" s="200">
        <v>0.55500000000000005</v>
      </c>
      <c r="K767" s="199" t="s">
        <v>229</v>
      </c>
      <c r="L767" s="200"/>
      <c r="M767" s="200"/>
      <c r="N767" s="197"/>
    </row>
    <row r="768" spans="1:14">
      <c r="A768" s="262"/>
      <c r="B768" s="262"/>
      <c r="C768" s="197">
        <v>9</v>
      </c>
      <c r="D768" s="262"/>
      <c r="E768" s="198">
        <v>376.36336699999998</v>
      </c>
      <c r="F768" s="197"/>
      <c r="G768" s="199" t="s">
        <v>886</v>
      </c>
      <c r="H768" s="200"/>
      <c r="I768" s="200"/>
      <c r="J768" s="200"/>
      <c r="K768" s="199"/>
      <c r="L768" s="200"/>
      <c r="M768" s="200"/>
      <c r="N768" s="197"/>
    </row>
    <row r="769" spans="1:14">
      <c r="A769" s="262"/>
      <c r="B769" s="262"/>
      <c r="C769" s="197">
        <v>10</v>
      </c>
      <c r="D769" s="262"/>
      <c r="E769" s="198">
        <v>379.47383400000001</v>
      </c>
      <c r="F769" s="197"/>
      <c r="G769" s="199" t="s">
        <v>887</v>
      </c>
      <c r="H769" s="200"/>
      <c r="I769" s="200"/>
      <c r="J769" s="200"/>
      <c r="K769" s="199"/>
      <c r="L769" s="200"/>
      <c r="M769" s="200"/>
      <c r="N769" s="197"/>
    </row>
    <row r="770" spans="1:14">
      <c r="A770" s="262"/>
      <c r="B770" s="262"/>
      <c r="C770" s="197">
        <v>11</v>
      </c>
      <c r="D770" s="261">
        <v>3</v>
      </c>
      <c r="E770" s="198">
        <v>0</v>
      </c>
      <c r="F770" s="197" t="s">
        <v>227</v>
      </c>
      <c r="G770" s="199" t="s">
        <v>242</v>
      </c>
      <c r="H770" s="200">
        <v>0.45500000000000002</v>
      </c>
      <c r="I770" s="200">
        <v>1.01</v>
      </c>
      <c r="J770" s="200">
        <v>0.56000000000000005</v>
      </c>
      <c r="K770" s="199" t="s">
        <v>229</v>
      </c>
      <c r="L770" s="200"/>
      <c r="M770" s="200"/>
      <c r="N770" s="197"/>
    </row>
    <row r="771" spans="1:14">
      <c r="A771" s="262"/>
      <c r="B771" s="262"/>
      <c r="C771" s="197">
        <v>12</v>
      </c>
      <c r="D771" s="262"/>
      <c r="E771" s="198">
        <v>298.30154700000003</v>
      </c>
      <c r="F771" s="197"/>
      <c r="G771" s="199" t="s">
        <v>888</v>
      </c>
      <c r="H771" s="200"/>
      <c r="I771" s="200"/>
      <c r="J771" s="200"/>
      <c r="K771" s="199"/>
      <c r="L771" s="200"/>
      <c r="M771" s="200"/>
      <c r="N771" s="197"/>
    </row>
    <row r="772" spans="1:14">
      <c r="A772" s="262"/>
      <c r="B772" s="262"/>
      <c r="C772" s="197">
        <v>13</v>
      </c>
      <c r="D772" s="262"/>
      <c r="E772" s="198">
        <v>296.25720200000001</v>
      </c>
      <c r="F772" s="197"/>
      <c r="G772" s="199" t="s">
        <v>889</v>
      </c>
      <c r="H772" s="200"/>
      <c r="I772" s="200"/>
      <c r="J772" s="200"/>
      <c r="K772" s="199"/>
      <c r="L772" s="200"/>
      <c r="M772" s="200"/>
      <c r="N772" s="197"/>
    </row>
    <row r="773" spans="1:14">
      <c r="A773" s="262"/>
      <c r="B773" s="262"/>
      <c r="C773" s="197">
        <v>14</v>
      </c>
      <c r="D773" s="261">
        <v>4</v>
      </c>
      <c r="E773" s="198">
        <v>292.425837</v>
      </c>
      <c r="F773" s="197" t="s">
        <v>227</v>
      </c>
      <c r="G773" s="199" t="s">
        <v>890</v>
      </c>
      <c r="H773" s="200">
        <v>0.46500000000000002</v>
      </c>
      <c r="I773" s="200">
        <v>0.98499999999999999</v>
      </c>
      <c r="J773" s="200">
        <v>0.52</v>
      </c>
      <c r="K773" s="199" t="s">
        <v>229</v>
      </c>
      <c r="L773" s="200"/>
      <c r="M773" s="200"/>
      <c r="N773" s="197"/>
    </row>
    <row r="774" spans="1:14">
      <c r="A774" s="262"/>
      <c r="B774" s="262"/>
      <c r="C774" s="197">
        <v>15</v>
      </c>
      <c r="D774" s="262"/>
      <c r="E774" s="198">
        <v>0</v>
      </c>
      <c r="F774" s="197" t="s">
        <v>227</v>
      </c>
      <c r="G774" s="199" t="s">
        <v>246</v>
      </c>
      <c r="H774" s="200"/>
      <c r="I774" s="200"/>
      <c r="J774" s="200"/>
      <c r="K774" s="199"/>
      <c r="L774" s="200"/>
      <c r="M774" s="200"/>
      <c r="N774" s="197"/>
    </row>
    <row r="775" spans="1:14">
      <c r="A775" s="262"/>
      <c r="B775" s="262"/>
      <c r="C775" s="197">
        <v>16</v>
      </c>
      <c r="D775" s="262"/>
      <c r="E775" s="198">
        <v>298.71561500000001</v>
      </c>
      <c r="F775" s="197"/>
      <c r="G775" s="199" t="s">
        <v>891</v>
      </c>
      <c r="H775" s="200"/>
      <c r="I775" s="200"/>
      <c r="J775" s="200"/>
      <c r="K775" s="199"/>
      <c r="L775" s="200"/>
      <c r="M775" s="200"/>
      <c r="N775" s="197"/>
    </row>
    <row r="776" spans="1:14">
      <c r="A776" s="262"/>
      <c r="B776" s="262"/>
      <c r="C776" s="197">
        <v>17</v>
      </c>
      <c r="D776" s="262"/>
      <c r="E776" s="198">
        <v>293.88628</v>
      </c>
      <c r="F776" s="197"/>
      <c r="G776" s="199" t="s">
        <v>892</v>
      </c>
      <c r="H776" s="200"/>
      <c r="I776" s="200"/>
      <c r="J776" s="200"/>
      <c r="K776" s="199"/>
      <c r="L776" s="200"/>
      <c r="M776" s="200"/>
      <c r="N776" s="197"/>
    </row>
    <row r="777" spans="1:14">
      <c r="A777" s="262"/>
      <c r="B777" s="262"/>
      <c r="C777" s="197">
        <v>18</v>
      </c>
      <c r="D777" s="262"/>
      <c r="E777" s="198">
        <v>289.496735</v>
      </c>
      <c r="F777" s="197"/>
      <c r="G777" s="199" t="s">
        <v>893</v>
      </c>
      <c r="H777" s="200"/>
      <c r="I777" s="200"/>
      <c r="J777" s="200"/>
      <c r="K777" s="199"/>
      <c r="L777" s="200"/>
      <c r="M777" s="200"/>
      <c r="N777" s="197"/>
    </row>
    <row r="778" spans="1:14">
      <c r="A778" s="262"/>
      <c r="B778" s="262"/>
      <c r="C778" s="197">
        <v>19</v>
      </c>
      <c r="D778" s="262"/>
      <c r="E778" s="198">
        <v>212.805657</v>
      </c>
      <c r="F778" s="197"/>
      <c r="G778" s="199" t="s">
        <v>894</v>
      </c>
      <c r="H778" s="200"/>
      <c r="I778" s="200"/>
      <c r="J778" s="200"/>
      <c r="K778" s="199"/>
      <c r="L778" s="200"/>
      <c r="M778" s="200"/>
      <c r="N778" s="197"/>
    </row>
    <row r="779" spans="1:14">
      <c r="A779" s="262"/>
      <c r="B779" s="262"/>
      <c r="C779" s="197">
        <v>20</v>
      </c>
      <c r="D779" s="262"/>
      <c r="E779" s="198">
        <v>0</v>
      </c>
      <c r="F779" s="197" t="s">
        <v>227</v>
      </c>
      <c r="G779" s="199" t="s">
        <v>686</v>
      </c>
      <c r="H779" s="200"/>
      <c r="I779" s="200"/>
      <c r="J779" s="200"/>
      <c r="K779" s="199"/>
      <c r="L779" s="200"/>
      <c r="M779" s="200"/>
      <c r="N779" s="197"/>
    </row>
    <row r="780" spans="1:14">
      <c r="A780" s="262"/>
      <c r="B780" s="262"/>
      <c r="C780" s="197">
        <v>21</v>
      </c>
      <c r="D780" s="262"/>
      <c r="E780" s="198">
        <v>0</v>
      </c>
      <c r="F780" s="197" t="s">
        <v>227</v>
      </c>
      <c r="G780" s="199" t="s">
        <v>252</v>
      </c>
      <c r="H780" s="200"/>
      <c r="I780" s="200"/>
      <c r="J780" s="200"/>
      <c r="K780" s="199"/>
      <c r="L780" s="200"/>
      <c r="M780" s="200"/>
      <c r="N780" s="197"/>
    </row>
    <row r="781" spans="1:14">
      <c r="A781" s="262"/>
      <c r="B781" s="262"/>
      <c r="C781" s="197">
        <v>22</v>
      </c>
      <c r="D781" s="262"/>
      <c r="E781" s="198">
        <v>0</v>
      </c>
      <c r="F781" s="197" t="s">
        <v>227</v>
      </c>
      <c r="G781" s="199" t="s">
        <v>253</v>
      </c>
      <c r="H781" s="200"/>
      <c r="I781" s="200"/>
      <c r="J781" s="200"/>
      <c r="K781" s="199"/>
      <c r="L781" s="200"/>
      <c r="M781" s="200"/>
      <c r="N781" s="197"/>
    </row>
    <row r="782" spans="1:14">
      <c r="A782" s="262"/>
      <c r="B782" s="262"/>
      <c r="C782" s="197">
        <v>23</v>
      </c>
      <c r="D782" s="261">
        <v>5</v>
      </c>
      <c r="E782" s="198">
        <v>290.640534</v>
      </c>
      <c r="F782" s="197"/>
      <c r="G782" s="199" t="s">
        <v>895</v>
      </c>
      <c r="H782" s="200">
        <v>0.435</v>
      </c>
      <c r="I782" s="200">
        <v>1</v>
      </c>
      <c r="J782" s="200">
        <v>0.52500000000000002</v>
      </c>
      <c r="K782" s="199" t="s">
        <v>229</v>
      </c>
      <c r="L782" s="200"/>
      <c r="M782" s="200"/>
      <c r="N782" s="197"/>
    </row>
    <row r="783" spans="1:14">
      <c r="A783" s="262"/>
      <c r="B783" s="262"/>
      <c r="C783" s="197">
        <v>24</v>
      </c>
      <c r="D783" s="262"/>
      <c r="E783" s="198">
        <v>292.86105500000002</v>
      </c>
      <c r="F783" s="197"/>
      <c r="G783" s="199" t="s">
        <v>896</v>
      </c>
      <c r="H783" s="200"/>
      <c r="I783" s="200"/>
      <c r="J783" s="200"/>
      <c r="K783" s="199"/>
      <c r="L783" s="200"/>
      <c r="M783" s="200"/>
      <c r="N783" s="197"/>
    </row>
    <row r="784" spans="1:14">
      <c r="A784" s="262"/>
      <c r="B784" s="262"/>
      <c r="C784" s="197">
        <v>25</v>
      </c>
      <c r="D784" s="262"/>
      <c r="E784" s="198">
        <v>285.69867900000003</v>
      </c>
      <c r="F784" s="197"/>
      <c r="G784" s="199" t="s">
        <v>897</v>
      </c>
      <c r="H784" s="200"/>
      <c r="I784" s="200"/>
      <c r="J784" s="200"/>
      <c r="K784" s="199"/>
      <c r="L784" s="200"/>
      <c r="M784" s="200"/>
      <c r="N784" s="197"/>
    </row>
    <row r="785" spans="1:14">
      <c r="A785" s="262"/>
      <c r="B785" s="262"/>
      <c r="C785" s="197">
        <v>26</v>
      </c>
      <c r="D785" s="261">
        <v>6</v>
      </c>
      <c r="E785" s="198">
        <v>0</v>
      </c>
      <c r="F785" s="197" t="s">
        <v>227</v>
      </c>
      <c r="G785" s="199" t="s">
        <v>898</v>
      </c>
      <c r="H785" s="200">
        <v>0.46</v>
      </c>
      <c r="I785" s="200">
        <v>1.02</v>
      </c>
      <c r="J785" s="200">
        <v>0.52</v>
      </c>
      <c r="K785" s="199" t="s">
        <v>229</v>
      </c>
      <c r="L785" s="200"/>
      <c r="M785" s="200"/>
      <c r="N785" s="197"/>
    </row>
    <row r="786" spans="1:14">
      <c r="A786" s="262"/>
      <c r="B786" s="262"/>
      <c r="C786" s="197">
        <v>27</v>
      </c>
      <c r="D786" s="262"/>
      <c r="E786" s="198">
        <v>265.40251699999999</v>
      </c>
      <c r="F786" s="197"/>
      <c r="G786" s="199" t="s">
        <v>899</v>
      </c>
      <c r="H786" s="200"/>
      <c r="I786" s="200"/>
      <c r="J786" s="200"/>
      <c r="K786" s="199"/>
      <c r="L786" s="200"/>
      <c r="M786" s="200"/>
      <c r="N786" s="197"/>
    </row>
    <row r="787" spans="1:14">
      <c r="A787" s="262"/>
      <c r="B787" s="262"/>
      <c r="C787" s="197">
        <v>28</v>
      </c>
      <c r="D787" s="262"/>
      <c r="E787" s="198">
        <v>266.24873100000002</v>
      </c>
      <c r="F787" s="197"/>
      <c r="G787" s="199" t="s">
        <v>900</v>
      </c>
      <c r="H787" s="200"/>
      <c r="I787" s="200"/>
      <c r="J787" s="200"/>
      <c r="K787" s="199"/>
      <c r="L787" s="200"/>
      <c r="M787" s="200"/>
      <c r="N787" s="197"/>
    </row>
    <row r="788" spans="1:14">
      <c r="A788" s="262"/>
      <c r="B788" s="262"/>
      <c r="C788" s="197">
        <v>29</v>
      </c>
      <c r="D788" s="261">
        <v>7</v>
      </c>
      <c r="E788" s="198">
        <v>0</v>
      </c>
      <c r="F788" s="197" t="s">
        <v>227</v>
      </c>
      <c r="G788" s="199" t="s">
        <v>901</v>
      </c>
      <c r="H788" s="200">
        <v>0.44500000000000001</v>
      </c>
      <c r="I788" s="200">
        <v>1</v>
      </c>
      <c r="J788" s="200">
        <v>0.53500000000000003</v>
      </c>
      <c r="K788" s="199" t="s">
        <v>229</v>
      </c>
      <c r="L788" s="200"/>
      <c r="M788" s="200"/>
      <c r="N788" s="197"/>
    </row>
    <row r="789" spans="1:14">
      <c r="A789" s="262"/>
      <c r="B789" s="262"/>
      <c r="C789" s="197">
        <v>30</v>
      </c>
      <c r="D789" s="262"/>
      <c r="E789" s="198">
        <v>208.51518100000001</v>
      </c>
      <c r="F789" s="197"/>
      <c r="G789" s="199" t="s">
        <v>902</v>
      </c>
      <c r="H789" s="200"/>
      <c r="I789" s="200"/>
      <c r="J789" s="200"/>
      <c r="K789" s="199"/>
      <c r="L789" s="200"/>
      <c r="M789" s="200"/>
      <c r="N789" s="197"/>
    </row>
    <row r="790" spans="1:14">
      <c r="A790" s="262"/>
      <c r="B790" s="262"/>
      <c r="C790" s="197">
        <v>31</v>
      </c>
      <c r="D790" s="262"/>
      <c r="E790" s="198">
        <v>209.462422</v>
      </c>
      <c r="F790" s="197"/>
      <c r="G790" s="199" t="s">
        <v>903</v>
      </c>
      <c r="H790" s="200"/>
      <c r="I790" s="200"/>
      <c r="J790" s="200"/>
      <c r="K790" s="199"/>
      <c r="L790" s="200"/>
      <c r="M790" s="200"/>
      <c r="N790" s="197"/>
    </row>
    <row r="791" spans="1:14">
      <c r="A791" s="262"/>
      <c r="B791" s="262"/>
      <c r="C791" s="197">
        <v>32</v>
      </c>
      <c r="D791" s="261">
        <v>8</v>
      </c>
      <c r="E791" s="198">
        <v>0</v>
      </c>
      <c r="F791" s="197" t="s">
        <v>227</v>
      </c>
      <c r="G791" s="199" t="s">
        <v>904</v>
      </c>
      <c r="H791" s="200">
        <v>0.42</v>
      </c>
      <c r="I791" s="200">
        <v>0.995</v>
      </c>
      <c r="J791" s="200">
        <v>0.52</v>
      </c>
      <c r="K791" s="199" t="s">
        <v>229</v>
      </c>
      <c r="L791" s="200"/>
      <c r="M791" s="200"/>
      <c r="N791" s="197"/>
    </row>
    <row r="792" spans="1:14">
      <c r="A792" s="262"/>
      <c r="B792" s="262"/>
      <c r="C792" s="197">
        <v>33</v>
      </c>
      <c r="D792" s="262"/>
      <c r="E792" s="198">
        <v>0</v>
      </c>
      <c r="F792" s="197" t="s">
        <v>227</v>
      </c>
      <c r="G792" s="199" t="s">
        <v>905</v>
      </c>
      <c r="H792" s="200"/>
      <c r="I792" s="200"/>
      <c r="J792" s="200"/>
      <c r="K792" s="199"/>
      <c r="L792" s="200"/>
      <c r="M792" s="200"/>
      <c r="N792" s="197"/>
    </row>
    <row r="793" spans="1:14">
      <c r="A793" s="262"/>
      <c r="B793" s="262"/>
      <c r="C793" s="197">
        <v>34</v>
      </c>
      <c r="D793" s="262"/>
      <c r="E793" s="198">
        <v>0</v>
      </c>
      <c r="F793" s="197" t="s">
        <v>227</v>
      </c>
      <c r="G793" s="199" t="s">
        <v>698</v>
      </c>
      <c r="H793" s="200"/>
      <c r="I793" s="200"/>
      <c r="J793" s="200"/>
      <c r="K793" s="199"/>
      <c r="L793" s="200"/>
      <c r="M793" s="200"/>
      <c r="N793" s="197"/>
    </row>
    <row r="794" spans="1:14">
      <c r="A794" s="262"/>
      <c r="B794" s="262"/>
      <c r="C794" s="197">
        <v>35</v>
      </c>
      <c r="D794" s="262"/>
      <c r="E794" s="198">
        <v>0</v>
      </c>
      <c r="F794" s="197" t="s">
        <v>227</v>
      </c>
      <c r="G794" s="199" t="s">
        <v>266</v>
      </c>
      <c r="H794" s="200"/>
      <c r="I794" s="200"/>
      <c r="J794" s="200"/>
      <c r="K794" s="199"/>
      <c r="L794" s="200"/>
      <c r="M794" s="200"/>
      <c r="N794" s="197"/>
    </row>
    <row r="795" spans="1:14">
      <c r="A795" s="262"/>
      <c r="B795" s="262"/>
      <c r="C795" s="197">
        <v>36</v>
      </c>
      <c r="D795" s="262"/>
      <c r="E795" s="198">
        <v>0</v>
      </c>
      <c r="F795" s="197" t="s">
        <v>227</v>
      </c>
      <c r="G795" s="199" t="s">
        <v>267</v>
      </c>
      <c r="H795" s="200"/>
      <c r="I795" s="200"/>
      <c r="J795" s="200"/>
      <c r="K795" s="199"/>
      <c r="L795" s="200"/>
      <c r="M795" s="200"/>
      <c r="N795" s="197"/>
    </row>
    <row r="796" spans="1:14">
      <c r="A796" s="262"/>
      <c r="B796" s="262"/>
      <c r="C796" s="197">
        <v>37</v>
      </c>
      <c r="D796" s="262"/>
      <c r="E796" s="198">
        <v>0</v>
      </c>
      <c r="F796" s="197" t="s">
        <v>227</v>
      </c>
      <c r="G796" s="199" t="s">
        <v>268</v>
      </c>
      <c r="H796" s="200"/>
      <c r="I796" s="200"/>
      <c r="J796" s="200"/>
      <c r="K796" s="199"/>
      <c r="L796" s="200"/>
      <c r="M796" s="200"/>
      <c r="N796" s="197"/>
    </row>
    <row r="797" spans="1:14">
      <c r="A797" s="262"/>
      <c r="B797" s="262"/>
      <c r="C797" s="197">
        <v>38</v>
      </c>
      <c r="D797" s="262"/>
      <c r="E797" s="198">
        <v>0</v>
      </c>
      <c r="F797" s="197" t="s">
        <v>227</v>
      </c>
      <c r="G797" s="199" t="s">
        <v>269</v>
      </c>
      <c r="H797" s="200"/>
      <c r="I797" s="200"/>
      <c r="J797" s="200"/>
      <c r="K797" s="199"/>
      <c r="L797" s="200"/>
      <c r="M797" s="200"/>
      <c r="N797" s="197"/>
    </row>
    <row r="798" spans="1:14">
      <c r="A798" s="262"/>
      <c r="B798" s="262"/>
      <c r="C798" s="197">
        <v>39</v>
      </c>
      <c r="D798" s="262"/>
      <c r="E798" s="198">
        <v>0</v>
      </c>
      <c r="F798" s="197" t="s">
        <v>227</v>
      </c>
      <c r="G798" s="199" t="s">
        <v>270</v>
      </c>
      <c r="H798" s="200"/>
      <c r="I798" s="200"/>
      <c r="J798" s="200"/>
      <c r="K798" s="199"/>
      <c r="L798" s="200"/>
      <c r="M798" s="200"/>
      <c r="N798" s="197"/>
    </row>
    <row r="799" spans="1:14">
      <c r="A799" s="262"/>
      <c r="B799" s="262"/>
      <c r="C799" s="197">
        <v>40</v>
      </c>
      <c r="D799" s="261">
        <v>9</v>
      </c>
      <c r="E799" s="198">
        <v>0</v>
      </c>
      <c r="F799" s="197" t="s">
        <v>227</v>
      </c>
      <c r="G799" s="199" t="s">
        <v>906</v>
      </c>
      <c r="H799" s="200">
        <v>0.46</v>
      </c>
      <c r="I799" s="200">
        <v>1.0149999999999999</v>
      </c>
      <c r="J799" s="200">
        <v>0.53500000000000003</v>
      </c>
      <c r="K799" s="199" t="s">
        <v>229</v>
      </c>
      <c r="L799" s="200"/>
      <c r="M799" s="200"/>
      <c r="N799" s="197"/>
    </row>
    <row r="800" spans="1:14">
      <c r="A800" s="262"/>
      <c r="B800" s="262"/>
      <c r="C800" s="197">
        <v>41</v>
      </c>
      <c r="D800" s="262"/>
      <c r="E800" s="198">
        <v>266.15505200000001</v>
      </c>
      <c r="F800" s="197"/>
      <c r="G800" s="199" t="s">
        <v>907</v>
      </c>
      <c r="H800" s="200"/>
      <c r="I800" s="200"/>
      <c r="J800" s="200"/>
      <c r="K800" s="199"/>
      <c r="L800" s="200"/>
      <c r="M800" s="200"/>
      <c r="N800" s="197"/>
    </row>
    <row r="801" spans="1:14">
      <c r="A801" s="262"/>
      <c r="B801" s="262"/>
      <c r="C801" s="197">
        <v>42</v>
      </c>
      <c r="D801" s="262"/>
      <c r="E801" s="198">
        <v>269.60581000000002</v>
      </c>
      <c r="F801" s="197"/>
      <c r="G801" s="199" t="s">
        <v>908</v>
      </c>
      <c r="H801" s="200"/>
      <c r="I801" s="200"/>
      <c r="J801" s="200"/>
      <c r="K801" s="199"/>
      <c r="L801" s="200"/>
      <c r="M801" s="200"/>
      <c r="N801" s="197"/>
    </row>
    <row r="802" spans="1:14">
      <c r="A802" s="262"/>
      <c r="B802" s="262"/>
      <c r="C802" s="197">
        <v>43</v>
      </c>
      <c r="D802" s="261">
        <v>10</v>
      </c>
      <c r="E802" s="198">
        <v>0</v>
      </c>
      <c r="F802" s="197" t="s">
        <v>227</v>
      </c>
      <c r="G802" s="199" t="s">
        <v>808</v>
      </c>
      <c r="H802" s="200">
        <v>0.435</v>
      </c>
      <c r="I802" s="200">
        <v>0.97499999999999998</v>
      </c>
      <c r="J802" s="200">
        <v>0.54</v>
      </c>
      <c r="K802" s="199" t="s">
        <v>229</v>
      </c>
      <c r="L802" s="200"/>
      <c r="M802" s="200"/>
      <c r="N802" s="197"/>
    </row>
    <row r="803" spans="1:14">
      <c r="A803" s="262"/>
      <c r="B803" s="262"/>
      <c r="C803" s="197">
        <v>44</v>
      </c>
      <c r="D803" s="262"/>
      <c r="E803" s="198">
        <v>0</v>
      </c>
      <c r="F803" s="197" t="s">
        <v>227</v>
      </c>
      <c r="G803" s="199" t="s">
        <v>809</v>
      </c>
      <c r="H803" s="200"/>
      <c r="I803" s="200"/>
      <c r="J803" s="200"/>
      <c r="K803" s="199"/>
      <c r="L803" s="200"/>
      <c r="M803" s="200"/>
      <c r="N803" s="197"/>
    </row>
    <row r="804" spans="1:14">
      <c r="A804" s="262"/>
      <c r="B804" s="262"/>
      <c r="C804" s="197">
        <v>45</v>
      </c>
      <c r="D804" s="262"/>
      <c r="E804" s="198">
        <v>0</v>
      </c>
      <c r="F804" s="197" t="s">
        <v>227</v>
      </c>
      <c r="G804" s="199" t="s">
        <v>646</v>
      </c>
      <c r="H804" s="200"/>
      <c r="I804" s="200"/>
      <c r="J804" s="200"/>
      <c r="K804" s="199"/>
      <c r="L804" s="200"/>
      <c r="M804" s="200"/>
      <c r="N804" s="197"/>
    </row>
    <row r="805" spans="1:14">
      <c r="A805" s="262"/>
      <c r="B805" s="262"/>
      <c r="C805" s="197">
        <v>46</v>
      </c>
      <c r="D805" s="262"/>
      <c r="E805" s="198">
        <v>268.044419</v>
      </c>
      <c r="F805" s="197"/>
      <c r="G805" s="199" t="s">
        <v>909</v>
      </c>
      <c r="H805" s="200"/>
      <c r="I805" s="200"/>
      <c r="J805" s="200"/>
      <c r="K805" s="199"/>
      <c r="L805" s="200"/>
      <c r="M805" s="200"/>
      <c r="N805" s="197"/>
    </row>
    <row r="806" spans="1:14">
      <c r="A806" s="262"/>
      <c r="B806" s="262"/>
      <c r="C806" s="197">
        <v>47</v>
      </c>
      <c r="D806" s="261">
        <v>11</v>
      </c>
      <c r="E806" s="198">
        <v>0</v>
      </c>
      <c r="F806" s="197" t="s">
        <v>227</v>
      </c>
      <c r="G806" s="199" t="s">
        <v>910</v>
      </c>
      <c r="H806" s="200">
        <v>0.44500000000000001</v>
      </c>
      <c r="I806" s="200">
        <v>1</v>
      </c>
      <c r="J806" s="200">
        <v>0.55000000000000004</v>
      </c>
      <c r="K806" s="199" t="s">
        <v>229</v>
      </c>
      <c r="L806" s="200"/>
      <c r="M806" s="200"/>
      <c r="N806" s="197"/>
    </row>
    <row r="807" spans="1:14">
      <c r="A807" s="262"/>
      <c r="B807" s="262"/>
      <c r="C807" s="197">
        <v>48</v>
      </c>
      <c r="D807" s="262"/>
      <c r="E807" s="198">
        <v>301.46502400000003</v>
      </c>
      <c r="F807" s="197"/>
      <c r="G807" s="199" t="s">
        <v>911</v>
      </c>
      <c r="H807" s="200"/>
      <c r="I807" s="200"/>
      <c r="J807" s="200"/>
      <c r="K807" s="199"/>
      <c r="L807" s="200"/>
      <c r="M807" s="200"/>
      <c r="N807" s="197"/>
    </row>
    <row r="808" spans="1:14">
      <c r="A808" s="262"/>
      <c r="B808" s="262"/>
      <c r="C808" s="197">
        <v>49</v>
      </c>
      <c r="D808" s="262"/>
      <c r="E808" s="198">
        <v>0</v>
      </c>
      <c r="F808" s="197" t="s">
        <v>227</v>
      </c>
      <c r="G808" s="199" t="s">
        <v>755</v>
      </c>
      <c r="H808" s="200"/>
      <c r="I808" s="200"/>
      <c r="J808" s="200"/>
      <c r="K808" s="199"/>
      <c r="L808" s="200"/>
      <c r="M808" s="200"/>
      <c r="N808" s="197"/>
    </row>
    <row r="809" spans="1:14">
      <c r="A809" s="262"/>
      <c r="B809" s="262"/>
      <c r="C809" s="197">
        <v>50</v>
      </c>
      <c r="D809" s="262"/>
      <c r="E809" s="198">
        <v>220.416428</v>
      </c>
      <c r="F809" s="197" t="s">
        <v>281</v>
      </c>
      <c r="G809" s="199" t="s">
        <v>912</v>
      </c>
      <c r="H809" s="200"/>
      <c r="I809" s="200"/>
      <c r="J809" s="200"/>
      <c r="K809" s="199"/>
      <c r="L809" s="200"/>
      <c r="M809" s="200"/>
      <c r="N809" s="197"/>
    </row>
    <row r="810" spans="1:14">
      <c r="A810" s="262"/>
      <c r="B810" s="262"/>
      <c r="C810" s="197">
        <v>51</v>
      </c>
      <c r="D810" s="261">
        <v>12</v>
      </c>
      <c r="E810" s="198">
        <v>0</v>
      </c>
      <c r="F810" s="197" t="s">
        <v>227</v>
      </c>
      <c r="G810" s="199" t="s">
        <v>913</v>
      </c>
      <c r="H810" s="200">
        <v>0.42499999999999999</v>
      </c>
      <c r="I810" s="200">
        <v>1.0049999999999999</v>
      </c>
      <c r="J810" s="200">
        <v>0.55000000000000004</v>
      </c>
      <c r="K810" s="199" t="s">
        <v>229</v>
      </c>
      <c r="L810" s="200"/>
      <c r="M810" s="200"/>
      <c r="N810" s="197"/>
    </row>
    <row r="811" spans="1:14">
      <c r="A811" s="262"/>
      <c r="B811" s="262"/>
      <c r="C811" s="197">
        <v>52</v>
      </c>
      <c r="D811" s="262"/>
      <c r="E811" s="198">
        <v>0</v>
      </c>
      <c r="F811" s="197" t="s">
        <v>227</v>
      </c>
      <c r="G811" s="199" t="s">
        <v>758</v>
      </c>
      <c r="H811" s="200"/>
      <c r="I811" s="200"/>
      <c r="J811" s="200"/>
      <c r="K811" s="199"/>
      <c r="L811" s="200"/>
      <c r="M811" s="200"/>
      <c r="N811" s="197"/>
    </row>
    <row r="812" spans="1:14">
      <c r="A812" s="262"/>
      <c r="B812" s="262"/>
      <c r="C812" s="197">
        <v>53</v>
      </c>
      <c r="D812" s="262"/>
      <c r="E812" s="198">
        <v>407.70474000000002</v>
      </c>
      <c r="F812" s="197" t="s">
        <v>281</v>
      </c>
      <c r="G812" s="199" t="s">
        <v>914</v>
      </c>
      <c r="H812" s="200"/>
      <c r="I812" s="200"/>
      <c r="J812" s="200"/>
      <c r="K812" s="199"/>
      <c r="L812" s="200"/>
      <c r="M812" s="200"/>
      <c r="N812" s="197"/>
    </row>
    <row r="813" spans="1:14">
      <c r="A813" s="262"/>
      <c r="B813" s="262"/>
      <c r="C813" s="197">
        <v>54</v>
      </c>
      <c r="D813" s="262"/>
      <c r="E813" s="198">
        <v>418.90123199999999</v>
      </c>
      <c r="F813" s="197" t="s">
        <v>281</v>
      </c>
      <c r="G813" s="199" t="s">
        <v>915</v>
      </c>
      <c r="H813" s="200"/>
      <c r="I813" s="200"/>
      <c r="J813" s="200"/>
      <c r="K813" s="199"/>
      <c r="L813" s="200"/>
      <c r="M813" s="200"/>
      <c r="N813" s="197"/>
    </row>
    <row r="814" spans="1:14">
      <c r="A814" s="262"/>
      <c r="B814" s="262"/>
      <c r="C814" s="197">
        <v>55</v>
      </c>
      <c r="D814" s="262"/>
      <c r="E814" s="198">
        <v>192.73812899999999</v>
      </c>
      <c r="F814" s="197"/>
      <c r="G814" s="199" t="s">
        <v>916</v>
      </c>
      <c r="H814" s="200"/>
      <c r="I814" s="200"/>
      <c r="J814" s="200"/>
      <c r="K814" s="199"/>
      <c r="L814" s="200"/>
      <c r="M814" s="200"/>
      <c r="N814" s="197"/>
    </row>
    <row r="815" spans="1:14">
      <c r="A815" s="262"/>
      <c r="B815" s="262"/>
      <c r="C815" s="197">
        <v>56</v>
      </c>
      <c r="D815" s="262"/>
      <c r="E815" s="198">
        <v>0</v>
      </c>
      <c r="F815" s="197" t="s">
        <v>227</v>
      </c>
      <c r="G815" s="199" t="s">
        <v>288</v>
      </c>
      <c r="H815" s="200"/>
      <c r="I815" s="200"/>
      <c r="J815" s="200"/>
      <c r="K815" s="199"/>
      <c r="L815" s="200"/>
      <c r="M815" s="200"/>
      <c r="N815" s="197"/>
    </row>
    <row r="816" spans="1:14">
      <c r="A816" s="262"/>
      <c r="B816" s="262"/>
      <c r="C816" s="197">
        <v>57</v>
      </c>
      <c r="D816" s="262"/>
      <c r="E816" s="198">
        <v>191.72608399999999</v>
      </c>
      <c r="F816" s="197"/>
      <c r="G816" s="199" t="s">
        <v>917</v>
      </c>
      <c r="H816" s="200"/>
      <c r="I816" s="200"/>
      <c r="J816" s="200"/>
      <c r="K816" s="199"/>
      <c r="L816" s="200"/>
      <c r="M816" s="200"/>
      <c r="N816" s="197"/>
    </row>
    <row r="817" spans="1:14">
      <c r="A817" s="262"/>
      <c r="B817" s="262"/>
      <c r="C817" s="197">
        <v>58</v>
      </c>
      <c r="D817" s="262"/>
      <c r="E817" s="198">
        <v>0</v>
      </c>
      <c r="F817" s="197" t="s">
        <v>227</v>
      </c>
      <c r="G817" s="199" t="s">
        <v>290</v>
      </c>
      <c r="H817" s="200"/>
      <c r="I817" s="200"/>
      <c r="J817" s="200"/>
      <c r="K817" s="199"/>
      <c r="L817" s="200"/>
      <c r="M817" s="200"/>
      <c r="N817" s="197"/>
    </row>
    <row r="818" spans="1:14">
      <c r="A818" s="262"/>
      <c r="B818" s="262"/>
      <c r="C818" s="197">
        <v>59</v>
      </c>
      <c r="D818" s="262"/>
      <c r="E818" s="198">
        <v>0</v>
      </c>
      <c r="F818" s="197" t="s">
        <v>227</v>
      </c>
      <c r="G818" s="199" t="s">
        <v>764</v>
      </c>
      <c r="H818" s="200"/>
      <c r="I818" s="200"/>
      <c r="J818" s="200"/>
      <c r="K818" s="199"/>
      <c r="L818" s="200"/>
      <c r="M818" s="200"/>
      <c r="N818" s="197"/>
    </row>
    <row r="819" spans="1:14">
      <c r="A819" s="262"/>
      <c r="B819" s="262"/>
      <c r="C819" s="197">
        <v>60</v>
      </c>
      <c r="D819" s="262"/>
      <c r="E819" s="198">
        <v>0</v>
      </c>
      <c r="F819" s="197" t="s">
        <v>227</v>
      </c>
      <c r="G819" s="199" t="s">
        <v>292</v>
      </c>
      <c r="H819" s="200"/>
      <c r="I819" s="200"/>
      <c r="J819" s="200"/>
      <c r="K819" s="199"/>
      <c r="L819" s="200"/>
      <c r="M819" s="200"/>
      <c r="N819" s="197"/>
    </row>
    <row r="820" spans="1:14">
      <c r="A820" s="262"/>
      <c r="B820" s="262"/>
      <c r="C820" s="197">
        <v>61</v>
      </c>
      <c r="D820" s="262"/>
      <c r="E820" s="198">
        <v>271.78002900000001</v>
      </c>
      <c r="F820" s="197"/>
      <c r="G820" s="199" t="s">
        <v>918</v>
      </c>
      <c r="H820" s="200"/>
      <c r="I820" s="200"/>
      <c r="J820" s="200"/>
      <c r="K820" s="199"/>
      <c r="L820" s="200"/>
      <c r="M820" s="200"/>
      <c r="N820" s="197"/>
    </row>
    <row r="821" spans="1:14">
      <c r="A821" s="262"/>
      <c r="B821" s="262"/>
      <c r="C821" s="197">
        <v>62</v>
      </c>
      <c r="D821" s="261">
        <v>13</v>
      </c>
      <c r="E821" s="198">
        <v>0</v>
      </c>
      <c r="F821" s="197" t="s">
        <v>227</v>
      </c>
      <c r="G821" s="199" t="s">
        <v>294</v>
      </c>
      <c r="H821" s="200">
        <v>0.44500000000000001</v>
      </c>
      <c r="I821" s="200">
        <v>1</v>
      </c>
      <c r="J821" s="200">
        <v>0.53</v>
      </c>
      <c r="K821" s="199" t="s">
        <v>229</v>
      </c>
      <c r="L821" s="200"/>
      <c r="M821" s="200"/>
      <c r="N821" s="197"/>
    </row>
    <row r="822" spans="1:14">
      <c r="A822" s="262"/>
      <c r="B822" s="262"/>
      <c r="C822" s="197">
        <v>63</v>
      </c>
      <c r="D822" s="262"/>
      <c r="E822" s="198">
        <v>0</v>
      </c>
      <c r="F822" s="197" t="s">
        <v>227</v>
      </c>
      <c r="G822" s="199" t="s">
        <v>470</v>
      </c>
      <c r="H822" s="200"/>
      <c r="I822" s="200"/>
      <c r="J822" s="200"/>
      <c r="K822" s="199"/>
      <c r="L822" s="200"/>
      <c r="M822" s="200"/>
      <c r="N822" s="197"/>
    </row>
    <row r="823" spans="1:14">
      <c r="A823" s="262"/>
      <c r="B823" s="262"/>
      <c r="C823" s="197">
        <v>64</v>
      </c>
      <c r="D823" s="261">
        <v>14</v>
      </c>
      <c r="E823" s="198">
        <v>0</v>
      </c>
      <c r="F823" s="197" t="s">
        <v>227</v>
      </c>
      <c r="G823" s="199" t="s">
        <v>769</v>
      </c>
      <c r="H823" s="200">
        <v>0.46</v>
      </c>
      <c r="I823" s="200">
        <v>1.0049999999999999</v>
      </c>
      <c r="J823" s="200">
        <v>0.58499999999999996</v>
      </c>
      <c r="K823" s="199" t="s">
        <v>229</v>
      </c>
      <c r="L823" s="200"/>
      <c r="M823" s="200"/>
      <c r="N823" s="197"/>
    </row>
    <row r="824" spans="1:14">
      <c r="A824" s="262"/>
      <c r="B824" s="262"/>
      <c r="C824" s="197">
        <v>65</v>
      </c>
      <c r="D824" s="262"/>
      <c r="E824" s="198">
        <v>309.69950899999998</v>
      </c>
      <c r="F824" s="197"/>
      <c r="G824" s="199" t="s">
        <v>919</v>
      </c>
      <c r="H824" s="200"/>
      <c r="I824" s="200"/>
      <c r="J824" s="200"/>
      <c r="K824" s="199"/>
      <c r="L824" s="200"/>
      <c r="M824" s="200"/>
      <c r="N824" s="197"/>
    </row>
    <row r="825" spans="1:14">
      <c r="A825" s="262"/>
      <c r="B825" s="262"/>
      <c r="C825" s="197">
        <v>66</v>
      </c>
      <c r="D825" s="262"/>
      <c r="E825" s="198">
        <v>314.550659</v>
      </c>
      <c r="F825" s="197"/>
      <c r="G825" s="199" t="s">
        <v>920</v>
      </c>
      <c r="H825" s="200"/>
      <c r="I825" s="200"/>
      <c r="J825" s="200"/>
      <c r="K825" s="199"/>
      <c r="L825" s="200"/>
      <c r="M825" s="200"/>
      <c r="N825" s="197"/>
    </row>
    <row r="826" spans="1:14">
      <c r="A826" s="262"/>
      <c r="B826" s="262"/>
      <c r="C826" s="197">
        <v>67</v>
      </c>
      <c r="D826" s="262"/>
      <c r="E826" s="198">
        <v>0</v>
      </c>
      <c r="F826" s="197" t="s">
        <v>227</v>
      </c>
      <c r="G826" s="199" t="s">
        <v>299</v>
      </c>
      <c r="H826" s="200"/>
      <c r="I826" s="200"/>
      <c r="J826" s="200"/>
      <c r="K826" s="199"/>
      <c r="L826" s="200"/>
      <c r="M826" s="200"/>
      <c r="N826" s="197"/>
    </row>
    <row r="827" spans="1:14">
      <c r="A827" s="262"/>
      <c r="B827" s="262"/>
      <c r="C827" s="197">
        <v>68</v>
      </c>
      <c r="D827" s="261">
        <v>15</v>
      </c>
      <c r="E827" s="198">
        <v>0</v>
      </c>
      <c r="F827" s="197" t="s">
        <v>227</v>
      </c>
      <c r="G827" s="199" t="s">
        <v>772</v>
      </c>
      <c r="H827" s="200">
        <v>0.44500000000000001</v>
      </c>
      <c r="I827" s="200">
        <v>0.99</v>
      </c>
      <c r="J827" s="200">
        <v>0.55500000000000005</v>
      </c>
      <c r="K827" s="199" t="s">
        <v>229</v>
      </c>
      <c r="L827" s="200"/>
      <c r="M827" s="200"/>
      <c r="N827" s="197"/>
    </row>
    <row r="828" spans="1:14">
      <c r="A828" s="262"/>
      <c r="B828" s="262"/>
      <c r="C828" s="197">
        <v>69</v>
      </c>
      <c r="D828" s="262"/>
      <c r="E828" s="198">
        <v>275.85184099999998</v>
      </c>
      <c r="F828" s="197"/>
      <c r="G828" s="199" t="s">
        <v>921</v>
      </c>
      <c r="H828" s="200"/>
      <c r="I828" s="200"/>
      <c r="J828" s="200"/>
      <c r="K828" s="199"/>
      <c r="L828" s="200"/>
      <c r="M828" s="200"/>
      <c r="N828" s="197"/>
    </row>
    <row r="829" spans="1:14">
      <c r="A829" s="262"/>
      <c r="B829" s="262"/>
      <c r="C829" s="197">
        <v>70</v>
      </c>
      <c r="D829" s="262"/>
      <c r="E829" s="198">
        <v>272.26622600000002</v>
      </c>
      <c r="F829" s="197"/>
      <c r="G829" s="199" t="s">
        <v>922</v>
      </c>
      <c r="H829" s="200"/>
      <c r="I829" s="200"/>
      <c r="J829" s="200"/>
      <c r="K829" s="199"/>
      <c r="L829" s="200"/>
      <c r="M829" s="200"/>
      <c r="N829" s="197"/>
    </row>
    <row r="830" spans="1:14">
      <c r="A830" s="262"/>
      <c r="B830" s="262"/>
      <c r="C830" s="197">
        <v>71</v>
      </c>
      <c r="D830" s="261">
        <v>16</v>
      </c>
      <c r="E830" s="198">
        <v>0</v>
      </c>
      <c r="F830" s="197" t="s">
        <v>227</v>
      </c>
      <c r="G830" s="199" t="s">
        <v>668</v>
      </c>
      <c r="H830" s="200">
        <v>0.435</v>
      </c>
      <c r="I830" s="200">
        <v>0.98499999999999999</v>
      </c>
      <c r="J830" s="200">
        <v>0.52500000000000002</v>
      </c>
      <c r="K830" s="199" t="s">
        <v>229</v>
      </c>
      <c r="L830" s="200"/>
      <c r="M830" s="200"/>
      <c r="N830" s="197"/>
    </row>
    <row r="831" spans="1:14">
      <c r="A831" s="262"/>
      <c r="B831" s="262"/>
      <c r="C831" s="197">
        <v>72</v>
      </c>
      <c r="D831" s="262"/>
      <c r="E831" s="198">
        <v>0</v>
      </c>
      <c r="F831" s="197" t="s">
        <v>227</v>
      </c>
      <c r="G831" s="199" t="s">
        <v>669</v>
      </c>
      <c r="H831" s="200"/>
      <c r="I831" s="200"/>
      <c r="J831" s="200"/>
      <c r="K831" s="199"/>
      <c r="L831" s="200"/>
      <c r="M831" s="200"/>
      <c r="N831" s="197"/>
    </row>
    <row r="832" spans="1:14">
      <c r="A832" s="262"/>
      <c r="B832" s="262"/>
      <c r="C832" s="197">
        <v>73</v>
      </c>
      <c r="D832" s="262"/>
      <c r="E832" s="198">
        <v>221.608047</v>
      </c>
      <c r="F832" s="197"/>
      <c r="G832" s="199" t="s">
        <v>923</v>
      </c>
      <c r="H832" s="200"/>
      <c r="I832" s="200"/>
      <c r="J832" s="200"/>
      <c r="K832" s="199"/>
      <c r="L832" s="200"/>
      <c r="M832" s="200"/>
      <c r="N832" s="197"/>
    </row>
    <row r="833" spans="1:14">
      <c r="A833" s="261" t="s">
        <v>924</v>
      </c>
      <c r="B833" s="261">
        <v>5</v>
      </c>
      <c r="C833" s="197">
        <v>1</v>
      </c>
      <c r="D833" s="261">
        <v>1</v>
      </c>
      <c r="E833" s="198">
        <v>0</v>
      </c>
      <c r="F833" s="197" t="s">
        <v>227</v>
      </c>
      <c r="G833" s="199" t="s">
        <v>228</v>
      </c>
      <c r="H833" s="200">
        <v>0.49</v>
      </c>
      <c r="I833" s="200">
        <v>1.01</v>
      </c>
      <c r="J833" s="200">
        <v>0.505</v>
      </c>
      <c r="K833" s="199" t="s">
        <v>229</v>
      </c>
      <c r="L833" s="200">
        <v>2.9448047473474376E-2</v>
      </c>
      <c r="M833" s="200"/>
      <c r="N833" s="197"/>
    </row>
    <row r="834" spans="1:14">
      <c r="A834" s="262"/>
      <c r="B834" s="262"/>
      <c r="C834" s="197">
        <v>2</v>
      </c>
      <c r="D834" s="262"/>
      <c r="E834" s="198">
        <v>0</v>
      </c>
      <c r="F834" s="197" t="s">
        <v>227</v>
      </c>
      <c r="G834" s="199" t="s">
        <v>230</v>
      </c>
      <c r="H834" s="200"/>
      <c r="I834" s="200"/>
      <c r="J834" s="200"/>
      <c r="K834" s="199"/>
      <c r="L834" s="200">
        <v>1.4469796128487779E-2</v>
      </c>
      <c r="M834" s="200"/>
      <c r="N834" s="197"/>
    </row>
    <row r="835" spans="1:14">
      <c r="A835" s="262"/>
      <c r="B835" s="262"/>
      <c r="C835" s="197">
        <v>3</v>
      </c>
      <c r="D835" s="262"/>
      <c r="E835" s="198">
        <v>0</v>
      </c>
      <c r="F835" s="197" t="s">
        <v>227</v>
      </c>
      <c r="G835" s="199" t="s">
        <v>324</v>
      </c>
      <c r="H835" s="200"/>
      <c r="I835" s="200"/>
      <c r="J835" s="200"/>
      <c r="K835" s="199"/>
      <c r="L835" s="200">
        <v>2.0300477211139648E-2</v>
      </c>
      <c r="M835" s="200"/>
      <c r="N835" s="197"/>
    </row>
    <row r="836" spans="1:14">
      <c r="A836" s="262"/>
      <c r="B836" s="262"/>
      <c r="C836" s="197">
        <v>4</v>
      </c>
      <c r="D836" s="262"/>
      <c r="E836" s="198">
        <v>0</v>
      </c>
      <c r="F836" s="197" t="s">
        <v>227</v>
      </c>
      <c r="G836" s="199" t="s">
        <v>325</v>
      </c>
      <c r="H836" s="200"/>
      <c r="I836" s="200"/>
      <c r="J836" s="200"/>
      <c r="K836" s="199"/>
      <c r="L836" s="200"/>
      <c r="M836" s="200" t="s">
        <v>925</v>
      </c>
      <c r="N836" s="197" t="s">
        <v>926</v>
      </c>
    </row>
    <row r="837" spans="1:14">
      <c r="A837" s="262"/>
      <c r="B837" s="262"/>
      <c r="C837" s="197">
        <v>5</v>
      </c>
      <c r="D837" s="262"/>
      <c r="E837" s="198">
        <v>0</v>
      </c>
      <c r="F837" s="197" t="s">
        <v>227</v>
      </c>
      <c r="G837" s="199" t="s">
        <v>327</v>
      </c>
      <c r="H837" s="200"/>
      <c r="I837" s="200"/>
      <c r="J837" s="200"/>
      <c r="K837" s="199"/>
      <c r="L837" s="200"/>
      <c r="M837" s="200"/>
      <c r="N837" s="197"/>
    </row>
    <row r="838" spans="1:14">
      <c r="A838" s="262"/>
      <c r="B838" s="262"/>
      <c r="C838" s="197">
        <v>6</v>
      </c>
      <c r="D838" s="262"/>
      <c r="E838" s="198">
        <v>0</v>
      </c>
      <c r="F838" s="197" t="s">
        <v>227</v>
      </c>
      <c r="G838" s="199" t="s">
        <v>720</v>
      </c>
      <c r="H838" s="200"/>
      <c r="I838" s="200"/>
      <c r="J838" s="200"/>
      <c r="K838" s="199"/>
      <c r="L838" s="200"/>
      <c r="M838" s="200"/>
      <c r="N838" s="197"/>
    </row>
    <row r="839" spans="1:14">
      <c r="A839" s="262"/>
      <c r="B839" s="262"/>
      <c r="C839" s="197">
        <v>7</v>
      </c>
      <c r="D839" s="262"/>
      <c r="E839" s="198">
        <v>287.47389500000003</v>
      </c>
      <c r="F839" s="197"/>
      <c r="G839" s="199" t="s">
        <v>927</v>
      </c>
      <c r="H839" s="200"/>
      <c r="I839" s="200"/>
      <c r="J839" s="200"/>
      <c r="K839" s="199"/>
      <c r="L839" s="200"/>
      <c r="M839" s="200"/>
      <c r="N839" s="197"/>
    </row>
    <row r="840" spans="1:14">
      <c r="A840" s="262"/>
      <c r="B840" s="262"/>
      <c r="C840" s="197">
        <v>8</v>
      </c>
      <c r="D840" s="261">
        <v>2</v>
      </c>
      <c r="E840" s="198">
        <v>292.60788000000002</v>
      </c>
      <c r="F840" s="197" t="s">
        <v>227</v>
      </c>
      <c r="G840" s="199" t="s">
        <v>928</v>
      </c>
      <c r="H840" s="200">
        <v>0.495</v>
      </c>
      <c r="I840" s="200">
        <v>1.0049999999999999</v>
      </c>
      <c r="J840" s="200">
        <v>0.52</v>
      </c>
      <c r="K840" s="199" t="s">
        <v>229</v>
      </c>
      <c r="L840" s="200"/>
      <c r="M840" s="200"/>
      <c r="N840" s="197"/>
    </row>
    <row r="841" spans="1:14">
      <c r="A841" s="262"/>
      <c r="B841" s="262"/>
      <c r="C841" s="197">
        <v>9</v>
      </c>
      <c r="D841" s="262"/>
      <c r="E841" s="198">
        <v>368.967938</v>
      </c>
      <c r="F841" s="197"/>
      <c r="G841" s="199" t="s">
        <v>929</v>
      </c>
      <c r="H841" s="200"/>
      <c r="I841" s="200"/>
      <c r="J841" s="200"/>
      <c r="K841" s="199"/>
      <c r="L841" s="200"/>
      <c r="M841" s="200"/>
      <c r="N841" s="197"/>
    </row>
    <row r="842" spans="1:14">
      <c r="A842" s="262"/>
      <c r="B842" s="262"/>
      <c r="C842" s="197">
        <v>10</v>
      </c>
      <c r="D842" s="262"/>
      <c r="E842" s="198">
        <v>380.71305100000001</v>
      </c>
      <c r="F842" s="197"/>
      <c r="G842" s="199" t="s">
        <v>930</v>
      </c>
      <c r="H842" s="200"/>
      <c r="I842" s="200"/>
      <c r="J842" s="200"/>
      <c r="K842" s="199"/>
      <c r="L842" s="200"/>
      <c r="M842" s="200"/>
      <c r="N842" s="197"/>
    </row>
    <row r="843" spans="1:14">
      <c r="A843" s="262"/>
      <c r="B843" s="262"/>
      <c r="C843" s="197">
        <v>11</v>
      </c>
      <c r="D843" s="261">
        <v>3</v>
      </c>
      <c r="E843" s="198">
        <v>379.19755099999998</v>
      </c>
      <c r="F843" s="197" t="s">
        <v>227</v>
      </c>
      <c r="G843" s="199" t="s">
        <v>931</v>
      </c>
      <c r="H843" s="200">
        <v>0.48</v>
      </c>
      <c r="I843" s="200">
        <v>1.01</v>
      </c>
      <c r="J843" s="200">
        <v>0.52500000000000002</v>
      </c>
      <c r="K843" s="199" t="s">
        <v>671</v>
      </c>
      <c r="L843" s="200"/>
      <c r="M843" s="200"/>
      <c r="N843" s="197"/>
    </row>
    <row r="844" spans="1:14">
      <c r="A844" s="262"/>
      <c r="B844" s="262"/>
      <c r="C844" s="197">
        <v>12</v>
      </c>
      <c r="D844" s="262"/>
      <c r="E844" s="198">
        <v>0</v>
      </c>
      <c r="F844" s="197" t="s">
        <v>227</v>
      </c>
      <c r="G844" s="199" t="s">
        <v>932</v>
      </c>
      <c r="H844" s="200"/>
      <c r="I844" s="200"/>
      <c r="J844" s="200"/>
      <c r="K844" s="199"/>
      <c r="L844" s="200"/>
      <c r="M844" s="200"/>
      <c r="N844" s="197"/>
    </row>
    <row r="845" spans="1:14">
      <c r="A845" s="262"/>
      <c r="B845" s="262"/>
      <c r="C845" s="197">
        <v>13</v>
      </c>
      <c r="D845" s="262"/>
      <c r="E845" s="198">
        <v>0</v>
      </c>
      <c r="F845" s="197" t="s">
        <v>227</v>
      </c>
      <c r="G845" s="199" t="s">
        <v>933</v>
      </c>
      <c r="H845" s="200"/>
      <c r="I845" s="200"/>
      <c r="J845" s="200"/>
      <c r="K845" s="199"/>
      <c r="L845" s="200"/>
      <c r="M845" s="200"/>
      <c r="N845" s="197"/>
    </row>
    <row r="846" spans="1:14">
      <c r="A846" s="262"/>
      <c r="B846" s="262"/>
      <c r="C846" s="197">
        <v>14</v>
      </c>
      <c r="D846" s="262"/>
      <c r="E846" s="198">
        <v>304.69282900000002</v>
      </c>
      <c r="F846" s="197"/>
      <c r="G846" s="199" t="s">
        <v>934</v>
      </c>
      <c r="H846" s="200"/>
      <c r="I846" s="200"/>
      <c r="J846" s="200"/>
      <c r="K846" s="199"/>
      <c r="L846" s="200"/>
      <c r="M846" s="200"/>
      <c r="N846" s="197"/>
    </row>
    <row r="847" spans="1:14">
      <c r="A847" s="262"/>
      <c r="B847" s="262"/>
      <c r="C847" s="197">
        <v>15</v>
      </c>
      <c r="D847" s="261">
        <v>4</v>
      </c>
      <c r="E847" s="198">
        <v>307.801693</v>
      </c>
      <c r="F847" s="197" t="s">
        <v>227</v>
      </c>
      <c r="G847" s="199" t="s">
        <v>935</v>
      </c>
      <c r="H847" s="200">
        <v>0.52</v>
      </c>
      <c r="I847" s="200">
        <v>1.0249999999999999</v>
      </c>
      <c r="J847" s="200">
        <v>0.505</v>
      </c>
      <c r="K847" s="199" t="s">
        <v>671</v>
      </c>
      <c r="L847" s="200"/>
      <c r="M847" s="200"/>
      <c r="N847" s="197"/>
    </row>
    <row r="848" spans="1:14">
      <c r="A848" s="262"/>
      <c r="B848" s="262"/>
      <c r="C848" s="197">
        <v>16</v>
      </c>
      <c r="D848" s="262"/>
      <c r="E848" s="198">
        <v>307.67443800000001</v>
      </c>
      <c r="F848" s="197"/>
      <c r="G848" s="199" t="s">
        <v>936</v>
      </c>
      <c r="H848" s="200"/>
      <c r="I848" s="200"/>
      <c r="J848" s="200"/>
      <c r="K848" s="199"/>
      <c r="L848" s="200"/>
      <c r="M848" s="200"/>
      <c r="N848" s="197"/>
    </row>
    <row r="849" spans="1:14">
      <c r="A849" s="262"/>
      <c r="B849" s="262"/>
      <c r="C849" s="197">
        <v>17</v>
      </c>
      <c r="D849" s="262"/>
      <c r="E849" s="198">
        <v>297.49484899999999</v>
      </c>
      <c r="F849" s="197"/>
      <c r="G849" s="199" t="s">
        <v>937</v>
      </c>
      <c r="H849" s="200"/>
      <c r="I849" s="200"/>
      <c r="J849" s="200"/>
      <c r="K849" s="199"/>
      <c r="L849" s="200"/>
      <c r="M849" s="200"/>
      <c r="N849" s="197"/>
    </row>
    <row r="850" spans="1:14">
      <c r="A850" s="262"/>
      <c r="B850" s="262"/>
      <c r="C850" s="197">
        <v>18</v>
      </c>
      <c r="D850" s="262"/>
      <c r="E850" s="198">
        <v>300.34054600000002</v>
      </c>
      <c r="F850" s="197"/>
      <c r="G850" s="199" t="s">
        <v>938</v>
      </c>
      <c r="H850" s="200"/>
      <c r="I850" s="200"/>
      <c r="J850" s="200"/>
      <c r="K850" s="199"/>
      <c r="L850" s="200"/>
      <c r="M850" s="200"/>
      <c r="N850" s="197"/>
    </row>
    <row r="851" spans="1:14">
      <c r="A851" s="262"/>
      <c r="B851" s="262"/>
      <c r="C851" s="197">
        <v>19</v>
      </c>
      <c r="D851" s="262"/>
      <c r="E851" s="198">
        <v>295.356067</v>
      </c>
      <c r="F851" s="197"/>
      <c r="G851" s="199" t="s">
        <v>939</v>
      </c>
      <c r="H851" s="200"/>
      <c r="I851" s="200"/>
      <c r="J851" s="200"/>
      <c r="K851" s="199"/>
      <c r="L851" s="200"/>
      <c r="M851" s="200"/>
      <c r="N851" s="197"/>
    </row>
    <row r="852" spans="1:14">
      <c r="A852" s="262"/>
      <c r="B852" s="262"/>
      <c r="C852" s="197">
        <v>20</v>
      </c>
      <c r="D852" s="262"/>
      <c r="E852" s="198">
        <v>292.22891199999998</v>
      </c>
      <c r="F852" s="197"/>
      <c r="G852" s="199" t="s">
        <v>940</v>
      </c>
      <c r="H852" s="200"/>
      <c r="I852" s="200"/>
      <c r="J852" s="200"/>
      <c r="K852" s="199"/>
      <c r="L852" s="200"/>
      <c r="M852" s="200"/>
      <c r="N852" s="197"/>
    </row>
    <row r="853" spans="1:14">
      <c r="A853" s="262"/>
      <c r="B853" s="262"/>
      <c r="C853" s="197">
        <v>21</v>
      </c>
      <c r="D853" s="262"/>
      <c r="E853" s="198">
        <v>289.54616299999998</v>
      </c>
      <c r="F853" s="197"/>
      <c r="G853" s="199" t="s">
        <v>941</v>
      </c>
      <c r="H853" s="200"/>
      <c r="I853" s="200"/>
      <c r="J853" s="200"/>
      <c r="K853" s="199"/>
      <c r="L853" s="200"/>
      <c r="M853" s="200"/>
      <c r="N853" s="197"/>
    </row>
    <row r="854" spans="1:14">
      <c r="A854" s="262"/>
      <c r="B854" s="262"/>
      <c r="C854" s="197">
        <v>22</v>
      </c>
      <c r="D854" s="262"/>
      <c r="E854" s="198">
        <v>0</v>
      </c>
      <c r="F854" s="197" t="s">
        <v>227</v>
      </c>
      <c r="G854" s="199" t="s">
        <v>253</v>
      </c>
      <c r="H854" s="200"/>
      <c r="I854" s="200"/>
      <c r="J854" s="200"/>
      <c r="K854" s="199"/>
      <c r="L854" s="200"/>
      <c r="M854" s="200"/>
      <c r="N854" s="197"/>
    </row>
    <row r="855" spans="1:14">
      <c r="A855" s="262"/>
      <c r="B855" s="262"/>
      <c r="C855" s="197">
        <v>23</v>
      </c>
      <c r="D855" s="262"/>
      <c r="E855" s="198">
        <v>0</v>
      </c>
      <c r="F855" s="197" t="s">
        <v>227</v>
      </c>
      <c r="G855" s="199" t="s">
        <v>687</v>
      </c>
      <c r="H855" s="200"/>
      <c r="I855" s="200"/>
      <c r="J855" s="200"/>
      <c r="K855" s="199"/>
      <c r="L855" s="200"/>
      <c r="M855" s="200"/>
      <c r="N855" s="197"/>
    </row>
    <row r="856" spans="1:14">
      <c r="A856" s="262"/>
      <c r="B856" s="262"/>
      <c r="C856" s="197">
        <v>24</v>
      </c>
      <c r="D856" s="261">
        <v>5</v>
      </c>
      <c r="E856" s="198">
        <v>287.186553</v>
      </c>
      <c r="F856" s="197"/>
      <c r="G856" s="199" t="s">
        <v>942</v>
      </c>
      <c r="H856" s="200">
        <v>0.55000000000000004</v>
      </c>
      <c r="I856" s="200">
        <v>1</v>
      </c>
      <c r="J856" s="200">
        <v>0.495</v>
      </c>
      <c r="K856" s="199" t="s">
        <v>229</v>
      </c>
      <c r="L856" s="200"/>
      <c r="M856" s="200"/>
      <c r="N856" s="197"/>
    </row>
    <row r="857" spans="1:14">
      <c r="A857" s="262"/>
      <c r="B857" s="262"/>
      <c r="C857" s="197">
        <v>25</v>
      </c>
      <c r="D857" s="262"/>
      <c r="E857" s="198">
        <v>292.43937899999997</v>
      </c>
      <c r="F857" s="197"/>
      <c r="G857" s="199" t="s">
        <v>943</v>
      </c>
      <c r="H857" s="200"/>
      <c r="I857" s="200"/>
      <c r="J857" s="200"/>
      <c r="K857" s="199"/>
      <c r="L857" s="200"/>
      <c r="M857" s="200"/>
      <c r="N857" s="197"/>
    </row>
    <row r="858" spans="1:14">
      <c r="A858" s="262"/>
      <c r="B858" s="262"/>
      <c r="C858" s="197">
        <v>26</v>
      </c>
      <c r="D858" s="262"/>
      <c r="E858" s="198">
        <v>289.81123200000002</v>
      </c>
      <c r="F858" s="197"/>
      <c r="G858" s="199" t="s">
        <v>944</v>
      </c>
      <c r="H858" s="200"/>
      <c r="I858" s="200"/>
      <c r="J858" s="200"/>
      <c r="K858" s="199"/>
      <c r="L858" s="200"/>
      <c r="M858" s="200"/>
      <c r="N858" s="197"/>
    </row>
    <row r="859" spans="1:14">
      <c r="A859" s="262"/>
      <c r="B859" s="262"/>
      <c r="C859" s="197">
        <v>27</v>
      </c>
      <c r="D859" s="261">
        <v>6</v>
      </c>
      <c r="E859" s="198">
        <v>267.70367499999998</v>
      </c>
      <c r="F859" s="197" t="s">
        <v>227</v>
      </c>
      <c r="G859" s="199" t="s">
        <v>945</v>
      </c>
      <c r="H859" s="200">
        <v>0.51</v>
      </c>
      <c r="I859" s="200">
        <v>1.0349999999999999</v>
      </c>
      <c r="J859" s="200">
        <v>0.505</v>
      </c>
      <c r="K859" s="199" t="s">
        <v>229</v>
      </c>
      <c r="L859" s="200"/>
      <c r="M859" s="200"/>
      <c r="N859" s="197"/>
    </row>
    <row r="860" spans="1:14">
      <c r="A860" s="262"/>
      <c r="B860" s="262"/>
      <c r="C860" s="197">
        <v>28</v>
      </c>
      <c r="D860" s="262"/>
      <c r="E860" s="198">
        <v>267.70367499999998</v>
      </c>
      <c r="F860" s="197"/>
      <c r="G860" s="199" t="s">
        <v>946</v>
      </c>
      <c r="H860" s="200"/>
      <c r="I860" s="200"/>
      <c r="J860" s="200"/>
      <c r="K860" s="199"/>
      <c r="L860" s="200"/>
      <c r="M860" s="200"/>
      <c r="N860" s="197"/>
    </row>
    <row r="861" spans="1:14">
      <c r="A861" s="262"/>
      <c r="B861" s="262"/>
      <c r="C861" s="197">
        <v>29</v>
      </c>
      <c r="D861" s="262"/>
      <c r="E861" s="198">
        <v>0</v>
      </c>
      <c r="F861" s="197" t="s">
        <v>227</v>
      </c>
      <c r="G861" s="199" t="s">
        <v>260</v>
      </c>
      <c r="H861" s="200"/>
      <c r="I861" s="200"/>
      <c r="J861" s="200"/>
      <c r="K861" s="199"/>
      <c r="L861" s="200"/>
      <c r="M861" s="200"/>
      <c r="N861" s="197"/>
    </row>
    <row r="862" spans="1:14">
      <c r="A862" s="262"/>
      <c r="B862" s="262"/>
      <c r="C862" s="197">
        <v>30</v>
      </c>
      <c r="D862" s="261">
        <v>7</v>
      </c>
      <c r="E862" s="198">
        <v>213.70021800000001</v>
      </c>
      <c r="F862" s="197"/>
      <c r="G862" s="199" t="s">
        <v>947</v>
      </c>
      <c r="H862" s="200">
        <v>0.47</v>
      </c>
      <c r="I862" s="200">
        <v>1.0249999999999999</v>
      </c>
      <c r="J862" s="200">
        <v>0.46</v>
      </c>
      <c r="K862" s="199" t="s">
        <v>229</v>
      </c>
      <c r="L862" s="200"/>
      <c r="M862" s="200"/>
      <c r="N862" s="197"/>
    </row>
    <row r="863" spans="1:14">
      <c r="A863" s="262"/>
      <c r="B863" s="262"/>
      <c r="C863" s="197">
        <v>31</v>
      </c>
      <c r="D863" s="262"/>
      <c r="E863" s="198">
        <v>213.70021800000001</v>
      </c>
      <c r="F863" s="197"/>
      <c r="G863" s="199" t="s">
        <v>948</v>
      </c>
      <c r="H863" s="200"/>
      <c r="I863" s="200"/>
      <c r="J863" s="200"/>
      <c r="K863" s="199"/>
      <c r="L863" s="200"/>
      <c r="M863" s="200"/>
      <c r="N863" s="197"/>
    </row>
    <row r="864" spans="1:14">
      <c r="A864" s="262"/>
      <c r="B864" s="262"/>
      <c r="C864" s="197">
        <v>32</v>
      </c>
      <c r="D864" s="262"/>
      <c r="E864" s="198">
        <v>211.20689400000001</v>
      </c>
      <c r="F864" s="197"/>
      <c r="G864" s="199" t="s">
        <v>949</v>
      </c>
      <c r="H864" s="200"/>
      <c r="I864" s="200"/>
      <c r="J864" s="200"/>
      <c r="K864" s="199"/>
      <c r="L864" s="200"/>
      <c r="M864" s="200"/>
      <c r="N864" s="197"/>
    </row>
    <row r="865" spans="1:14">
      <c r="A865" s="262"/>
      <c r="B865" s="262"/>
      <c r="C865" s="197">
        <v>33</v>
      </c>
      <c r="D865" s="261">
        <v>8</v>
      </c>
      <c r="E865" s="198">
        <v>0</v>
      </c>
      <c r="F865" s="197" t="s">
        <v>227</v>
      </c>
      <c r="G865" s="199" t="s">
        <v>905</v>
      </c>
      <c r="H865" s="200">
        <v>0.45</v>
      </c>
      <c r="I865" s="200">
        <v>1.0049999999999999</v>
      </c>
      <c r="J865" s="200">
        <v>0.5</v>
      </c>
      <c r="K865" s="199" t="s">
        <v>229</v>
      </c>
      <c r="L865" s="200"/>
      <c r="M865" s="200"/>
      <c r="N865" s="197"/>
    </row>
    <row r="866" spans="1:14">
      <c r="A866" s="262"/>
      <c r="B866" s="262"/>
      <c r="C866" s="197">
        <v>34</v>
      </c>
      <c r="D866" s="262"/>
      <c r="E866" s="198">
        <v>219.524338</v>
      </c>
      <c r="F866" s="197"/>
      <c r="G866" s="199" t="s">
        <v>950</v>
      </c>
      <c r="H866" s="200"/>
      <c r="I866" s="200"/>
      <c r="J866" s="200"/>
      <c r="K866" s="199"/>
      <c r="L866" s="200"/>
      <c r="M866" s="200"/>
      <c r="N866" s="197"/>
    </row>
    <row r="867" spans="1:14">
      <c r="A867" s="262"/>
      <c r="B867" s="262"/>
      <c r="C867" s="197">
        <v>35</v>
      </c>
      <c r="D867" s="262"/>
      <c r="E867" s="198">
        <v>222.44044199999999</v>
      </c>
      <c r="F867" s="197"/>
      <c r="G867" s="199" t="s">
        <v>951</v>
      </c>
      <c r="H867" s="200"/>
      <c r="I867" s="200"/>
      <c r="J867" s="200"/>
      <c r="K867" s="199"/>
      <c r="L867" s="200"/>
      <c r="M867" s="200"/>
      <c r="N867" s="197"/>
    </row>
    <row r="868" spans="1:14">
      <c r="A868" s="262"/>
      <c r="B868" s="262"/>
      <c r="C868" s="197">
        <v>36</v>
      </c>
      <c r="D868" s="262"/>
      <c r="E868" s="198">
        <v>0</v>
      </c>
      <c r="F868" s="197" t="s">
        <v>227</v>
      </c>
      <c r="G868" s="199" t="s">
        <v>267</v>
      </c>
      <c r="H868" s="200"/>
      <c r="I868" s="200"/>
      <c r="J868" s="200"/>
      <c r="K868" s="199"/>
      <c r="L868" s="200"/>
      <c r="M868" s="200"/>
      <c r="N868" s="197"/>
    </row>
    <row r="869" spans="1:14">
      <c r="A869" s="262"/>
      <c r="B869" s="262"/>
      <c r="C869" s="197">
        <v>37</v>
      </c>
      <c r="D869" s="262"/>
      <c r="E869" s="198">
        <v>0</v>
      </c>
      <c r="F869" s="197" t="s">
        <v>227</v>
      </c>
      <c r="G869" s="199" t="s">
        <v>268</v>
      </c>
      <c r="H869" s="200"/>
      <c r="I869" s="200"/>
      <c r="J869" s="200"/>
      <c r="K869" s="199"/>
      <c r="L869" s="200"/>
      <c r="M869" s="200"/>
      <c r="N869" s="197"/>
    </row>
    <row r="870" spans="1:14">
      <c r="A870" s="262"/>
      <c r="B870" s="262"/>
      <c r="C870" s="197">
        <v>38</v>
      </c>
      <c r="D870" s="262"/>
      <c r="E870" s="198">
        <v>0</v>
      </c>
      <c r="F870" s="197" t="s">
        <v>227</v>
      </c>
      <c r="G870" s="199" t="s">
        <v>269</v>
      </c>
      <c r="H870" s="200"/>
      <c r="I870" s="200"/>
      <c r="J870" s="200"/>
      <c r="K870" s="199"/>
      <c r="L870" s="200"/>
      <c r="M870" s="200"/>
      <c r="N870" s="197"/>
    </row>
    <row r="871" spans="1:14">
      <c r="A871" s="262"/>
      <c r="B871" s="262"/>
      <c r="C871" s="197">
        <v>39</v>
      </c>
      <c r="D871" s="262"/>
      <c r="E871" s="198">
        <v>0</v>
      </c>
      <c r="F871" s="197" t="s">
        <v>227</v>
      </c>
      <c r="G871" s="199" t="s">
        <v>270</v>
      </c>
      <c r="H871" s="200"/>
      <c r="I871" s="200"/>
      <c r="J871" s="200"/>
      <c r="K871" s="199"/>
      <c r="L871" s="200"/>
      <c r="M871" s="200"/>
      <c r="N871" s="197"/>
    </row>
    <row r="872" spans="1:14">
      <c r="A872" s="262"/>
      <c r="B872" s="262"/>
      <c r="C872" s="197">
        <v>40</v>
      </c>
      <c r="D872" s="261">
        <v>9</v>
      </c>
      <c r="E872" s="198">
        <v>0</v>
      </c>
      <c r="F872" s="197" t="s">
        <v>227</v>
      </c>
      <c r="G872" s="199" t="s">
        <v>906</v>
      </c>
      <c r="H872" s="200">
        <v>0.42499999999999999</v>
      </c>
      <c r="I872" s="200">
        <v>1.0249999999999999</v>
      </c>
      <c r="J872" s="200">
        <v>0.53500000000000003</v>
      </c>
      <c r="K872" s="199" t="s">
        <v>229</v>
      </c>
      <c r="L872" s="200"/>
      <c r="M872" s="200"/>
      <c r="N872" s="197"/>
    </row>
    <row r="873" spans="1:14">
      <c r="A873" s="262"/>
      <c r="B873" s="262"/>
      <c r="C873" s="197">
        <v>41</v>
      </c>
      <c r="D873" s="262"/>
      <c r="E873" s="198">
        <v>266.23659300000003</v>
      </c>
      <c r="F873" s="197"/>
      <c r="G873" s="199" t="s">
        <v>952</v>
      </c>
      <c r="H873" s="200"/>
      <c r="I873" s="200"/>
      <c r="J873" s="200"/>
      <c r="K873" s="199"/>
      <c r="L873" s="200"/>
      <c r="M873" s="200"/>
      <c r="N873" s="197"/>
    </row>
    <row r="874" spans="1:14">
      <c r="A874" s="262"/>
      <c r="B874" s="262"/>
      <c r="C874" s="197">
        <v>42</v>
      </c>
      <c r="D874" s="262"/>
      <c r="E874" s="198">
        <v>269.39304099999998</v>
      </c>
      <c r="F874" s="197"/>
      <c r="G874" s="199" t="s">
        <v>953</v>
      </c>
      <c r="H874" s="200"/>
      <c r="I874" s="200"/>
      <c r="J874" s="200"/>
      <c r="K874" s="199"/>
      <c r="L874" s="200"/>
      <c r="M874" s="200"/>
      <c r="N874" s="197"/>
    </row>
    <row r="875" spans="1:14">
      <c r="A875" s="262"/>
      <c r="B875" s="262"/>
      <c r="C875" s="197">
        <v>43</v>
      </c>
      <c r="D875" s="261">
        <v>10</v>
      </c>
      <c r="E875" s="198">
        <v>271.90579200000002</v>
      </c>
      <c r="F875" s="197" t="s">
        <v>227</v>
      </c>
      <c r="G875" s="199" t="s">
        <v>954</v>
      </c>
      <c r="H875" s="200">
        <v>0.47</v>
      </c>
      <c r="I875" s="200">
        <v>1.01</v>
      </c>
      <c r="J875" s="200">
        <v>0.47499999999999998</v>
      </c>
      <c r="K875" s="199" t="s">
        <v>229</v>
      </c>
      <c r="L875" s="200"/>
      <c r="M875" s="200"/>
      <c r="N875" s="197"/>
    </row>
    <row r="876" spans="1:14">
      <c r="A876" s="262"/>
      <c r="B876" s="262"/>
      <c r="C876" s="197">
        <v>44</v>
      </c>
      <c r="D876" s="262"/>
      <c r="E876" s="198">
        <v>218.316833</v>
      </c>
      <c r="F876" s="197"/>
      <c r="G876" s="199" t="s">
        <v>955</v>
      </c>
      <c r="H876" s="200"/>
      <c r="I876" s="200"/>
      <c r="J876" s="200"/>
      <c r="K876" s="199"/>
      <c r="L876" s="200"/>
      <c r="M876" s="200"/>
      <c r="N876" s="197"/>
    </row>
    <row r="877" spans="1:14">
      <c r="A877" s="262"/>
      <c r="B877" s="262"/>
      <c r="C877" s="197">
        <v>45</v>
      </c>
      <c r="D877" s="262"/>
      <c r="E877" s="198">
        <v>220.5</v>
      </c>
      <c r="F877" s="197"/>
      <c r="G877" s="199" t="s">
        <v>956</v>
      </c>
      <c r="H877" s="200"/>
      <c r="I877" s="200"/>
      <c r="J877" s="200"/>
      <c r="K877" s="199"/>
      <c r="L877" s="200"/>
      <c r="M877" s="200"/>
      <c r="N877" s="197"/>
    </row>
    <row r="878" spans="1:14">
      <c r="A878" s="262"/>
      <c r="B878" s="262"/>
      <c r="C878" s="197">
        <v>46</v>
      </c>
      <c r="D878" s="262"/>
      <c r="E878" s="198">
        <v>226.569368</v>
      </c>
      <c r="F878" s="197"/>
      <c r="G878" s="199" t="s">
        <v>957</v>
      </c>
      <c r="H878" s="200"/>
      <c r="I878" s="200"/>
      <c r="J878" s="200"/>
      <c r="K878" s="199"/>
      <c r="L878" s="200"/>
      <c r="M878" s="200"/>
      <c r="N878" s="197"/>
    </row>
    <row r="879" spans="1:14">
      <c r="A879" s="262"/>
      <c r="B879" s="262"/>
      <c r="C879" s="197">
        <v>47</v>
      </c>
      <c r="D879" s="261">
        <v>11</v>
      </c>
      <c r="E879" s="198">
        <v>0</v>
      </c>
      <c r="F879" s="197" t="s">
        <v>227</v>
      </c>
      <c r="G879" s="199" t="s">
        <v>910</v>
      </c>
      <c r="H879" s="200">
        <v>0.47</v>
      </c>
      <c r="I879" s="200">
        <v>1.01</v>
      </c>
      <c r="J879" s="200">
        <v>0.495</v>
      </c>
      <c r="K879" s="199" t="s">
        <v>417</v>
      </c>
      <c r="L879" s="200"/>
      <c r="M879" s="200"/>
      <c r="N879" s="197"/>
    </row>
    <row r="880" spans="1:14">
      <c r="A880" s="262"/>
      <c r="B880" s="262"/>
      <c r="C880" s="197">
        <v>48</v>
      </c>
      <c r="D880" s="262"/>
      <c r="E880" s="198">
        <v>373.197879</v>
      </c>
      <c r="F880" s="197"/>
      <c r="G880" s="199" t="s">
        <v>958</v>
      </c>
      <c r="H880" s="200"/>
      <c r="I880" s="200"/>
      <c r="J880" s="200"/>
      <c r="K880" s="199"/>
      <c r="L880" s="200"/>
      <c r="M880" s="200"/>
      <c r="N880" s="197"/>
    </row>
    <row r="881" spans="1:14">
      <c r="A881" s="262"/>
      <c r="B881" s="262"/>
      <c r="C881" s="197">
        <v>49</v>
      </c>
      <c r="D881" s="262"/>
      <c r="E881" s="198">
        <v>188.35727800000001</v>
      </c>
      <c r="F881" s="197" t="s">
        <v>281</v>
      </c>
      <c r="G881" s="199" t="s">
        <v>959</v>
      </c>
      <c r="H881" s="200"/>
      <c r="I881" s="200"/>
      <c r="J881" s="200"/>
      <c r="K881" s="199"/>
      <c r="L881" s="200"/>
      <c r="M881" s="200"/>
      <c r="N881" s="197"/>
    </row>
    <row r="882" spans="1:14">
      <c r="A882" s="262"/>
      <c r="B882" s="262"/>
      <c r="C882" s="197">
        <v>50</v>
      </c>
      <c r="D882" s="261">
        <v>12</v>
      </c>
      <c r="E882" s="198">
        <v>0</v>
      </c>
      <c r="F882" s="197" t="s">
        <v>227</v>
      </c>
      <c r="G882" s="199" t="s">
        <v>960</v>
      </c>
      <c r="H882" s="200">
        <v>0.49</v>
      </c>
      <c r="I882" s="200">
        <v>1.04</v>
      </c>
      <c r="J882" s="200">
        <v>0.49</v>
      </c>
      <c r="K882" s="199" t="s">
        <v>671</v>
      </c>
      <c r="L882" s="200"/>
      <c r="M882" s="200"/>
      <c r="N882" s="197"/>
    </row>
    <row r="883" spans="1:14">
      <c r="A883" s="262"/>
      <c r="B883" s="262"/>
      <c r="C883" s="197">
        <v>51</v>
      </c>
      <c r="D883" s="262"/>
      <c r="E883" s="198">
        <v>192.93061299999999</v>
      </c>
      <c r="F883" s="197"/>
      <c r="G883" s="199" t="s">
        <v>961</v>
      </c>
      <c r="H883" s="200"/>
      <c r="I883" s="200"/>
      <c r="J883" s="200"/>
      <c r="K883" s="199"/>
      <c r="L883" s="200"/>
      <c r="M883" s="200"/>
      <c r="N883" s="197"/>
    </row>
    <row r="884" spans="1:14">
      <c r="A884" s="262"/>
      <c r="B884" s="262"/>
      <c r="C884" s="197">
        <v>52</v>
      </c>
      <c r="D884" s="262"/>
      <c r="E884" s="198">
        <v>0</v>
      </c>
      <c r="F884" s="197" t="s">
        <v>227</v>
      </c>
      <c r="G884" s="199" t="s">
        <v>758</v>
      </c>
      <c r="H884" s="200"/>
      <c r="I884" s="200"/>
      <c r="J884" s="200"/>
      <c r="K884" s="199"/>
      <c r="L884" s="200"/>
      <c r="M884" s="200"/>
      <c r="N884" s="197"/>
    </row>
    <row r="885" spans="1:14">
      <c r="A885" s="262"/>
      <c r="B885" s="262"/>
      <c r="C885" s="197">
        <v>53</v>
      </c>
      <c r="D885" s="262"/>
      <c r="E885" s="198">
        <v>0</v>
      </c>
      <c r="F885" s="197" t="s">
        <v>227</v>
      </c>
      <c r="G885" s="199" t="s">
        <v>654</v>
      </c>
      <c r="H885" s="200"/>
      <c r="I885" s="200"/>
      <c r="J885" s="200"/>
      <c r="K885" s="199"/>
      <c r="L885" s="200"/>
      <c r="M885" s="200"/>
      <c r="N885" s="197"/>
    </row>
    <row r="886" spans="1:14">
      <c r="A886" s="262"/>
      <c r="B886" s="262"/>
      <c r="C886" s="197">
        <v>54</v>
      </c>
      <c r="D886" s="262"/>
      <c r="E886" s="198">
        <v>0</v>
      </c>
      <c r="F886" s="197" t="s">
        <v>227</v>
      </c>
      <c r="G886" s="199" t="s">
        <v>655</v>
      </c>
      <c r="H886" s="200"/>
      <c r="I886" s="200"/>
      <c r="J886" s="200"/>
      <c r="K886" s="199"/>
      <c r="L886" s="200"/>
      <c r="M886" s="200"/>
      <c r="N886" s="197"/>
    </row>
    <row r="887" spans="1:14">
      <c r="A887" s="262"/>
      <c r="B887" s="262"/>
      <c r="C887" s="197">
        <v>55</v>
      </c>
      <c r="D887" s="262"/>
      <c r="E887" s="198">
        <v>189.92248499999999</v>
      </c>
      <c r="F887" s="197"/>
      <c r="G887" s="199" t="s">
        <v>962</v>
      </c>
      <c r="H887" s="200"/>
      <c r="I887" s="200"/>
      <c r="J887" s="200"/>
      <c r="K887" s="199"/>
      <c r="L887" s="200"/>
      <c r="M887" s="200"/>
      <c r="N887" s="197"/>
    </row>
    <row r="888" spans="1:14">
      <c r="A888" s="262"/>
      <c r="B888" s="262"/>
      <c r="C888" s="197">
        <v>56</v>
      </c>
      <c r="D888" s="262"/>
      <c r="E888" s="198">
        <v>0</v>
      </c>
      <c r="F888" s="197" t="s">
        <v>227</v>
      </c>
      <c r="G888" s="199" t="s">
        <v>288</v>
      </c>
      <c r="H888" s="200"/>
      <c r="I888" s="200"/>
      <c r="J888" s="200"/>
      <c r="K888" s="199"/>
      <c r="L888" s="200"/>
      <c r="M888" s="200"/>
      <c r="N888" s="197"/>
    </row>
    <row r="889" spans="1:14">
      <c r="A889" s="262"/>
      <c r="B889" s="262"/>
      <c r="C889" s="197">
        <v>57</v>
      </c>
      <c r="D889" s="262"/>
      <c r="E889" s="198">
        <v>0</v>
      </c>
      <c r="F889" s="197" t="s">
        <v>227</v>
      </c>
      <c r="G889" s="199" t="s">
        <v>289</v>
      </c>
      <c r="H889" s="200"/>
      <c r="I889" s="200"/>
      <c r="J889" s="200"/>
      <c r="K889" s="199"/>
      <c r="L889" s="200"/>
      <c r="M889" s="200"/>
      <c r="N889" s="197"/>
    </row>
    <row r="890" spans="1:14">
      <c r="A890" s="262"/>
      <c r="B890" s="262"/>
      <c r="C890" s="197">
        <v>58</v>
      </c>
      <c r="D890" s="261">
        <v>13</v>
      </c>
      <c r="E890" s="198">
        <v>0</v>
      </c>
      <c r="F890" s="197" t="s">
        <v>227</v>
      </c>
      <c r="G890" s="199" t="s">
        <v>822</v>
      </c>
      <c r="H890" s="200">
        <v>0.45500000000000002</v>
      </c>
      <c r="I890" s="200">
        <v>0.99</v>
      </c>
      <c r="J890" s="200">
        <v>0.48</v>
      </c>
      <c r="K890" s="199" t="s">
        <v>671</v>
      </c>
      <c r="L890" s="200"/>
      <c r="M890" s="200"/>
      <c r="N890" s="197"/>
    </row>
    <row r="891" spans="1:14">
      <c r="A891" s="262"/>
      <c r="B891" s="262"/>
      <c r="C891" s="197">
        <v>59</v>
      </c>
      <c r="D891" s="262"/>
      <c r="E891" s="198">
        <v>289.815833</v>
      </c>
      <c r="F891" s="197"/>
      <c r="G891" s="199" t="s">
        <v>963</v>
      </c>
      <c r="H891" s="200"/>
      <c r="I891" s="200"/>
      <c r="J891" s="200"/>
      <c r="K891" s="199"/>
      <c r="L891" s="200"/>
      <c r="M891" s="200"/>
      <c r="N891" s="197"/>
    </row>
    <row r="892" spans="1:14">
      <c r="A892" s="262"/>
      <c r="B892" s="262"/>
      <c r="C892" s="197">
        <v>60</v>
      </c>
      <c r="D892" s="262"/>
      <c r="E892" s="198">
        <v>292.24652099999997</v>
      </c>
      <c r="F892" s="197"/>
      <c r="G892" s="199" t="s">
        <v>964</v>
      </c>
      <c r="H892" s="200"/>
      <c r="I892" s="200"/>
      <c r="J892" s="200"/>
      <c r="K892" s="199"/>
      <c r="L892" s="200"/>
      <c r="M892" s="200"/>
      <c r="N892" s="197"/>
    </row>
    <row r="893" spans="1:14">
      <c r="A893" s="262"/>
      <c r="B893" s="262"/>
      <c r="C893" s="197">
        <v>61</v>
      </c>
      <c r="D893" s="261">
        <v>14</v>
      </c>
      <c r="E893" s="198">
        <v>294.75049100000001</v>
      </c>
      <c r="F893" s="197" t="s">
        <v>227</v>
      </c>
      <c r="G893" s="199" t="s">
        <v>965</v>
      </c>
      <c r="H893" s="200">
        <v>0.47</v>
      </c>
      <c r="I893" s="200">
        <v>1.04</v>
      </c>
      <c r="J893" s="200">
        <v>0.46</v>
      </c>
      <c r="K893" s="199" t="s">
        <v>229</v>
      </c>
      <c r="L893" s="200"/>
      <c r="M893" s="200"/>
      <c r="N893" s="197"/>
    </row>
    <row r="894" spans="1:14">
      <c r="A894" s="262"/>
      <c r="B894" s="262"/>
      <c r="C894" s="197">
        <v>62</v>
      </c>
      <c r="D894" s="262"/>
      <c r="E894" s="198">
        <v>295.86736200000001</v>
      </c>
      <c r="F894" s="197"/>
      <c r="G894" s="199" t="s">
        <v>966</v>
      </c>
      <c r="H894" s="200"/>
      <c r="I894" s="200"/>
      <c r="J894" s="200"/>
      <c r="K894" s="199"/>
      <c r="L894" s="200"/>
      <c r="M894" s="200"/>
      <c r="N894" s="197"/>
    </row>
    <row r="895" spans="1:14">
      <c r="A895" s="262"/>
      <c r="B895" s="262"/>
      <c r="C895" s="197">
        <v>63</v>
      </c>
      <c r="D895" s="262"/>
      <c r="E895" s="198">
        <v>297.24878699999999</v>
      </c>
      <c r="F895" s="197"/>
      <c r="G895" s="199" t="s">
        <v>967</v>
      </c>
      <c r="H895" s="200"/>
      <c r="I895" s="200"/>
      <c r="J895" s="200"/>
      <c r="K895" s="199"/>
      <c r="L895" s="200"/>
      <c r="M895" s="200"/>
      <c r="N895" s="197"/>
    </row>
    <row r="896" spans="1:14">
      <c r="A896" s="262"/>
      <c r="B896" s="262"/>
      <c r="C896" s="197">
        <v>64</v>
      </c>
      <c r="D896" s="262"/>
      <c r="E896" s="198">
        <v>293.82529599999998</v>
      </c>
      <c r="F896" s="197"/>
      <c r="G896" s="199" t="s">
        <v>968</v>
      </c>
      <c r="H896" s="200"/>
      <c r="I896" s="200"/>
      <c r="J896" s="200"/>
      <c r="K896" s="199"/>
      <c r="L896" s="200"/>
      <c r="M896" s="200"/>
      <c r="N896" s="197"/>
    </row>
    <row r="897" spans="1:14">
      <c r="A897" s="262"/>
      <c r="B897" s="262"/>
      <c r="C897" s="197">
        <v>65</v>
      </c>
      <c r="D897" s="261">
        <v>15</v>
      </c>
      <c r="E897" s="198">
        <v>0</v>
      </c>
      <c r="F897" s="197" t="s">
        <v>227</v>
      </c>
      <c r="G897" s="199" t="s">
        <v>716</v>
      </c>
      <c r="H897" s="200">
        <v>0.45</v>
      </c>
      <c r="I897" s="200">
        <v>1</v>
      </c>
      <c r="J897" s="200">
        <v>0.505</v>
      </c>
      <c r="K897" s="199" t="s">
        <v>671</v>
      </c>
      <c r="L897" s="200"/>
      <c r="M897" s="200"/>
      <c r="N897" s="197"/>
    </row>
    <row r="898" spans="1:14">
      <c r="A898" s="262"/>
      <c r="B898" s="262"/>
      <c r="C898" s="197">
        <v>66</v>
      </c>
      <c r="D898" s="262"/>
      <c r="E898" s="198">
        <v>297.553494</v>
      </c>
      <c r="F898" s="197"/>
      <c r="G898" s="199" t="s">
        <v>969</v>
      </c>
      <c r="H898" s="200"/>
      <c r="I898" s="200"/>
      <c r="J898" s="200"/>
      <c r="K898" s="199"/>
      <c r="L898" s="200"/>
      <c r="M898" s="200"/>
      <c r="N898" s="197"/>
    </row>
    <row r="899" spans="1:14">
      <c r="A899" s="262"/>
      <c r="B899" s="262"/>
      <c r="C899" s="197">
        <v>67</v>
      </c>
      <c r="D899" s="262"/>
      <c r="E899" s="198">
        <v>0</v>
      </c>
      <c r="F899" s="197" t="s">
        <v>227</v>
      </c>
      <c r="G899" s="199" t="s">
        <v>771</v>
      </c>
      <c r="H899" s="200"/>
      <c r="I899" s="200"/>
      <c r="J899" s="200"/>
      <c r="K899" s="199"/>
      <c r="L899" s="200"/>
      <c r="M899" s="200"/>
      <c r="N899" s="197"/>
    </row>
    <row r="900" spans="1:14">
      <c r="A900" s="262"/>
      <c r="B900" s="262"/>
      <c r="C900" s="197">
        <v>68</v>
      </c>
      <c r="D900" s="262"/>
      <c r="E900" s="198">
        <v>294.34216099999998</v>
      </c>
      <c r="F900" s="197"/>
      <c r="G900" s="199" t="s">
        <v>970</v>
      </c>
      <c r="H900" s="200"/>
      <c r="I900" s="200"/>
      <c r="J900" s="200"/>
      <c r="K900" s="199"/>
      <c r="L900" s="200"/>
      <c r="M900" s="200"/>
      <c r="N900" s="197"/>
    </row>
    <row r="901" spans="1:14">
      <c r="A901" s="262"/>
      <c r="B901" s="262"/>
      <c r="C901" s="197">
        <v>69</v>
      </c>
      <c r="D901" s="261">
        <v>16</v>
      </c>
      <c r="E901" s="198">
        <v>273.18585200000001</v>
      </c>
      <c r="F901" s="197" t="s">
        <v>227</v>
      </c>
      <c r="G901" s="199" t="s">
        <v>971</v>
      </c>
      <c r="H901" s="200">
        <v>0.46500000000000002</v>
      </c>
      <c r="I901" s="200">
        <v>1.01</v>
      </c>
      <c r="J901" s="200">
        <v>0.495</v>
      </c>
      <c r="K901" s="199" t="s">
        <v>229</v>
      </c>
      <c r="L901" s="200"/>
      <c r="M901" s="200"/>
      <c r="N901" s="197"/>
    </row>
    <row r="902" spans="1:14">
      <c r="A902" s="262"/>
      <c r="B902" s="262"/>
      <c r="C902" s="197">
        <v>70</v>
      </c>
      <c r="D902" s="262"/>
      <c r="E902" s="198">
        <v>268.95533799999998</v>
      </c>
      <c r="F902" s="197"/>
      <c r="G902" s="199" t="s">
        <v>972</v>
      </c>
      <c r="H902" s="200"/>
      <c r="I902" s="200"/>
      <c r="J902" s="200"/>
      <c r="K902" s="199"/>
      <c r="L902" s="200"/>
      <c r="M902" s="200"/>
      <c r="N902" s="197"/>
    </row>
    <row r="903" spans="1:14">
      <c r="A903" s="262"/>
      <c r="B903" s="262"/>
      <c r="C903" s="197">
        <v>71</v>
      </c>
      <c r="D903" s="262"/>
      <c r="E903" s="198">
        <v>0</v>
      </c>
      <c r="F903" s="197" t="s">
        <v>227</v>
      </c>
      <c r="G903" s="199" t="s">
        <v>668</v>
      </c>
      <c r="H903" s="200"/>
      <c r="I903" s="200"/>
      <c r="J903" s="200"/>
      <c r="K903" s="199"/>
      <c r="L903" s="200"/>
      <c r="M903" s="200"/>
      <c r="N903" s="197"/>
    </row>
    <row r="904" spans="1:14">
      <c r="A904" s="262"/>
      <c r="B904" s="262"/>
      <c r="C904" s="197">
        <v>72</v>
      </c>
      <c r="D904" s="262"/>
      <c r="E904" s="198">
        <v>245.400183</v>
      </c>
      <c r="F904" s="197"/>
      <c r="G904" s="199" t="s">
        <v>973</v>
      </c>
      <c r="H904" s="200"/>
      <c r="I904" s="200"/>
      <c r="J904" s="200"/>
      <c r="K904" s="199"/>
      <c r="L904" s="200"/>
      <c r="M904" s="200"/>
      <c r="N904" s="197"/>
    </row>
    <row r="905" spans="1:14">
      <c r="A905" s="261" t="s">
        <v>974</v>
      </c>
      <c r="B905" s="261">
        <v>8</v>
      </c>
      <c r="C905" s="197">
        <v>1</v>
      </c>
      <c r="D905" s="261">
        <v>1</v>
      </c>
      <c r="E905" s="198">
        <v>0</v>
      </c>
      <c r="F905" s="197" t="s">
        <v>227</v>
      </c>
      <c r="G905" s="199" t="s">
        <v>228</v>
      </c>
      <c r="H905" s="200">
        <v>0.48499999999999999</v>
      </c>
      <c r="I905" s="200">
        <v>1.0049999999999999</v>
      </c>
      <c r="J905" s="200">
        <v>0.5</v>
      </c>
      <c r="K905" s="199" t="s">
        <v>229</v>
      </c>
      <c r="L905" s="200">
        <v>1.0288798520721443E-2</v>
      </c>
      <c r="M905" s="200"/>
      <c r="N905" s="197"/>
    </row>
    <row r="906" spans="1:14">
      <c r="A906" s="262"/>
      <c r="B906" s="262"/>
      <c r="C906" s="197">
        <v>2</v>
      </c>
      <c r="D906" s="262"/>
      <c r="E906" s="198">
        <v>0</v>
      </c>
      <c r="F906" s="197" t="s">
        <v>227</v>
      </c>
      <c r="G906" s="199" t="s">
        <v>230</v>
      </c>
      <c r="H906" s="200"/>
      <c r="I906" s="200"/>
      <c r="J906" s="200"/>
      <c r="K906" s="199"/>
      <c r="L906" s="200">
        <v>1.4303490614182252E-2</v>
      </c>
      <c r="M906" s="200"/>
      <c r="N906" s="197"/>
    </row>
    <row r="907" spans="1:14">
      <c r="A907" s="262"/>
      <c r="B907" s="262"/>
      <c r="C907" s="197">
        <v>3</v>
      </c>
      <c r="D907" s="262"/>
      <c r="E907" s="198">
        <v>0</v>
      </c>
      <c r="F907" s="197" t="s">
        <v>227</v>
      </c>
      <c r="G907" s="199" t="s">
        <v>324</v>
      </c>
      <c r="H907" s="200"/>
      <c r="I907" s="200"/>
      <c r="J907" s="200"/>
      <c r="K907" s="199"/>
      <c r="L907" s="200">
        <v>1.9364916731037102E-2</v>
      </c>
      <c r="M907" s="200"/>
      <c r="N907" s="197"/>
    </row>
    <row r="908" spans="1:14">
      <c r="A908" s="262"/>
      <c r="B908" s="262"/>
      <c r="C908" s="197">
        <v>4</v>
      </c>
      <c r="D908" s="262"/>
      <c r="E908" s="198">
        <v>0</v>
      </c>
      <c r="F908" s="197" t="s">
        <v>227</v>
      </c>
      <c r="G908" s="199" t="s">
        <v>325</v>
      </c>
      <c r="H908" s="200"/>
      <c r="I908" s="200"/>
      <c r="J908" s="200"/>
      <c r="K908" s="199"/>
      <c r="L908" s="200"/>
      <c r="M908" s="200" t="s">
        <v>975</v>
      </c>
      <c r="N908" s="197" t="s">
        <v>976</v>
      </c>
    </row>
    <row r="909" spans="1:14">
      <c r="A909" s="262"/>
      <c r="B909" s="262"/>
      <c r="C909" s="197">
        <v>5</v>
      </c>
      <c r="D909" s="262"/>
      <c r="E909" s="198">
        <v>0</v>
      </c>
      <c r="F909" s="197" t="s">
        <v>227</v>
      </c>
      <c r="G909" s="199" t="s">
        <v>327</v>
      </c>
      <c r="H909" s="200"/>
      <c r="I909" s="200"/>
      <c r="J909" s="200"/>
      <c r="K909" s="199"/>
      <c r="L909" s="200"/>
      <c r="M909" s="200"/>
      <c r="N909" s="197"/>
    </row>
    <row r="910" spans="1:14">
      <c r="A910" s="262"/>
      <c r="B910" s="262"/>
      <c r="C910" s="197">
        <v>6</v>
      </c>
      <c r="D910" s="262"/>
      <c r="E910" s="198">
        <v>0</v>
      </c>
      <c r="F910" s="197" t="s">
        <v>227</v>
      </c>
      <c r="G910" s="199" t="s">
        <v>720</v>
      </c>
      <c r="H910" s="200"/>
      <c r="I910" s="200"/>
      <c r="J910" s="200"/>
      <c r="K910" s="199"/>
      <c r="L910" s="200"/>
      <c r="M910" s="200"/>
      <c r="N910" s="197"/>
    </row>
    <row r="911" spans="1:14">
      <c r="A911" s="262"/>
      <c r="B911" s="262"/>
      <c r="C911" s="197">
        <v>7</v>
      </c>
      <c r="D911" s="262"/>
      <c r="E911" s="198">
        <v>304.48791499999999</v>
      </c>
      <c r="F911" s="197"/>
      <c r="G911" s="199" t="s">
        <v>977</v>
      </c>
      <c r="H911" s="200"/>
      <c r="I911" s="200"/>
      <c r="J911" s="200"/>
      <c r="K911" s="199"/>
      <c r="L911" s="200"/>
      <c r="M911" s="200"/>
      <c r="N911" s="197"/>
    </row>
    <row r="912" spans="1:14">
      <c r="A912" s="262"/>
      <c r="B912" s="262"/>
      <c r="C912" s="197">
        <v>8</v>
      </c>
      <c r="D912" s="261">
        <v>2</v>
      </c>
      <c r="E912" s="198">
        <v>388.621084</v>
      </c>
      <c r="F912" s="197" t="s">
        <v>227</v>
      </c>
      <c r="G912" s="199" t="s">
        <v>978</v>
      </c>
      <c r="H912" s="200">
        <v>0.49</v>
      </c>
      <c r="I912" s="200">
        <v>0.995</v>
      </c>
      <c r="J912" s="200">
        <v>0.5</v>
      </c>
      <c r="K912" s="199" t="s">
        <v>671</v>
      </c>
      <c r="L912" s="200"/>
      <c r="M912" s="200"/>
      <c r="N912" s="197"/>
    </row>
    <row r="913" spans="1:14">
      <c r="A913" s="262"/>
      <c r="B913" s="262"/>
      <c r="C913" s="197">
        <v>9</v>
      </c>
      <c r="D913" s="262"/>
      <c r="E913" s="198">
        <v>401.069525</v>
      </c>
      <c r="F913" s="197"/>
      <c r="G913" s="199" t="s">
        <v>979</v>
      </c>
      <c r="H913" s="200"/>
      <c r="I913" s="200"/>
      <c r="J913" s="200"/>
      <c r="K913" s="199"/>
      <c r="L913" s="200"/>
      <c r="M913" s="200"/>
      <c r="N913" s="197"/>
    </row>
    <row r="914" spans="1:14">
      <c r="A914" s="262"/>
      <c r="B914" s="262"/>
      <c r="C914" s="197">
        <v>10</v>
      </c>
      <c r="D914" s="262"/>
      <c r="E914" s="198">
        <v>401.074949</v>
      </c>
      <c r="F914" s="197"/>
      <c r="G914" s="199" t="s">
        <v>980</v>
      </c>
      <c r="H914" s="200"/>
      <c r="I914" s="200"/>
      <c r="J914" s="200"/>
      <c r="K914" s="199"/>
      <c r="L914" s="200"/>
      <c r="M914" s="200"/>
      <c r="N914" s="197"/>
    </row>
    <row r="915" spans="1:14">
      <c r="A915" s="262"/>
      <c r="B915" s="262"/>
      <c r="C915" s="197">
        <v>11</v>
      </c>
      <c r="D915" s="261">
        <v>3</v>
      </c>
      <c r="E915" s="198">
        <v>399.62635699999998</v>
      </c>
      <c r="F915" s="197" t="s">
        <v>227</v>
      </c>
      <c r="G915" s="199" t="s">
        <v>981</v>
      </c>
      <c r="H915" s="200">
        <v>0.47499999999999998</v>
      </c>
      <c r="I915" s="200">
        <v>1.0249999999999999</v>
      </c>
      <c r="J915" s="200">
        <v>0.47</v>
      </c>
      <c r="K915" s="199" t="s">
        <v>671</v>
      </c>
      <c r="L915" s="200"/>
      <c r="M915" s="200"/>
      <c r="N915" s="197"/>
    </row>
    <row r="916" spans="1:14">
      <c r="A916" s="262"/>
      <c r="B916" s="262"/>
      <c r="C916" s="197">
        <v>12</v>
      </c>
      <c r="D916" s="262"/>
      <c r="E916" s="198">
        <v>300.21641299999999</v>
      </c>
      <c r="F916" s="197"/>
      <c r="G916" s="199" t="s">
        <v>982</v>
      </c>
      <c r="H916" s="200"/>
      <c r="I916" s="200"/>
      <c r="J916" s="200"/>
      <c r="K916" s="199"/>
      <c r="L916" s="200"/>
      <c r="M916" s="200"/>
      <c r="N916" s="197"/>
    </row>
    <row r="917" spans="1:14">
      <c r="A917" s="262"/>
      <c r="B917" s="262"/>
      <c r="C917" s="197">
        <v>13</v>
      </c>
      <c r="D917" s="262"/>
      <c r="E917" s="198">
        <v>297.51712300000003</v>
      </c>
      <c r="F917" s="197"/>
      <c r="G917" s="199" t="s">
        <v>983</v>
      </c>
      <c r="H917" s="200"/>
      <c r="I917" s="200"/>
      <c r="J917" s="200"/>
      <c r="K917" s="199"/>
      <c r="L917" s="200"/>
      <c r="M917" s="200"/>
      <c r="N917" s="197"/>
    </row>
    <row r="918" spans="1:14">
      <c r="A918" s="262"/>
      <c r="B918" s="262"/>
      <c r="C918" s="197">
        <v>14</v>
      </c>
      <c r="D918" s="261">
        <v>4</v>
      </c>
      <c r="E918" s="198">
        <v>0</v>
      </c>
      <c r="F918" s="197" t="s">
        <v>227</v>
      </c>
      <c r="G918" s="199" t="s">
        <v>626</v>
      </c>
      <c r="H918" s="200">
        <v>0.48</v>
      </c>
      <c r="I918" s="200">
        <v>1.0049999999999999</v>
      </c>
      <c r="J918" s="200">
        <v>0.51</v>
      </c>
      <c r="K918" s="199" t="s">
        <v>229</v>
      </c>
      <c r="L918" s="200"/>
      <c r="M918" s="200"/>
      <c r="N918" s="197"/>
    </row>
    <row r="919" spans="1:14">
      <c r="A919" s="262"/>
      <c r="B919" s="262"/>
      <c r="C919" s="197">
        <v>15</v>
      </c>
      <c r="D919" s="262"/>
      <c r="E919" s="198">
        <v>0</v>
      </c>
      <c r="F919" s="197" t="s">
        <v>227</v>
      </c>
      <c r="G919" s="199" t="s">
        <v>246</v>
      </c>
      <c r="H919" s="200"/>
      <c r="I919" s="200"/>
      <c r="J919" s="200"/>
      <c r="K919" s="199"/>
      <c r="L919" s="200"/>
      <c r="M919" s="200"/>
      <c r="N919" s="197"/>
    </row>
    <row r="920" spans="1:14">
      <c r="A920" s="262"/>
      <c r="B920" s="262"/>
      <c r="C920" s="197">
        <v>16</v>
      </c>
      <c r="D920" s="262"/>
      <c r="E920" s="198">
        <v>295.50519000000003</v>
      </c>
      <c r="F920" s="197"/>
      <c r="G920" s="199" t="s">
        <v>984</v>
      </c>
      <c r="H920" s="200"/>
      <c r="I920" s="200"/>
      <c r="J920" s="200"/>
      <c r="K920" s="199"/>
      <c r="L920" s="200"/>
      <c r="M920" s="200"/>
      <c r="N920" s="197"/>
    </row>
    <row r="921" spans="1:14">
      <c r="A921" s="262"/>
      <c r="B921" s="262"/>
      <c r="C921" s="197">
        <v>17</v>
      </c>
      <c r="D921" s="262"/>
      <c r="E921" s="198">
        <v>291.17181499999998</v>
      </c>
      <c r="F921" s="197"/>
      <c r="G921" s="199" t="s">
        <v>985</v>
      </c>
      <c r="H921" s="200"/>
      <c r="I921" s="200"/>
      <c r="J921" s="200"/>
      <c r="K921" s="199"/>
      <c r="L921" s="200"/>
      <c r="M921" s="200"/>
      <c r="N921" s="197"/>
    </row>
    <row r="922" spans="1:14">
      <c r="A922" s="262"/>
      <c r="B922" s="262"/>
      <c r="C922" s="197">
        <v>18</v>
      </c>
      <c r="D922" s="262"/>
      <c r="E922" s="198">
        <v>211.51078799999999</v>
      </c>
      <c r="F922" s="197"/>
      <c r="G922" s="199" t="s">
        <v>986</v>
      </c>
      <c r="H922" s="200"/>
      <c r="I922" s="200"/>
      <c r="J922" s="200"/>
      <c r="K922" s="199"/>
      <c r="L922" s="200"/>
      <c r="M922" s="200"/>
      <c r="N922" s="197"/>
    </row>
    <row r="923" spans="1:14">
      <c r="A923" s="262"/>
      <c r="B923" s="262"/>
      <c r="C923" s="197">
        <v>19</v>
      </c>
      <c r="D923" s="262"/>
      <c r="E923" s="198">
        <v>211.51078799999999</v>
      </c>
      <c r="F923" s="197"/>
      <c r="G923" s="199" t="s">
        <v>987</v>
      </c>
      <c r="H923" s="200"/>
      <c r="I923" s="200"/>
      <c r="J923" s="200"/>
      <c r="K923" s="199"/>
      <c r="L923" s="200"/>
      <c r="M923" s="200"/>
      <c r="N923" s="197"/>
    </row>
    <row r="924" spans="1:14">
      <c r="A924" s="262"/>
      <c r="B924" s="262"/>
      <c r="C924" s="197">
        <v>20</v>
      </c>
      <c r="D924" s="262"/>
      <c r="E924" s="198">
        <v>0</v>
      </c>
      <c r="F924" s="197" t="s">
        <v>227</v>
      </c>
      <c r="G924" s="199" t="s">
        <v>686</v>
      </c>
      <c r="H924" s="200"/>
      <c r="I924" s="200"/>
      <c r="J924" s="200"/>
      <c r="K924" s="199"/>
      <c r="L924" s="200"/>
      <c r="M924" s="200"/>
      <c r="N924" s="197"/>
    </row>
    <row r="925" spans="1:14">
      <c r="A925" s="262"/>
      <c r="B925" s="262"/>
      <c r="C925" s="197">
        <v>21</v>
      </c>
      <c r="D925" s="262"/>
      <c r="E925" s="198">
        <v>0</v>
      </c>
      <c r="F925" s="197" t="s">
        <v>227</v>
      </c>
      <c r="G925" s="199" t="s">
        <v>252</v>
      </c>
      <c r="H925" s="200"/>
      <c r="I925" s="200"/>
      <c r="J925" s="200"/>
      <c r="K925" s="199"/>
      <c r="L925" s="200"/>
      <c r="M925" s="200"/>
      <c r="N925" s="197"/>
    </row>
    <row r="926" spans="1:14">
      <c r="A926" s="262"/>
      <c r="B926" s="262"/>
      <c r="C926" s="197">
        <v>22</v>
      </c>
      <c r="D926" s="261">
        <v>5</v>
      </c>
      <c r="E926" s="198">
        <v>0</v>
      </c>
      <c r="F926" s="197" t="s">
        <v>227</v>
      </c>
      <c r="G926" s="199" t="s">
        <v>630</v>
      </c>
      <c r="H926" s="200">
        <v>0.47</v>
      </c>
      <c r="I926" s="200">
        <v>1.0049999999999999</v>
      </c>
      <c r="J926" s="200">
        <v>0.51500000000000001</v>
      </c>
      <c r="K926" s="199" t="s">
        <v>229</v>
      </c>
      <c r="L926" s="200"/>
      <c r="M926" s="200"/>
      <c r="N926" s="197"/>
    </row>
    <row r="927" spans="1:14">
      <c r="A927" s="262"/>
      <c r="B927" s="262"/>
      <c r="C927" s="197">
        <v>23</v>
      </c>
      <c r="D927" s="262"/>
      <c r="E927" s="198">
        <v>0</v>
      </c>
      <c r="F927" s="197" t="s">
        <v>227</v>
      </c>
      <c r="G927" s="199" t="s">
        <v>254</v>
      </c>
      <c r="H927" s="200"/>
      <c r="I927" s="200"/>
      <c r="J927" s="200"/>
      <c r="K927" s="199"/>
      <c r="L927" s="200"/>
      <c r="M927" s="200"/>
      <c r="N927" s="197"/>
    </row>
    <row r="928" spans="1:14">
      <c r="A928" s="262"/>
      <c r="B928" s="262"/>
      <c r="C928" s="197">
        <v>24</v>
      </c>
      <c r="D928" s="262"/>
      <c r="E928" s="198">
        <v>297.47048999999998</v>
      </c>
      <c r="F928" s="197"/>
      <c r="G928" s="199" t="s">
        <v>988</v>
      </c>
      <c r="H928" s="200"/>
      <c r="I928" s="200"/>
      <c r="J928" s="200"/>
      <c r="K928" s="199"/>
      <c r="L928" s="200"/>
      <c r="M928" s="200"/>
      <c r="N928" s="197"/>
    </row>
    <row r="929" spans="1:14">
      <c r="A929" s="262"/>
      <c r="B929" s="262"/>
      <c r="C929" s="197">
        <v>25</v>
      </c>
      <c r="D929" s="262"/>
      <c r="E929" s="198">
        <v>297.767719</v>
      </c>
      <c r="F929" s="197"/>
      <c r="G929" s="199" t="s">
        <v>989</v>
      </c>
      <c r="H929" s="200"/>
      <c r="I929" s="200"/>
      <c r="J929" s="200"/>
      <c r="K929" s="199"/>
      <c r="L929" s="200"/>
      <c r="M929" s="200"/>
      <c r="N929" s="197"/>
    </row>
    <row r="930" spans="1:14">
      <c r="A930" s="262"/>
      <c r="B930" s="262"/>
      <c r="C930" s="197">
        <v>26</v>
      </c>
      <c r="D930" s="261">
        <v>6</v>
      </c>
      <c r="E930" s="198">
        <v>301.46392700000001</v>
      </c>
      <c r="F930" s="197" t="s">
        <v>227</v>
      </c>
      <c r="G930" s="199" t="s">
        <v>990</v>
      </c>
      <c r="H930" s="200">
        <v>0.48499999999999999</v>
      </c>
      <c r="I930" s="200">
        <v>1.0049999999999999</v>
      </c>
      <c r="J930" s="200">
        <v>0.52500000000000002</v>
      </c>
      <c r="K930" s="199" t="s">
        <v>671</v>
      </c>
      <c r="L930" s="200"/>
      <c r="M930" s="200"/>
      <c r="N930" s="197"/>
    </row>
    <row r="931" spans="1:14">
      <c r="A931" s="262"/>
      <c r="B931" s="262"/>
      <c r="C931" s="197">
        <v>27</v>
      </c>
      <c r="D931" s="262"/>
      <c r="E931" s="198">
        <v>299.78131100000002</v>
      </c>
      <c r="F931" s="197" t="s">
        <v>281</v>
      </c>
      <c r="G931" s="199" t="s">
        <v>991</v>
      </c>
      <c r="H931" s="200"/>
      <c r="I931" s="200"/>
      <c r="J931" s="200"/>
      <c r="K931" s="199"/>
      <c r="L931" s="200"/>
      <c r="M931" s="200"/>
      <c r="N931" s="197"/>
    </row>
    <row r="932" spans="1:14">
      <c r="A932" s="262"/>
      <c r="B932" s="262"/>
      <c r="C932" s="197">
        <v>28</v>
      </c>
      <c r="D932" s="262"/>
      <c r="E932" s="198">
        <v>0</v>
      </c>
      <c r="F932" s="197" t="s">
        <v>227</v>
      </c>
      <c r="G932" s="199" t="s">
        <v>259</v>
      </c>
      <c r="H932" s="200"/>
      <c r="I932" s="200"/>
      <c r="J932" s="200"/>
      <c r="K932" s="199"/>
      <c r="L932" s="200"/>
      <c r="M932" s="200"/>
      <c r="N932" s="197"/>
    </row>
    <row r="933" spans="1:14">
      <c r="A933" s="262"/>
      <c r="B933" s="262"/>
      <c r="C933" s="197">
        <v>29</v>
      </c>
      <c r="D933" s="262"/>
      <c r="E933" s="198">
        <v>277.732868</v>
      </c>
      <c r="F933" s="197"/>
      <c r="G933" s="199" t="s">
        <v>992</v>
      </c>
      <c r="H933" s="200"/>
      <c r="I933" s="200"/>
      <c r="J933" s="200"/>
      <c r="K933" s="199"/>
      <c r="L933" s="200"/>
      <c r="M933" s="200"/>
      <c r="N933" s="197"/>
    </row>
    <row r="934" spans="1:14">
      <c r="A934" s="262"/>
      <c r="B934" s="262"/>
      <c r="C934" s="197">
        <v>30</v>
      </c>
      <c r="D934" s="262"/>
      <c r="E934" s="198">
        <v>278.31930699999998</v>
      </c>
      <c r="F934" s="197"/>
      <c r="G934" s="199" t="s">
        <v>993</v>
      </c>
      <c r="H934" s="200"/>
      <c r="I934" s="200"/>
      <c r="J934" s="200"/>
      <c r="K934" s="199"/>
      <c r="L934" s="200"/>
      <c r="M934" s="200"/>
      <c r="N934" s="197"/>
    </row>
    <row r="935" spans="1:14">
      <c r="A935" s="262"/>
      <c r="B935" s="262"/>
      <c r="C935" s="197">
        <v>31</v>
      </c>
      <c r="D935" s="262"/>
      <c r="E935" s="198">
        <v>279.37646799999999</v>
      </c>
      <c r="F935" s="197"/>
      <c r="G935" s="199" t="s">
        <v>994</v>
      </c>
      <c r="H935" s="200"/>
      <c r="I935" s="200"/>
      <c r="J935" s="200"/>
      <c r="K935" s="199"/>
      <c r="L935" s="200"/>
      <c r="M935" s="200"/>
      <c r="N935" s="197"/>
    </row>
    <row r="936" spans="1:14">
      <c r="A936" s="262"/>
      <c r="B936" s="262"/>
      <c r="C936" s="197">
        <v>32</v>
      </c>
      <c r="D936" s="261">
        <v>7</v>
      </c>
      <c r="E936" s="198">
        <v>272.122998</v>
      </c>
      <c r="F936" s="197" t="s">
        <v>227</v>
      </c>
      <c r="G936" s="199" t="s">
        <v>995</v>
      </c>
      <c r="H936" s="200">
        <v>0.48499999999999999</v>
      </c>
      <c r="I936" s="200">
        <v>0.99</v>
      </c>
      <c r="J936" s="200">
        <v>0.505</v>
      </c>
      <c r="K936" s="199" t="s">
        <v>229</v>
      </c>
      <c r="L936" s="200"/>
      <c r="M936" s="200"/>
      <c r="N936" s="197"/>
    </row>
    <row r="937" spans="1:14">
      <c r="A937" s="262"/>
      <c r="B937" s="262"/>
      <c r="C937" s="197">
        <v>33</v>
      </c>
      <c r="D937" s="262"/>
      <c r="E937" s="198">
        <v>218.316833</v>
      </c>
      <c r="F937" s="197"/>
      <c r="G937" s="199" t="s">
        <v>996</v>
      </c>
      <c r="H937" s="200"/>
      <c r="I937" s="200"/>
      <c r="J937" s="200"/>
      <c r="K937" s="199"/>
      <c r="L937" s="200"/>
      <c r="M937" s="200"/>
      <c r="N937" s="197"/>
    </row>
    <row r="938" spans="1:14">
      <c r="A938" s="262"/>
      <c r="B938" s="262"/>
      <c r="C938" s="197">
        <v>34</v>
      </c>
      <c r="D938" s="262"/>
      <c r="E938" s="198">
        <v>219.402985</v>
      </c>
      <c r="F938" s="197"/>
      <c r="G938" s="199" t="s">
        <v>997</v>
      </c>
      <c r="H938" s="200"/>
      <c r="I938" s="200"/>
      <c r="J938" s="200"/>
      <c r="K938" s="199"/>
      <c r="L938" s="200"/>
      <c r="M938" s="200"/>
      <c r="N938" s="197"/>
    </row>
    <row r="939" spans="1:14">
      <c r="A939" s="262"/>
      <c r="B939" s="262"/>
      <c r="C939" s="197">
        <v>35</v>
      </c>
      <c r="D939" s="262"/>
      <c r="E939" s="198">
        <v>213.42722000000001</v>
      </c>
      <c r="F939" s="197"/>
      <c r="G939" s="199" t="s">
        <v>998</v>
      </c>
      <c r="H939" s="200"/>
      <c r="I939" s="200"/>
      <c r="J939" s="200"/>
      <c r="K939" s="199"/>
      <c r="L939" s="200"/>
      <c r="M939" s="200"/>
      <c r="N939" s="197"/>
    </row>
    <row r="940" spans="1:14">
      <c r="A940" s="262"/>
      <c r="B940" s="262"/>
      <c r="C940" s="197">
        <v>36</v>
      </c>
      <c r="D940" s="261">
        <v>8</v>
      </c>
      <c r="E940" s="198">
        <v>0</v>
      </c>
      <c r="F940" s="197" t="s">
        <v>227</v>
      </c>
      <c r="G940" s="199" t="s">
        <v>267</v>
      </c>
      <c r="H940" s="200">
        <v>0.46500000000000002</v>
      </c>
      <c r="I940" s="200">
        <v>1.01</v>
      </c>
      <c r="J940" s="200">
        <v>0.52500000000000002</v>
      </c>
      <c r="K940" s="199" t="s">
        <v>229</v>
      </c>
      <c r="L940" s="200"/>
      <c r="M940" s="200"/>
      <c r="N940" s="197"/>
    </row>
    <row r="941" spans="1:14">
      <c r="A941" s="262"/>
      <c r="B941" s="262"/>
      <c r="C941" s="197">
        <v>37</v>
      </c>
      <c r="D941" s="262"/>
      <c r="E941" s="198">
        <v>210.210745</v>
      </c>
      <c r="F941" s="197"/>
      <c r="G941" s="199" t="s">
        <v>999</v>
      </c>
      <c r="H941" s="200"/>
      <c r="I941" s="200"/>
      <c r="J941" s="200"/>
      <c r="K941" s="199"/>
      <c r="L941" s="200"/>
      <c r="M941" s="200"/>
      <c r="N941" s="197"/>
    </row>
    <row r="942" spans="1:14">
      <c r="A942" s="262"/>
      <c r="B942" s="262"/>
      <c r="C942" s="197">
        <v>38</v>
      </c>
      <c r="D942" s="262"/>
      <c r="E942" s="198">
        <v>209.95643200000001</v>
      </c>
      <c r="F942" s="197"/>
      <c r="G942" s="199" t="s">
        <v>1000</v>
      </c>
      <c r="H942" s="200"/>
      <c r="I942" s="200"/>
      <c r="J942" s="200"/>
      <c r="K942" s="199"/>
      <c r="L942" s="200"/>
      <c r="M942" s="200"/>
      <c r="N942" s="197"/>
    </row>
    <row r="943" spans="1:14">
      <c r="A943" s="262"/>
      <c r="B943" s="262"/>
      <c r="C943" s="197">
        <v>39</v>
      </c>
      <c r="D943" s="262"/>
      <c r="E943" s="198">
        <v>211.42388199999999</v>
      </c>
      <c r="F943" s="197"/>
      <c r="G943" s="199" t="s">
        <v>1001</v>
      </c>
      <c r="H943" s="200"/>
      <c r="I943" s="200"/>
      <c r="J943" s="200"/>
      <c r="K943" s="199"/>
      <c r="L943" s="200"/>
      <c r="M943" s="200"/>
      <c r="N943" s="197"/>
    </row>
    <row r="944" spans="1:14">
      <c r="A944" s="262"/>
      <c r="B944" s="262"/>
      <c r="C944" s="197">
        <v>40</v>
      </c>
      <c r="D944" s="262"/>
      <c r="E944" s="198">
        <v>212.21265299999999</v>
      </c>
      <c r="F944" s="197"/>
      <c r="G944" s="199" t="s">
        <v>1002</v>
      </c>
      <c r="H944" s="200"/>
      <c r="I944" s="200"/>
      <c r="J944" s="200"/>
      <c r="K944" s="199"/>
      <c r="L944" s="200"/>
      <c r="M944" s="200"/>
      <c r="N944" s="197"/>
    </row>
    <row r="945" spans="1:14">
      <c r="A945" s="262"/>
      <c r="B945" s="262"/>
      <c r="C945" s="197">
        <v>41</v>
      </c>
      <c r="D945" s="262"/>
      <c r="E945" s="198">
        <v>0</v>
      </c>
      <c r="F945" s="197" t="s">
        <v>227</v>
      </c>
      <c r="G945" s="199" t="s">
        <v>643</v>
      </c>
      <c r="H945" s="200"/>
      <c r="I945" s="200"/>
      <c r="J945" s="200"/>
      <c r="K945" s="199"/>
      <c r="L945" s="200"/>
      <c r="M945" s="200"/>
      <c r="N945" s="197"/>
    </row>
    <row r="946" spans="1:14">
      <c r="A946" s="262"/>
      <c r="B946" s="262"/>
      <c r="C946" s="197">
        <v>42</v>
      </c>
      <c r="D946" s="262"/>
      <c r="E946" s="198">
        <v>0</v>
      </c>
      <c r="F946" s="197" t="s">
        <v>227</v>
      </c>
      <c r="G946" s="199" t="s">
        <v>364</v>
      </c>
      <c r="H946" s="200"/>
      <c r="I946" s="200"/>
      <c r="J946" s="200"/>
      <c r="K946" s="199"/>
      <c r="L946" s="200"/>
      <c r="M946" s="200"/>
      <c r="N946" s="197"/>
    </row>
    <row r="947" spans="1:14">
      <c r="A947" s="262"/>
      <c r="B947" s="262"/>
      <c r="C947" s="197">
        <v>43</v>
      </c>
      <c r="D947" s="262"/>
      <c r="E947" s="198">
        <v>0</v>
      </c>
      <c r="F947" s="197" t="s">
        <v>227</v>
      </c>
      <c r="G947" s="199" t="s">
        <v>1003</v>
      </c>
      <c r="H947" s="200"/>
      <c r="I947" s="200"/>
      <c r="J947" s="200"/>
      <c r="K947" s="199"/>
      <c r="L947" s="200"/>
      <c r="M947" s="200"/>
      <c r="N947" s="197"/>
    </row>
    <row r="948" spans="1:14">
      <c r="A948" s="262"/>
      <c r="B948" s="262"/>
      <c r="C948" s="197">
        <v>44</v>
      </c>
      <c r="D948" s="262"/>
      <c r="E948" s="198">
        <v>0</v>
      </c>
      <c r="F948" s="197" t="s">
        <v>227</v>
      </c>
      <c r="G948" s="199" t="s">
        <v>1004</v>
      </c>
      <c r="H948" s="200"/>
      <c r="I948" s="200"/>
      <c r="J948" s="200"/>
      <c r="K948" s="199"/>
      <c r="L948" s="200"/>
      <c r="M948" s="200"/>
      <c r="N948" s="197"/>
    </row>
    <row r="949" spans="1:14">
      <c r="A949" s="262"/>
      <c r="B949" s="262"/>
      <c r="C949" s="197">
        <v>45</v>
      </c>
      <c r="D949" s="261">
        <v>9</v>
      </c>
      <c r="E949" s="198">
        <v>273.577742</v>
      </c>
      <c r="F949" s="197"/>
      <c r="G949" s="199" t="s">
        <v>1005</v>
      </c>
      <c r="H949" s="200">
        <v>0.46</v>
      </c>
      <c r="I949" s="200">
        <v>0.995</v>
      </c>
      <c r="J949" s="200">
        <v>0.54500000000000004</v>
      </c>
      <c r="K949" s="199" t="s">
        <v>229</v>
      </c>
      <c r="L949" s="200"/>
      <c r="M949" s="200"/>
      <c r="N949" s="197"/>
    </row>
    <row r="950" spans="1:14">
      <c r="A950" s="262"/>
      <c r="B950" s="262"/>
      <c r="C950" s="197">
        <v>46</v>
      </c>
      <c r="D950" s="262"/>
      <c r="E950" s="198">
        <v>273.85180500000001</v>
      </c>
      <c r="F950" s="197"/>
      <c r="G950" s="199" t="s">
        <v>1006</v>
      </c>
      <c r="H950" s="200"/>
      <c r="I950" s="200"/>
      <c r="J950" s="200"/>
      <c r="K950" s="199"/>
      <c r="L950" s="200"/>
      <c r="M950" s="200"/>
      <c r="N950" s="197"/>
    </row>
    <row r="951" spans="1:14">
      <c r="A951" s="262"/>
      <c r="B951" s="262"/>
      <c r="C951" s="197">
        <v>47</v>
      </c>
      <c r="D951" s="262"/>
      <c r="E951" s="198">
        <v>276.96825000000001</v>
      </c>
      <c r="F951" s="197"/>
      <c r="G951" s="199" t="s">
        <v>1007</v>
      </c>
      <c r="H951" s="200"/>
      <c r="I951" s="200"/>
      <c r="J951" s="200"/>
      <c r="K951" s="199"/>
      <c r="L951" s="200"/>
      <c r="M951" s="200"/>
      <c r="N951" s="197"/>
    </row>
    <row r="952" spans="1:14">
      <c r="A952" s="262"/>
      <c r="B952" s="262"/>
      <c r="C952" s="197">
        <v>48</v>
      </c>
      <c r="D952" s="261">
        <v>10</v>
      </c>
      <c r="E952" s="198">
        <v>0</v>
      </c>
      <c r="F952" s="197" t="s">
        <v>227</v>
      </c>
      <c r="G952" s="199" t="s">
        <v>279</v>
      </c>
      <c r="H952" s="200">
        <v>0.46</v>
      </c>
      <c r="I952" s="200">
        <v>1.0249999999999999</v>
      </c>
      <c r="J952" s="200">
        <v>0.47499999999999998</v>
      </c>
      <c r="K952" s="199" t="s">
        <v>229</v>
      </c>
      <c r="L952" s="200"/>
      <c r="M952" s="200"/>
      <c r="N952" s="197"/>
    </row>
    <row r="953" spans="1:14">
      <c r="A953" s="262"/>
      <c r="B953" s="262"/>
      <c r="C953" s="197">
        <v>49</v>
      </c>
      <c r="D953" s="262"/>
      <c r="E953" s="198">
        <v>0</v>
      </c>
      <c r="F953" s="197" t="s">
        <v>227</v>
      </c>
      <c r="G953" s="199" t="s">
        <v>1008</v>
      </c>
      <c r="H953" s="200"/>
      <c r="I953" s="200"/>
      <c r="J953" s="200"/>
      <c r="K953" s="199"/>
      <c r="L953" s="200"/>
      <c r="M953" s="200"/>
      <c r="N953" s="197"/>
    </row>
    <row r="954" spans="1:14">
      <c r="A954" s="262"/>
      <c r="B954" s="262"/>
      <c r="C954" s="197">
        <v>50</v>
      </c>
      <c r="D954" s="262"/>
      <c r="E954" s="198">
        <v>232.717682</v>
      </c>
      <c r="F954" s="197"/>
      <c r="G954" s="199" t="s">
        <v>1009</v>
      </c>
      <c r="H954" s="200"/>
      <c r="I954" s="200"/>
      <c r="J954" s="200"/>
      <c r="K954" s="199"/>
      <c r="L954" s="200"/>
      <c r="M954" s="200"/>
      <c r="N954" s="197"/>
    </row>
    <row r="955" spans="1:14">
      <c r="A955" s="262"/>
      <c r="B955" s="262"/>
      <c r="C955" s="197">
        <v>51</v>
      </c>
      <c r="D955" s="262"/>
      <c r="E955" s="198">
        <v>232.00833800000001</v>
      </c>
      <c r="F955" s="197"/>
      <c r="G955" s="199" t="s">
        <v>1010</v>
      </c>
      <c r="H955" s="200"/>
      <c r="I955" s="200"/>
      <c r="J955" s="200"/>
      <c r="K955" s="199"/>
      <c r="L955" s="200"/>
      <c r="M955" s="200"/>
      <c r="N955" s="197"/>
    </row>
    <row r="956" spans="1:14">
      <c r="A956" s="262"/>
      <c r="B956" s="262"/>
      <c r="C956" s="197">
        <v>52</v>
      </c>
      <c r="D956" s="261">
        <v>11</v>
      </c>
      <c r="E956" s="198">
        <v>0</v>
      </c>
      <c r="F956" s="197" t="s">
        <v>227</v>
      </c>
      <c r="G956" s="199" t="s">
        <v>1011</v>
      </c>
      <c r="H956" s="200">
        <v>0.48499999999999999</v>
      </c>
      <c r="I956" s="200">
        <v>0.995</v>
      </c>
      <c r="J956" s="200">
        <v>0.52</v>
      </c>
      <c r="K956" s="199" t="s">
        <v>229</v>
      </c>
      <c r="L956" s="200"/>
      <c r="M956" s="200"/>
      <c r="N956" s="197"/>
    </row>
    <row r="957" spans="1:14">
      <c r="A957" s="262"/>
      <c r="B957" s="262"/>
      <c r="C957" s="197">
        <v>53</v>
      </c>
      <c r="D957" s="262"/>
      <c r="E957" s="198">
        <v>405.61978299999998</v>
      </c>
      <c r="F957" s="197"/>
      <c r="G957" s="199" t="s">
        <v>1012</v>
      </c>
      <c r="H957" s="200"/>
      <c r="I957" s="200"/>
      <c r="J957" s="200"/>
      <c r="K957" s="199"/>
      <c r="L957" s="200"/>
      <c r="M957" s="200"/>
      <c r="N957" s="197"/>
    </row>
    <row r="958" spans="1:14">
      <c r="A958" s="262"/>
      <c r="B958" s="262"/>
      <c r="C958" s="197">
        <v>54</v>
      </c>
      <c r="D958" s="262"/>
      <c r="E958" s="198">
        <v>417.37061899999998</v>
      </c>
      <c r="F958" s="197"/>
      <c r="G958" s="199" t="s">
        <v>1013</v>
      </c>
      <c r="H958" s="200"/>
      <c r="I958" s="200"/>
      <c r="J958" s="200"/>
      <c r="K958" s="199"/>
      <c r="L958" s="200"/>
      <c r="M958" s="200"/>
      <c r="N958" s="197"/>
    </row>
    <row r="959" spans="1:14">
      <c r="A959" s="262"/>
      <c r="B959" s="262"/>
      <c r="C959" s="197">
        <v>55</v>
      </c>
      <c r="D959" s="262"/>
      <c r="E959" s="198">
        <v>416.76249300000001</v>
      </c>
      <c r="F959" s="197"/>
      <c r="G959" s="199" t="s">
        <v>1014</v>
      </c>
      <c r="H959" s="200"/>
      <c r="I959" s="200"/>
      <c r="J959" s="200"/>
      <c r="K959" s="199"/>
      <c r="L959" s="200"/>
      <c r="M959" s="200"/>
      <c r="N959" s="197"/>
    </row>
    <row r="960" spans="1:14">
      <c r="A960" s="262"/>
      <c r="B960" s="262"/>
      <c r="C960" s="197">
        <v>56</v>
      </c>
      <c r="D960" s="261">
        <v>12</v>
      </c>
      <c r="E960" s="198">
        <v>204.35311400000001</v>
      </c>
      <c r="F960" s="197" t="s">
        <v>227</v>
      </c>
      <c r="G960" s="199" t="s">
        <v>1015</v>
      </c>
      <c r="H960" s="200">
        <v>0.46500000000000002</v>
      </c>
      <c r="I960" s="200">
        <v>1</v>
      </c>
      <c r="J960" s="200">
        <v>0.52</v>
      </c>
      <c r="K960" s="199" t="s">
        <v>229</v>
      </c>
      <c r="L960" s="200"/>
      <c r="M960" s="200"/>
      <c r="N960" s="197"/>
    </row>
    <row r="961" spans="1:14">
      <c r="A961" s="262"/>
      <c r="B961" s="262"/>
      <c r="C961" s="197">
        <v>57</v>
      </c>
      <c r="D961" s="262"/>
      <c r="E961" s="198">
        <v>200.454544</v>
      </c>
      <c r="F961" s="197"/>
      <c r="G961" s="199" t="s">
        <v>1016</v>
      </c>
      <c r="H961" s="200"/>
      <c r="I961" s="200"/>
      <c r="J961" s="200"/>
      <c r="K961" s="199"/>
      <c r="L961" s="200"/>
      <c r="M961" s="200"/>
      <c r="N961" s="197"/>
    </row>
    <row r="962" spans="1:14">
      <c r="A962" s="262"/>
      <c r="B962" s="262"/>
      <c r="C962" s="197">
        <v>58</v>
      </c>
      <c r="D962" s="262"/>
      <c r="E962" s="198">
        <v>275.79054600000001</v>
      </c>
      <c r="F962" s="197"/>
      <c r="G962" s="199" t="s">
        <v>1017</v>
      </c>
      <c r="H962" s="200"/>
      <c r="I962" s="200"/>
      <c r="J962" s="200"/>
      <c r="K962" s="199"/>
      <c r="L962" s="200"/>
      <c r="M962" s="200"/>
      <c r="N962" s="197"/>
    </row>
    <row r="963" spans="1:14">
      <c r="A963" s="262"/>
      <c r="B963" s="262"/>
      <c r="C963" s="197">
        <v>59</v>
      </c>
      <c r="D963" s="262"/>
      <c r="E963" s="198">
        <v>276.47914600000001</v>
      </c>
      <c r="F963" s="197"/>
      <c r="G963" s="199" t="s">
        <v>1018</v>
      </c>
      <c r="H963" s="200"/>
      <c r="I963" s="200"/>
      <c r="J963" s="200"/>
      <c r="K963" s="199"/>
      <c r="L963" s="200"/>
      <c r="M963" s="200"/>
      <c r="N963" s="197"/>
    </row>
    <row r="964" spans="1:14">
      <c r="A964" s="262"/>
      <c r="B964" s="262"/>
      <c r="C964" s="197">
        <v>60</v>
      </c>
      <c r="D964" s="262"/>
      <c r="E964" s="198">
        <v>0</v>
      </c>
      <c r="F964" s="197" t="s">
        <v>227</v>
      </c>
      <c r="G964" s="199" t="s">
        <v>292</v>
      </c>
      <c r="H964" s="200"/>
      <c r="I964" s="200"/>
      <c r="J964" s="200"/>
      <c r="K964" s="199"/>
      <c r="L964" s="200"/>
      <c r="M964" s="200"/>
      <c r="N964" s="197"/>
    </row>
    <row r="965" spans="1:14">
      <c r="A965" s="262"/>
      <c r="B965" s="262"/>
      <c r="C965" s="197">
        <v>61</v>
      </c>
      <c r="D965" s="262"/>
      <c r="E965" s="198">
        <v>0</v>
      </c>
      <c r="F965" s="197" t="s">
        <v>227</v>
      </c>
      <c r="G965" s="199" t="s">
        <v>293</v>
      </c>
      <c r="H965" s="200"/>
      <c r="I965" s="200"/>
      <c r="J965" s="200"/>
      <c r="K965" s="199"/>
      <c r="L965" s="200"/>
      <c r="M965" s="200"/>
      <c r="N965" s="197"/>
    </row>
    <row r="966" spans="1:14">
      <c r="A966" s="262"/>
      <c r="B966" s="262"/>
      <c r="C966" s="197">
        <v>62</v>
      </c>
      <c r="D966" s="262"/>
      <c r="E966" s="198">
        <v>0</v>
      </c>
      <c r="F966" s="197" t="s">
        <v>227</v>
      </c>
      <c r="G966" s="199" t="s">
        <v>1019</v>
      </c>
      <c r="H966" s="200"/>
      <c r="I966" s="200"/>
      <c r="J966" s="200"/>
      <c r="K966" s="199"/>
      <c r="L966" s="200"/>
      <c r="M966" s="200"/>
      <c r="N966" s="197"/>
    </row>
    <row r="967" spans="1:14">
      <c r="A967" s="262"/>
      <c r="B967" s="262"/>
      <c r="C967" s="197">
        <v>63</v>
      </c>
      <c r="D967" s="261">
        <v>13</v>
      </c>
      <c r="E967" s="198">
        <v>0</v>
      </c>
      <c r="F967" s="197" t="s">
        <v>227</v>
      </c>
      <c r="G967" s="199" t="s">
        <v>470</v>
      </c>
      <c r="H967" s="200">
        <v>0.46500000000000002</v>
      </c>
      <c r="I967" s="200">
        <v>1</v>
      </c>
      <c r="J967" s="200">
        <v>0.52500000000000002</v>
      </c>
      <c r="K967" s="199" t="s">
        <v>229</v>
      </c>
      <c r="L967" s="200"/>
      <c r="M967" s="200"/>
      <c r="N967" s="197"/>
    </row>
    <row r="968" spans="1:14">
      <c r="A968" s="262"/>
      <c r="B968" s="262"/>
      <c r="C968" s="197">
        <v>64</v>
      </c>
      <c r="D968" s="262"/>
      <c r="E968" s="198">
        <v>299.32128899999998</v>
      </c>
      <c r="F968" s="197"/>
      <c r="G968" s="199" t="s">
        <v>1020</v>
      </c>
      <c r="H968" s="200"/>
      <c r="I968" s="200"/>
      <c r="J968" s="200"/>
      <c r="K968" s="199"/>
      <c r="L968" s="200"/>
      <c r="M968" s="200"/>
      <c r="N968" s="197"/>
    </row>
    <row r="969" spans="1:14">
      <c r="A969" s="262"/>
      <c r="B969" s="262"/>
      <c r="C969" s="197">
        <v>65</v>
      </c>
      <c r="D969" s="262"/>
      <c r="E969" s="198">
        <v>311.66504900000001</v>
      </c>
      <c r="F969" s="197"/>
      <c r="G969" s="199" t="s">
        <v>1021</v>
      </c>
      <c r="H969" s="200"/>
      <c r="I969" s="200"/>
      <c r="J969" s="200"/>
      <c r="K969" s="199"/>
      <c r="L969" s="200"/>
      <c r="M969" s="200"/>
      <c r="N969" s="197"/>
    </row>
    <row r="970" spans="1:14">
      <c r="A970" s="262"/>
      <c r="B970" s="262"/>
      <c r="C970" s="197">
        <v>66</v>
      </c>
      <c r="D970" s="261">
        <v>14</v>
      </c>
      <c r="E970" s="198">
        <v>310.27861999999999</v>
      </c>
      <c r="F970" s="197" t="s">
        <v>227</v>
      </c>
      <c r="G970" s="199" t="s">
        <v>1022</v>
      </c>
      <c r="H970" s="200">
        <v>0.47</v>
      </c>
      <c r="I970" s="200">
        <v>1</v>
      </c>
      <c r="J970" s="200">
        <v>0.51</v>
      </c>
      <c r="K970" s="199" t="s">
        <v>671</v>
      </c>
      <c r="L970" s="200"/>
      <c r="M970" s="200"/>
      <c r="N970" s="197"/>
    </row>
    <row r="971" spans="1:14">
      <c r="A971" s="262"/>
      <c r="B971" s="262"/>
      <c r="C971" s="197">
        <v>67</v>
      </c>
      <c r="D971" s="262"/>
      <c r="E971" s="198">
        <v>307.665457</v>
      </c>
      <c r="F971" s="197"/>
      <c r="G971" s="199" t="s">
        <v>1023</v>
      </c>
      <c r="H971" s="200"/>
      <c r="I971" s="200"/>
      <c r="J971" s="200"/>
      <c r="K971" s="199"/>
      <c r="L971" s="200"/>
      <c r="M971" s="200"/>
      <c r="N971" s="197"/>
    </row>
    <row r="972" spans="1:14">
      <c r="A972" s="262"/>
      <c r="B972" s="262"/>
      <c r="C972" s="197">
        <v>68</v>
      </c>
      <c r="D972" s="262"/>
      <c r="E972" s="198">
        <v>278.40587900000003</v>
      </c>
      <c r="F972" s="197"/>
      <c r="G972" s="199" t="s">
        <v>1024</v>
      </c>
      <c r="H972" s="200"/>
      <c r="I972" s="200"/>
      <c r="J972" s="200"/>
      <c r="K972" s="199"/>
      <c r="L972" s="200"/>
      <c r="M972" s="200"/>
      <c r="N972" s="197"/>
    </row>
    <row r="973" spans="1:14">
      <c r="A973" s="262"/>
      <c r="B973" s="262"/>
      <c r="C973" s="197">
        <v>69</v>
      </c>
      <c r="D973" s="262"/>
      <c r="E973" s="198">
        <v>282.068647</v>
      </c>
      <c r="F973" s="197"/>
      <c r="G973" s="199" t="s">
        <v>1025</v>
      </c>
      <c r="H973" s="200"/>
      <c r="I973" s="200"/>
      <c r="J973" s="200"/>
      <c r="K973" s="199"/>
      <c r="L973" s="200"/>
      <c r="M973" s="200"/>
      <c r="N973" s="197"/>
    </row>
    <row r="974" spans="1:14">
      <c r="A974" s="262"/>
      <c r="B974" s="262"/>
      <c r="C974" s="197">
        <v>70</v>
      </c>
      <c r="D974" s="261">
        <v>15</v>
      </c>
      <c r="E974" s="198">
        <v>281.67832399999998</v>
      </c>
      <c r="F974" s="197" t="s">
        <v>227</v>
      </c>
      <c r="G974" s="199" t="s">
        <v>1026</v>
      </c>
      <c r="H974" s="200">
        <v>0.48</v>
      </c>
      <c r="I974" s="200">
        <v>0.98</v>
      </c>
      <c r="J974" s="200">
        <v>0.51500000000000001</v>
      </c>
      <c r="K974" s="199" t="s">
        <v>671</v>
      </c>
      <c r="L974" s="200"/>
      <c r="M974" s="200"/>
      <c r="N974" s="197"/>
    </row>
    <row r="975" spans="1:14">
      <c r="A975" s="262"/>
      <c r="B975" s="262"/>
      <c r="C975" s="197">
        <v>71</v>
      </c>
      <c r="D975" s="262"/>
      <c r="E975" s="198">
        <v>0</v>
      </c>
      <c r="F975" s="197" t="s">
        <v>227</v>
      </c>
      <c r="G975" s="199" t="s">
        <v>1027</v>
      </c>
      <c r="H975" s="200"/>
      <c r="I975" s="200"/>
      <c r="J975" s="200"/>
      <c r="K975" s="199"/>
      <c r="L975" s="200"/>
      <c r="M975" s="200"/>
      <c r="N975" s="197"/>
    </row>
    <row r="976" spans="1:14">
      <c r="A976" s="262"/>
      <c r="B976" s="262"/>
      <c r="C976" s="197">
        <v>72</v>
      </c>
      <c r="D976" s="262"/>
      <c r="E976" s="198">
        <v>0</v>
      </c>
      <c r="F976" s="197" t="s">
        <v>227</v>
      </c>
      <c r="G976" s="199" t="s">
        <v>304</v>
      </c>
      <c r="H976" s="200"/>
      <c r="I976" s="200"/>
      <c r="J976" s="200"/>
      <c r="K976" s="199"/>
      <c r="L976" s="200"/>
      <c r="M976" s="200"/>
      <c r="N976" s="197"/>
    </row>
    <row r="977" spans="1:14">
      <c r="A977" s="262"/>
      <c r="B977" s="262"/>
      <c r="C977" s="197">
        <v>73</v>
      </c>
      <c r="D977" s="262"/>
      <c r="E977" s="198">
        <v>217.50924699999999</v>
      </c>
      <c r="F977" s="197"/>
      <c r="G977" s="199" t="s">
        <v>1028</v>
      </c>
      <c r="H977" s="200"/>
      <c r="I977" s="200"/>
      <c r="J977" s="200"/>
      <c r="K977" s="199"/>
      <c r="L977" s="200"/>
      <c r="M977" s="200"/>
      <c r="N977" s="197"/>
    </row>
    <row r="978" spans="1:14">
      <c r="A978" s="262"/>
      <c r="B978" s="262"/>
      <c r="C978" s="197">
        <v>74</v>
      </c>
      <c r="D978" s="261">
        <v>16</v>
      </c>
      <c r="E978" s="198">
        <v>0</v>
      </c>
      <c r="F978" s="197" t="s">
        <v>227</v>
      </c>
      <c r="G978" s="199" t="s">
        <v>306</v>
      </c>
      <c r="H978" s="200">
        <v>0.49</v>
      </c>
      <c r="I978" s="200">
        <v>1.04</v>
      </c>
      <c r="J978" s="200">
        <v>0.54</v>
      </c>
      <c r="K978" s="199" t="s">
        <v>229</v>
      </c>
      <c r="L978" s="200"/>
      <c r="M978" s="200"/>
      <c r="N978" s="197"/>
    </row>
    <row r="979" spans="1:14">
      <c r="A979" s="262"/>
      <c r="B979" s="262"/>
      <c r="C979" s="197">
        <v>75</v>
      </c>
      <c r="D979" s="262"/>
      <c r="E979" s="198">
        <v>0</v>
      </c>
      <c r="F979" s="197" t="s">
        <v>227</v>
      </c>
      <c r="G979" s="199" t="s">
        <v>307</v>
      </c>
      <c r="H979" s="200"/>
      <c r="I979" s="200"/>
      <c r="J979" s="200"/>
      <c r="K979" s="199"/>
      <c r="L979" s="200"/>
      <c r="M979" s="200"/>
      <c r="N979" s="197"/>
    </row>
    <row r="980" spans="1:14">
      <c r="A980" s="262"/>
      <c r="B980" s="262"/>
      <c r="C980" s="197">
        <v>76</v>
      </c>
      <c r="D980" s="262"/>
      <c r="E980" s="198">
        <v>0</v>
      </c>
      <c r="F980" s="197" t="s">
        <v>227</v>
      </c>
      <c r="G980" s="199" t="s">
        <v>308</v>
      </c>
      <c r="H980" s="200"/>
      <c r="I980" s="200"/>
      <c r="J980" s="200"/>
      <c r="K980" s="199"/>
      <c r="L980" s="200"/>
      <c r="M980" s="200"/>
      <c r="N980" s="197"/>
    </row>
    <row r="981" spans="1:14">
      <c r="A981" s="262"/>
      <c r="B981" s="262"/>
      <c r="C981" s="197">
        <v>77</v>
      </c>
      <c r="D981" s="262"/>
      <c r="E981" s="198">
        <v>0</v>
      </c>
      <c r="F981" s="197" t="s">
        <v>227</v>
      </c>
      <c r="G981" s="199" t="s">
        <v>309</v>
      </c>
      <c r="H981" s="200"/>
      <c r="I981" s="200"/>
      <c r="J981" s="200"/>
      <c r="K981" s="199"/>
      <c r="L981" s="200"/>
      <c r="M981" s="200"/>
      <c r="N981" s="197"/>
    </row>
    <row r="982" spans="1:14">
      <c r="A982" s="262"/>
      <c r="B982" s="262"/>
      <c r="C982" s="197">
        <v>78</v>
      </c>
      <c r="D982" s="262"/>
      <c r="E982" s="198">
        <v>0</v>
      </c>
      <c r="F982" s="197" t="s">
        <v>227</v>
      </c>
      <c r="G982" s="199" t="s">
        <v>310</v>
      </c>
      <c r="H982" s="200"/>
      <c r="I982" s="200"/>
      <c r="J982" s="200"/>
      <c r="K982" s="199"/>
      <c r="L982" s="200"/>
      <c r="M982" s="200"/>
      <c r="N982" s="197"/>
    </row>
    <row r="983" spans="1:14">
      <c r="A983" s="262"/>
      <c r="B983" s="262"/>
      <c r="C983" s="197">
        <v>79</v>
      </c>
      <c r="D983" s="262"/>
      <c r="E983" s="198">
        <v>0</v>
      </c>
      <c r="F983" s="197" t="s">
        <v>227</v>
      </c>
      <c r="G983" s="199" t="s">
        <v>311</v>
      </c>
      <c r="H983" s="200"/>
      <c r="I983" s="200"/>
      <c r="J983" s="200"/>
      <c r="K983" s="199"/>
      <c r="L983" s="200"/>
      <c r="M983" s="200"/>
      <c r="N983" s="197"/>
    </row>
    <row r="984" spans="1:14">
      <c r="A984" s="262"/>
      <c r="B984" s="262"/>
      <c r="C984" s="197">
        <v>80</v>
      </c>
      <c r="D984" s="262"/>
      <c r="E984" s="198">
        <v>0</v>
      </c>
      <c r="F984" s="197" t="s">
        <v>227</v>
      </c>
      <c r="G984" s="199" t="s">
        <v>312</v>
      </c>
      <c r="H984" s="200"/>
      <c r="I984" s="200"/>
      <c r="J984" s="200"/>
      <c r="K984" s="199"/>
      <c r="L984" s="200"/>
      <c r="M984" s="200"/>
      <c r="N984" s="197"/>
    </row>
    <row r="985" spans="1:14">
      <c r="A985" s="261" t="s">
        <v>1029</v>
      </c>
      <c r="B985" s="261">
        <v>4</v>
      </c>
      <c r="C985" s="197">
        <v>1</v>
      </c>
      <c r="D985" s="261">
        <v>1</v>
      </c>
      <c r="E985" s="198">
        <v>0</v>
      </c>
      <c r="F985" s="197" t="s">
        <v>227</v>
      </c>
      <c r="G985" s="199" t="s">
        <v>228</v>
      </c>
      <c r="H985" s="200">
        <v>0.56499999999999995</v>
      </c>
      <c r="I985" s="200">
        <v>0.95499999999999996</v>
      </c>
      <c r="J985" s="200">
        <v>0.42</v>
      </c>
      <c r="K985" s="199" t="s">
        <v>229</v>
      </c>
      <c r="L985" s="200">
        <v>3.4454453630844289E-2</v>
      </c>
      <c r="M985" s="200"/>
      <c r="N985" s="197"/>
    </row>
    <row r="986" spans="1:14">
      <c r="A986" s="262"/>
      <c r="B986" s="262"/>
      <c r="C986" s="197">
        <v>2</v>
      </c>
      <c r="D986" s="262"/>
      <c r="E986" s="198">
        <v>273.24444199999999</v>
      </c>
      <c r="F986" s="197"/>
      <c r="G986" s="199" t="s">
        <v>1030</v>
      </c>
      <c r="H986" s="200"/>
      <c r="I986" s="200"/>
      <c r="J986" s="200"/>
      <c r="K986" s="199"/>
      <c r="L986" s="200">
        <v>1.7741084909046561E-2</v>
      </c>
      <c r="M986" s="200"/>
      <c r="N986" s="197"/>
    </row>
    <row r="987" spans="1:14">
      <c r="A987" s="262"/>
      <c r="B987" s="262"/>
      <c r="C987" s="197">
        <v>3</v>
      </c>
      <c r="D987" s="262"/>
      <c r="E987" s="198">
        <v>271.79676599999999</v>
      </c>
      <c r="F987" s="197"/>
      <c r="G987" s="199" t="s">
        <v>1031</v>
      </c>
      <c r="H987" s="200"/>
      <c r="I987" s="200"/>
      <c r="J987" s="200"/>
      <c r="K987" s="199"/>
      <c r="L987" s="200">
        <v>2.1155580676266016E-2</v>
      </c>
      <c r="M987" s="200"/>
      <c r="N987" s="197"/>
    </row>
    <row r="988" spans="1:14">
      <c r="A988" s="262"/>
      <c r="B988" s="262"/>
      <c r="C988" s="197">
        <v>4</v>
      </c>
      <c r="D988" s="262"/>
      <c r="E988" s="198">
        <v>252.24023399999999</v>
      </c>
      <c r="F988" s="197"/>
      <c r="G988" s="199" t="s">
        <v>1032</v>
      </c>
      <c r="H988" s="200"/>
      <c r="I988" s="200"/>
      <c r="J988" s="200"/>
      <c r="K988" s="199"/>
      <c r="L988" s="200"/>
      <c r="M988" s="200" t="s">
        <v>233</v>
      </c>
      <c r="N988" s="197" t="s">
        <v>1033</v>
      </c>
    </row>
    <row r="989" spans="1:14">
      <c r="A989" s="262"/>
      <c r="B989" s="262"/>
      <c r="C989" s="197">
        <v>5</v>
      </c>
      <c r="D989" s="261">
        <v>2</v>
      </c>
      <c r="E989" s="198">
        <v>251.60789500000001</v>
      </c>
      <c r="F989" s="197" t="s">
        <v>227</v>
      </c>
      <c r="G989" s="199" t="s">
        <v>1034</v>
      </c>
      <c r="H989" s="200">
        <v>0.63500000000000001</v>
      </c>
      <c r="I989" s="200">
        <v>1.02</v>
      </c>
      <c r="J989" s="200">
        <v>0.45500000000000002</v>
      </c>
      <c r="K989" s="199" t="s">
        <v>229</v>
      </c>
      <c r="L989" s="200"/>
      <c r="M989" s="200"/>
      <c r="N989" s="197"/>
    </row>
    <row r="990" spans="1:14">
      <c r="A990" s="262"/>
      <c r="B990" s="262"/>
      <c r="C990" s="197">
        <v>6</v>
      </c>
      <c r="D990" s="262"/>
      <c r="E990" s="198">
        <v>0</v>
      </c>
      <c r="F990" s="197" t="s">
        <v>227</v>
      </c>
      <c r="G990" s="199" t="s">
        <v>237</v>
      </c>
      <c r="H990" s="200"/>
      <c r="I990" s="200"/>
      <c r="J990" s="200"/>
      <c r="K990" s="199"/>
      <c r="L990" s="200"/>
      <c r="M990" s="200"/>
      <c r="N990" s="197"/>
    </row>
    <row r="991" spans="1:14">
      <c r="A991" s="262"/>
      <c r="B991" s="262"/>
      <c r="C991" s="197">
        <v>7</v>
      </c>
      <c r="D991" s="261">
        <v>3</v>
      </c>
      <c r="E991" s="198">
        <v>210.97375400000001</v>
      </c>
      <c r="F991" s="197"/>
      <c r="G991" s="199" t="s">
        <v>1035</v>
      </c>
      <c r="H991" s="200">
        <v>0.46500000000000002</v>
      </c>
      <c r="I991" s="200">
        <v>1.0349999999999999</v>
      </c>
      <c r="J991" s="200">
        <v>0.36499999999999999</v>
      </c>
      <c r="K991" s="199" t="s">
        <v>229</v>
      </c>
      <c r="L991" s="200"/>
      <c r="M991" s="200"/>
      <c r="N991" s="197"/>
    </row>
    <row r="992" spans="1:14">
      <c r="A992" s="262"/>
      <c r="B992" s="262"/>
      <c r="C992" s="197">
        <v>8</v>
      </c>
      <c r="D992" s="262"/>
      <c r="E992" s="198">
        <v>207.63700600000001</v>
      </c>
      <c r="F992" s="197"/>
      <c r="G992" s="199" t="s">
        <v>1036</v>
      </c>
      <c r="H992" s="200"/>
      <c r="I992" s="200"/>
      <c r="J992" s="200"/>
      <c r="K992" s="199"/>
      <c r="L992" s="200"/>
      <c r="M992" s="200"/>
      <c r="N992" s="197"/>
    </row>
    <row r="993" spans="1:14">
      <c r="A993" s="262"/>
      <c r="B993" s="262"/>
      <c r="C993" s="197">
        <v>9</v>
      </c>
      <c r="D993" s="262"/>
      <c r="E993" s="198">
        <v>206.51272800000001</v>
      </c>
      <c r="F993" s="197"/>
      <c r="G993" s="199" t="s">
        <v>1037</v>
      </c>
      <c r="H993" s="200"/>
      <c r="I993" s="200"/>
      <c r="J993" s="200"/>
      <c r="K993" s="199"/>
      <c r="L993" s="200"/>
      <c r="M993" s="200"/>
      <c r="N993" s="197"/>
    </row>
    <row r="994" spans="1:14">
      <c r="A994" s="262"/>
      <c r="B994" s="262"/>
      <c r="C994" s="197">
        <v>10</v>
      </c>
      <c r="D994" s="261">
        <v>4</v>
      </c>
      <c r="E994" s="198">
        <v>208.67507900000001</v>
      </c>
      <c r="F994" s="197" t="s">
        <v>227</v>
      </c>
      <c r="G994" s="199" t="s">
        <v>1038</v>
      </c>
      <c r="H994" s="200">
        <v>0.53</v>
      </c>
      <c r="I994" s="200">
        <v>1.0149999999999999</v>
      </c>
      <c r="J994" s="200">
        <v>0.41499999999999998</v>
      </c>
      <c r="K994" s="199" t="s">
        <v>229</v>
      </c>
      <c r="L994" s="200"/>
      <c r="M994" s="200"/>
      <c r="N994" s="197"/>
    </row>
    <row r="995" spans="1:14">
      <c r="A995" s="262"/>
      <c r="B995" s="262"/>
      <c r="C995" s="197">
        <v>11</v>
      </c>
      <c r="D995" s="262"/>
      <c r="E995" s="198">
        <v>207.02367799999999</v>
      </c>
      <c r="F995" s="197"/>
      <c r="G995" s="199" t="s">
        <v>1039</v>
      </c>
      <c r="H995" s="200"/>
      <c r="I995" s="200"/>
      <c r="J995" s="200"/>
      <c r="K995" s="199"/>
      <c r="L995" s="200"/>
      <c r="M995" s="200"/>
      <c r="N995" s="197"/>
    </row>
    <row r="996" spans="1:14">
      <c r="A996" s="262"/>
      <c r="B996" s="262"/>
      <c r="C996" s="197">
        <v>12</v>
      </c>
      <c r="D996" s="262"/>
      <c r="E996" s="198">
        <v>208.15812399999999</v>
      </c>
      <c r="F996" s="197"/>
      <c r="G996" s="199" t="s">
        <v>1040</v>
      </c>
      <c r="H996" s="200"/>
      <c r="I996" s="200"/>
      <c r="J996" s="200"/>
      <c r="K996" s="199"/>
      <c r="L996" s="200"/>
      <c r="M996" s="200"/>
      <c r="N996" s="197"/>
    </row>
    <row r="997" spans="1:14">
      <c r="A997" s="262"/>
      <c r="B997" s="262"/>
      <c r="C997" s="197">
        <v>13</v>
      </c>
      <c r="D997" s="262"/>
      <c r="E997" s="198">
        <v>206.16395600000001</v>
      </c>
      <c r="F997" s="197"/>
      <c r="G997" s="199" t="s">
        <v>1041</v>
      </c>
      <c r="H997" s="200"/>
      <c r="I997" s="200"/>
      <c r="J997" s="200"/>
      <c r="K997" s="199"/>
      <c r="L997" s="200"/>
      <c r="M997" s="200"/>
      <c r="N997" s="197"/>
    </row>
    <row r="998" spans="1:14">
      <c r="A998" s="262"/>
      <c r="B998" s="262"/>
      <c r="C998" s="197">
        <v>14</v>
      </c>
      <c r="D998" s="262"/>
      <c r="E998" s="198">
        <v>206.500337</v>
      </c>
      <c r="F998" s="197"/>
      <c r="G998" s="199" t="s">
        <v>1042</v>
      </c>
      <c r="H998" s="200"/>
      <c r="I998" s="200"/>
      <c r="J998" s="200"/>
      <c r="K998" s="199"/>
      <c r="L998" s="200"/>
      <c r="M998" s="200"/>
      <c r="N998" s="197"/>
    </row>
    <row r="999" spans="1:14">
      <c r="A999" s="262"/>
      <c r="B999" s="262"/>
      <c r="C999" s="197">
        <v>15</v>
      </c>
      <c r="D999" s="262"/>
      <c r="E999" s="198">
        <v>272.22222900000003</v>
      </c>
      <c r="F999" s="197" t="s">
        <v>281</v>
      </c>
      <c r="G999" s="199" t="s">
        <v>1043</v>
      </c>
      <c r="H999" s="200"/>
      <c r="I999" s="200"/>
      <c r="J999" s="200"/>
      <c r="K999" s="199"/>
      <c r="L999" s="200"/>
      <c r="M999" s="200"/>
      <c r="N999" s="197"/>
    </row>
    <row r="1000" spans="1:14">
      <c r="A1000" s="262"/>
      <c r="B1000" s="262"/>
      <c r="C1000" s="197">
        <v>16</v>
      </c>
      <c r="D1000" s="261">
        <v>5</v>
      </c>
      <c r="E1000" s="198">
        <v>259.614192</v>
      </c>
      <c r="F1000" s="197" t="s">
        <v>227</v>
      </c>
      <c r="G1000" s="199" t="s">
        <v>1044</v>
      </c>
      <c r="H1000" s="200">
        <v>0.51</v>
      </c>
      <c r="I1000" s="200">
        <v>1.0149999999999999</v>
      </c>
      <c r="J1000" s="200">
        <v>0.41499999999999998</v>
      </c>
      <c r="K1000" s="199" t="s">
        <v>229</v>
      </c>
      <c r="L1000" s="200"/>
      <c r="M1000" s="200"/>
      <c r="N1000" s="197"/>
    </row>
    <row r="1001" spans="1:14">
      <c r="A1001" s="262"/>
      <c r="B1001" s="262"/>
      <c r="C1001" s="197">
        <v>17</v>
      </c>
      <c r="D1001" s="262"/>
      <c r="E1001" s="198">
        <v>261.25592</v>
      </c>
      <c r="F1001" s="197"/>
      <c r="G1001" s="199" t="s">
        <v>1045</v>
      </c>
      <c r="H1001" s="200"/>
      <c r="I1001" s="200"/>
      <c r="J1001" s="200"/>
      <c r="K1001" s="199"/>
      <c r="L1001" s="200"/>
      <c r="M1001" s="200"/>
      <c r="N1001" s="197"/>
    </row>
    <row r="1002" spans="1:14">
      <c r="A1002" s="262"/>
      <c r="B1002" s="262"/>
      <c r="C1002" s="197">
        <v>18</v>
      </c>
      <c r="D1002" s="262"/>
      <c r="E1002" s="198">
        <v>260.11399</v>
      </c>
      <c r="F1002" s="197"/>
      <c r="G1002" s="199" t="s">
        <v>1046</v>
      </c>
      <c r="H1002" s="200"/>
      <c r="I1002" s="200"/>
      <c r="J1002" s="200"/>
      <c r="K1002" s="199"/>
      <c r="L1002" s="200"/>
      <c r="M1002" s="200"/>
      <c r="N1002" s="197"/>
    </row>
    <row r="1003" spans="1:14">
      <c r="A1003" s="262"/>
      <c r="B1003" s="262"/>
      <c r="C1003" s="197">
        <v>19</v>
      </c>
      <c r="D1003" s="261">
        <v>6</v>
      </c>
      <c r="E1003" s="198">
        <v>207.8125</v>
      </c>
      <c r="F1003" s="197" t="s">
        <v>227</v>
      </c>
      <c r="G1003" s="199" t="s">
        <v>1047</v>
      </c>
      <c r="H1003" s="200">
        <v>0.54500000000000004</v>
      </c>
      <c r="I1003" s="200">
        <v>1.0249999999999999</v>
      </c>
      <c r="J1003" s="200">
        <v>0.42</v>
      </c>
      <c r="K1003" s="199" t="s">
        <v>229</v>
      </c>
      <c r="L1003" s="200"/>
      <c r="M1003" s="200"/>
      <c r="N1003" s="197"/>
    </row>
    <row r="1004" spans="1:14">
      <c r="A1004" s="262"/>
      <c r="B1004" s="262"/>
      <c r="C1004" s="197">
        <v>20</v>
      </c>
      <c r="D1004" s="262"/>
      <c r="E1004" s="198">
        <v>217.111459</v>
      </c>
      <c r="F1004" s="197"/>
      <c r="G1004" s="199" t="s">
        <v>1048</v>
      </c>
      <c r="H1004" s="200"/>
      <c r="I1004" s="200"/>
      <c r="J1004" s="200"/>
      <c r="K1004" s="199"/>
      <c r="L1004" s="200"/>
      <c r="M1004" s="200"/>
      <c r="N1004" s="197"/>
    </row>
    <row r="1005" spans="1:14">
      <c r="A1005" s="262"/>
      <c r="B1005" s="262"/>
      <c r="C1005" s="197">
        <v>21</v>
      </c>
      <c r="D1005" s="262"/>
      <c r="E1005" s="198">
        <v>211.458316</v>
      </c>
      <c r="F1005" s="197"/>
      <c r="G1005" s="199" t="s">
        <v>1049</v>
      </c>
      <c r="H1005" s="200"/>
      <c r="I1005" s="200"/>
      <c r="J1005" s="200"/>
      <c r="K1005" s="199"/>
      <c r="L1005" s="200"/>
      <c r="M1005" s="200"/>
      <c r="N1005" s="197"/>
    </row>
    <row r="1006" spans="1:14">
      <c r="A1006" s="262"/>
      <c r="B1006" s="262"/>
      <c r="C1006" s="197">
        <v>22</v>
      </c>
      <c r="D1006" s="261">
        <v>7</v>
      </c>
      <c r="E1006" s="198">
        <v>0</v>
      </c>
      <c r="F1006" s="197" t="s">
        <v>227</v>
      </c>
      <c r="G1006" s="199" t="s">
        <v>583</v>
      </c>
      <c r="H1006" s="200">
        <v>0.52500000000000002</v>
      </c>
      <c r="I1006" s="200">
        <v>1.01</v>
      </c>
      <c r="J1006" s="200">
        <v>0.40500000000000003</v>
      </c>
      <c r="K1006" s="199" t="s">
        <v>229</v>
      </c>
      <c r="L1006" s="200"/>
      <c r="M1006" s="200"/>
      <c r="N1006" s="197"/>
    </row>
    <row r="1007" spans="1:14">
      <c r="A1007" s="262"/>
      <c r="B1007" s="262"/>
      <c r="C1007" s="197">
        <v>23</v>
      </c>
      <c r="D1007" s="262"/>
      <c r="E1007" s="198">
        <v>368.461749</v>
      </c>
      <c r="F1007" s="197" t="s">
        <v>281</v>
      </c>
      <c r="G1007" s="199" t="s">
        <v>1050</v>
      </c>
      <c r="H1007" s="200"/>
      <c r="I1007" s="200"/>
      <c r="J1007" s="200"/>
      <c r="K1007" s="199"/>
      <c r="L1007" s="200"/>
      <c r="M1007" s="200"/>
      <c r="N1007" s="197"/>
    </row>
    <row r="1008" spans="1:14">
      <c r="A1008" s="262"/>
      <c r="B1008" s="262"/>
      <c r="C1008" s="197">
        <v>24</v>
      </c>
      <c r="D1008" s="262"/>
      <c r="E1008" s="198">
        <v>178.18182400000001</v>
      </c>
      <c r="F1008" s="197"/>
      <c r="G1008" s="199" t="s">
        <v>1051</v>
      </c>
      <c r="H1008" s="200"/>
      <c r="I1008" s="200"/>
      <c r="J1008" s="200"/>
      <c r="K1008" s="199"/>
      <c r="L1008" s="200"/>
      <c r="M1008" s="200"/>
      <c r="N1008" s="197"/>
    </row>
    <row r="1009" spans="1:14">
      <c r="A1009" s="262"/>
      <c r="B1009" s="262"/>
      <c r="C1009" s="197">
        <v>25</v>
      </c>
      <c r="D1009" s="261">
        <v>8</v>
      </c>
      <c r="E1009" s="198">
        <v>0</v>
      </c>
      <c r="F1009" s="197" t="s">
        <v>227</v>
      </c>
      <c r="G1009" s="199" t="s">
        <v>1052</v>
      </c>
      <c r="H1009" s="200">
        <v>0.54500000000000004</v>
      </c>
      <c r="I1009" s="200">
        <v>0.99</v>
      </c>
      <c r="J1009" s="200">
        <v>0.38500000000000001</v>
      </c>
      <c r="K1009" s="199" t="s">
        <v>229</v>
      </c>
      <c r="L1009" s="200"/>
      <c r="M1009" s="200"/>
      <c r="N1009" s="197"/>
    </row>
    <row r="1010" spans="1:14">
      <c r="A1010" s="262"/>
      <c r="B1010" s="262"/>
      <c r="C1010" s="197">
        <v>26</v>
      </c>
      <c r="D1010" s="262"/>
      <c r="E1010" s="198">
        <v>262.64053100000001</v>
      </c>
      <c r="F1010" s="197"/>
      <c r="G1010" s="199" t="s">
        <v>1053</v>
      </c>
      <c r="H1010" s="200"/>
      <c r="I1010" s="200"/>
      <c r="J1010" s="200"/>
      <c r="K1010" s="199"/>
      <c r="L1010" s="200"/>
      <c r="M1010" s="200"/>
      <c r="N1010" s="197"/>
    </row>
    <row r="1011" spans="1:14">
      <c r="A1011" s="262"/>
      <c r="B1011" s="262"/>
      <c r="C1011" s="197">
        <v>27</v>
      </c>
      <c r="D1011" s="262"/>
      <c r="E1011" s="198">
        <v>261.47006299999998</v>
      </c>
      <c r="F1011" s="197"/>
      <c r="G1011" s="199" t="s">
        <v>1054</v>
      </c>
      <c r="H1011" s="200"/>
      <c r="I1011" s="200"/>
      <c r="J1011" s="200"/>
      <c r="K1011" s="199"/>
      <c r="L1011" s="200"/>
      <c r="M1011" s="200"/>
      <c r="N1011" s="197"/>
    </row>
    <row r="1012" spans="1:14">
      <c r="A1012" s="262"/>
      <c r="B1012" s="262"/>
      <c r="C1012" s="197">
        <v>28</v>
      </c>
      <c r="D1012" s="262"/>
      <c r="E1012" s="198">
        <v>259.88214099999999</v>
      </c>
      <c r="F1012" s="197"/>
      <c r="G1012" s="199" t="s">
        <v>1055</v>
      </c>
      <c r="H1012" s="200"/>
      <c r="I1012" s="200"/>
      <c r="J1012" s="200"/>
      <c r="K1012" s="199"/>
      <c r="L1012" s="200"/>
      <c r="M1012" s="200"/>
      <c r="N1012" s="197"/>
    </row>
    <row r="1013" spans="1:14">
      <c r="A1013" s="262"/>
      <c r="B1013" s="262"/>
      <c r="C1013" s="197">
        <v>29</v>
      </c>
      <c r="D1013" s="262"/>
      <c r="E1013" s="198">
        <v>257.726022</v>
      </c>
      <c r="F1013" s="197"/>
      <c r="G1013" s="199" t="s">
        <v>1056</v>
      </c>
      <c r="H1013" s="200"/>
      <c r="I1013" s="200"/>
      <c r="J1013" s="200"/>
      <c r="K1013" s="199"/>
      <c r="L1013" s="200"/>
      <c r="M1013" s="200"/>
      <c r="N1013" s="197"/>
    </row>
    <row r="1014" spans="1:14">
      <c r="A1014" s="262"/>
      <c r="B1014" s="262"/>
      <c r="C1014" s="197">
        <v>30</v>
      </c>
      <c r="D1014" s="262"/>
      <c r="E1014" s="198">
        <v>393.53785199999999</v>
      </c>
      <c r="F1014" s="197" t="s">
        <v>281</v>
      </c>
      <c r="G1014" s="199" t="s">
        <v>1057</v>
      </c>
      <c r="H1014" s="200"/>
      <c r="I1014" s="200"/>
      <c r="J1014" s="200"/>
      <c r="K1014" s="199"/>
      <c r="L1014" s="200"/>
      <c r="M1014" s="200"/>
      <c r="N1014" s="197"/>
    </row>
    <row r="1015" spans="1:14">
      <c r="A1015" s="262"/>
      <c r="B1015" s="262"/>
      <c r="C1015" s="197">
        <v>31</v>
      </c>
      <c r="D1015" s="262"/>
      <c r="E1015" s="198">
        <v>384.59301799999997</v>
      </c>
      <c r="F1015" s="197" t="s">
        <v>281</v>
      </c>
      <c r="G1015" s="199" t="s">
        <v>1058</v>
      </c>
      <c r="H1015" s="200"/>
      <c r="I1015" s="200"/>
      <c r="J1015" s="200"/>
      <c r="K1015" s="199"/>
      <c r="L1015" s="200"/>
      <c r="M1015" s="200"/>
      <c r="N1015" s="197"/>
    </row>
    <row r="1016" spans="1:14">
      <c r="A1016" s="262"/>
      <c r="B1016" s="262"/>
      <c r="C1016" s="197">
        <v>32</v>
      </c>
      <c r="D1016" s="262"/>
      <c r="E1016" s="198">
        <v>326.93489599999998</v>
      </c>
      <c r="F1016" s="197" t="s">
        <v>281</v>
      </c>
      <c r="G1016" s="199" t="s">
        <v>1059</v>
      </c>
      <c r="H1016" s="200"/>
      <c r="I1016" s="200"/>
      <c r="J1016" s="200"/>
      <c r="K1016" s="199"/>
      <c r="L1016" s="200"/>
      <c r="M1016" s="200"/>
      <c r="N1016" s="197"/>
    </row>
    <row r="1017" spans="1:14">
      <c r="A1017" s="262"/>
      <c r="B1017" s="262"/>
      <c r="C1017" s="197">
        <v>33</v>
      </c>
      <c r="D1017" s="262"/>
      <c r="E1017" s="198">
        <v>282.05221299999999</v>
      </c>
      <c r="F1017" s="197"/>
      <c r="G1017" s="199" t="s">
        <v>1060</v>
      </c>
      <c r="H1017" s="200"/>
      <c r="I1017" s="200"/>
      <c r="J1017" s="200"/>
      <c r="K1017" s="199"/>
      <c r="L1017" s="200"/>
      <c r="M1017" s="200"/>
      <c r="N1017" s="197"/>
    </row>
    <row r="1018" spans="1:14">
      <c r="A1018" s="262"/>
      <c r="B1018" s="262"/>
      <c r="C1018" s="197">
        <v>34</v>
      </c>
      <c r="D1018" s="261">
        <v>9</v>
      </c>
      <c r="E1018" s="198">
        <v>291.04984000000002</v>
      </c>
      <c r="F1018" s="197" t="s">
        <v>227</v>
      </c>
      <c r="G1018" s="199" t="s">
        <v>1061</v>
      </c>
      <c r="H1018" s="200">
        <v>0.56499999999999995</v>
      </c>
      <c r="I1018" s="200">
        <v>0.98499999999999999</v>
      </c>
      <c r="J1018" s="200">
        <v>0.435</v>
      </c>
      <c r="K1018" s="199" t="s">
        <v>229</v>
      </c>
      <c r="L1018" s="200"/>
      <c r="M1018" s="200"/>
      <c r="N1018" s="197"/>
    </row>
    <row r="1019" spans="1:14">
      <c r="A1019" s="262"/>
      <c r="B1019" s="262"/>
      <c r="C1019" s="197">
        <v>35</v>
      </c>
      <c r="D1019" s="262"/>
      <c r="E1019" s="198">
        <v>288.567161</v>
      </c>
      <c r="F1019" s="197"/>
      <c r="G1019" s="199" t="s">
        <v>1062</v>
      </c>
      <c r="H1019" s="200"/>
      <c r="I1019" s="200"/>
      <c r="J1019" s="200"/>
      <c r="K1019" s="199"/>
      <c r="L1019" s="200"/>
      <c r="M1019" s="200"/>
      <c r="N1019" s="197"/>
    </row>
    <row r="1020" spans="1:14">
      <c r="A1020" s="262"/>
      <c r="B1020" s="262"/>
      <c r="C1020" s="197">
        <v>36</v>
      </c>
      <c r="D1020" s="261">
        <v>10</v>
      </c>
      <c r="E1020" s="198">
        <v>260.75039099999998</v>
      </c>
      <c r="F1020" s="197" t="s">
        <v>227</v>
      </c>
      <c r="G1020" s="199" t="s">
        <v>1063</v>
      </c>
      <c r="H1020" s="200">
        <v>0.56999999999999995</v>
      </c>
      <c r="I1020" s="200">
        <v>1</v>
      </c>
      <c r="J1020" s="200">
        <v>0.40500000000000003</v>
      </c>
      <c r="K1020" s="199" t="s">
        <v>229</v>
      </c>
      <c r="L1020" s="200"/>
      <c r="M1020" s="200"/>
      <c r="N1020" s="197"/>
    </row>
    <row r="1021" spans="1:14">
      <c r="A1021" s="262"/>
      <c r="B1021" s="262"/>
      <c r="C1021" s="197">
        <v>37</v>
      </c>
      <c r="D1021" s="262"/>
      <c r="E1021" s="198">
        <v>263.03688</v>
      </c>
      <c r="F1021" s="197"/>
      <c r="G1021" s="199" t="s">
        <v>1064</v>
      </c>
      <c r="H1021" s="200"/>
      <c r="I1021" s="200"/>
      <c r="J1021" s="200"/>
      <c r="K1021" s="199"/>
      <c r="L1021" s="200"/>
      <c r="M1021" s="200"/>
      <c r="N1021" s="197"/>
    </row>
    <row r="1022" spans="1:14">
      <c r="A1022" s="262"/>
      <c r="B1022" s="262"/>
      <c r="C1022" s="197">
        <v>38</v>
      </c>
      <c r="D1022" s="262"/>
      <c r="E1022" s="198">
        <v>0</v>
      </c>
      <c r="F1022" s="197" t="s">
        <v>227</v>
      </c>
      <c r="G1022" s="199" t="s">
        <v>1065</v>
      </c>
      <c r="H1022" s="200"/>
      <c r="I1022" s="200"/>
      <c r="J1022" s="200"/>
      <c r="K1022" s="199"/>
      <c r="L1022" s="200"/>
      <c r="M1022" s="200"/>
      <c r="N1022" s="197"/>
    </row>
    <row r="1023" spans="1:14">
      <c r="A1023" s="262"/>
      <c r="B1023" s="262"/>
      <c r="C1023" s="197">
        <v>39</v>
      </c>
      <c r="D1023" s="261">
        <v>11</v>
      </c>
      <c r="E1023" s="198">
        <v>423.02157599999998</v>
      </c>
      <c r="F1023" s="197"/>
      <c r="G1023" s="199" t="s">
        <v>1066</v>
      </c>
      <c r="H1023" s="200">
        <v>0.56999999999999995</v>
      </c>
      <c r="I1023" s="200">
        <v>1.01</v>
      </c>
      <c r="J1023" s="200">
        <v>0.43</v>
      </c>
      <c r="K1023" s="199" t="s">
        <v>229</v>
      </c>
      <c r="L1023" s="200"/>
      <c r="M1023" s="200"/>
      <c r="N1023" s="197"/>
    </row>
    <row r="1024" spans="1:14">
      <c r="A1024" s="262"/>
      <c r="B1024" s="262"/>
      <c r="C1024" s="197">
        <v>40</v>
      </c>
      <c r="D1024" s="262"/>
      <c r="E1024" s="198">
        <v>211.63767999999999</v>
      </c>
      <c r="F1024" s="197"/>
      <c r="G1024" s="199" t="s">
        <v>1067</v>
      </c>
      <c r="H1024" s="200"/>
      <c r="I1024" s="200"/>
      <c r="J1024" s="200"/>
      <c r="K1024" s="199"/>
      <c r="L1024" s="200"/>
      <c r="M1024" s="200"/>
      <c r="N1024" s="197"/>
    </row>
    <row r="1025" spans="1:14">
      <c r="A1025" s="262"/>
      <c r="B1025" s="262"/>
      <c r="C1025" s="197">
        <v>41</v>
      </c>
      <c r="D1025" s="262"/>
      <c r="E1025" s="198">
        <v>0</v>
      </c>
      <c r="F1025" s="197" t="s">
        <v>227</v>
      </c>
      <c r="G1025" s="199" t="s">
        <v>1068</v>
      </c>
      <c r="H1025" s="200"/>
      <c r="I1025" s="200"/>
      <c r="J1025" s="200"/>
      <c r="K1025" s="199"/>
      <c r="L1025" s="200"/>
      <c r="M1025" s="200"/>
      <c r="N1025" s="197"/>
    </row>
    <row r="1026" spans="1:14">
      <c r="A1026" s="262"/>
      <c r="B1026" s="262"/>
      <c r="C1026" s="197">
        <v>42</v>
      </c>
      <c r="D1026" s="261">
        <v>12</v>
      </c>
      <c r="E1026" s="198">
        <v>215.38488899999999</v>
      </c>
      <c r="F1026" s="197"/>
      <c r="G1026" s="199" t="s">
        <v>1069</v>
      </c>
      <c r="H1026" s="200">
        <v>0.52500000000000002</v>
      </c>
      <c r="I1026" s="200">
        <v>1.0049999999999999</v>
      </c>
      <c r="J1026" s="200">
        <v>0.42</v>
      </c>
      <c r="K1026" s="199" t="s">
        <v>229</v>
      </c>
      <c r="L1026" s="200"/>
      <c r="M1026" s="200"/>
      <c r="N1026" s="197"/>
    </row>
    <row r="1027" spans="1:14">
      <c r="A1027" s="262"/>
      <c r="B1027" s="262"/>
      <c r="C1027" s="197">
        <v>43</v>
      </c>
      <c r="D1027" s="262"/>
      <c r="E1027" s="198">
        <v>216.36888300000001</v>
      </c>
      <c r="F1027" s="197"/>
      <c r="G1027" s="199" t="s">
        <v>1070</v>
      </c>
      <c r="H1027" s="200"/>
      <c r="I1027" s="200"/>
      <c r="J1027" s="200"/>
      <c r="K1027" s="199"/>
      <c r="L1027" s="200"/>
      <c r="M1027" s="200"/>
      <c r="N1027" s="197"/>
    </row>
    <row r="1028" spans="1:14">
      <c r="A1028" s="262"/>
      <c r="B1028" s="262"/>
      <c r="C1028" s="197">
        <v>44</v>
      </c>
      <c r="D1028" s="262"/>
      <c r="E1028" s="198">
        <v>216.61411200000001</v>
      </c>
      <c r="F1028" s="197"/>
      <c r="G1028" s="199" t="s">
        <v>1071</v>
      </c>
      <c r="H1028" s="200"/>
      <c r="I1028" s="200"/>
      <c r="J1028" s="200"/>
      <c r="K1028" s="199"/>
      <c r="L1028" s="200"/>
      <c r="M1028" s="200"/>
      <c r="N1028" s="197"/>
    </row>
    <row r="1029" spans="1:14">
      <c r="A1029" s="262"/>
      <c r="B1029" s="262"/>
      <c r="C1029" s="197">
        <v>45</v>
      </c>
      <c r="D1029" s="262"/>
      <c r="E1029" s="198">
        <v>218.470901</v>
      </c>
      <c r="F1029" s="197"/>
      <c r="G1029" s="199" t="s">
        <v>1072</v>
      </c>
      <c r="H1029" s="200"/>
      <c r="I1029" s="200"/>
      <c r="J1029" s="200"/>
      <c r="K1029" s="199"/>
      <c r="L1029" s="200"/>
      <c r="M1029" s="200"/>
      <c r="N1029" s="197"/>
    </row>
    <row r="1030" spans="1:14">
      <c r="A1030" s="262"/>
      <c r="B1030" s="262"/>
      <c r="C1030" s="197">
        <v>46</v>
      </c>
      <c r="D1030" s="262"/>
      <c r="E1030" s="198">
        <v>212.42773399999999</v>
      </c>
      <c r="F1030" s="197"/>
      <c r="G1030" s="199" t="s">
        <v>1073</v>
      </c>
      <c r="H1030" s="200"/>
      <c r="I1030" s="200"/>
      <c r="J1030" s="200"/>
      <c r="K1030" s="199"/>
      <c r="L1030" s="200"/>
      <c r="M1030" s="200"/>
      <c r="N1030" s="197"/>
    </row>
    <row r="1031" spans="1:14">
      <c r="A1031" s="262"/>
      <c r="B1031" s="262"/>
      <c r="C1031" s="197">
        <v>47</v>
      </c>
      <c r="D1031" s="262"/>
      <c r="E1031" s="198">
        <v>0</v>
      </c>
      <c r="F1031" s="197" t="s">
        <v>227</v>
      </c>
      <c r="G1031" s="199" t="s">
        <v>1074</v>
      </c>
      <c r="H1031" s="200"/>
      <c r="I1031" s="200"/>
      <c r="J1031" s="200"/>
      <c r="K1031" s="199"/>
      <c r="L1031" s="200"/>
      <c r="M1031" s="200"/>
      <c r="N1031" s="197"/>
    </row>
    <row r="1032" spans="1:14">
      <c r="A1032" s="262"/>
      <c r="B1032" s="262"/>
      <c r="C1032" s="197">
        <v>48</v>
      </c>
      <c r="D1032" s="262"/>
      <c r="E1032" s="198">
        <v>205.11627200000001</v>
      </c>
      <c r="F1032" s="197"/>
      <c r="G1032" s="199" t="s">
        <v>1075</v>
      </c>
      <c r="H1032" s="200"/>
      <c r="I1032" s="200"/>
      <c r="J1032" s="200"/>
      <c r="K1032" s="199"/>
      <c r="L1032" s="200"/>
      <c r="M1032" s="200"/>
      <c r="N1032" s="197"/>
    </row>
    <row r="1033" spans="1:14">
      <c r="A1033" s="262"/>
      <c r="B1033" s="262"/>
      <c r="C1033" s="197">
        <v>49</v>
      </c>
      <c r="D1033" s="262"/>
      <c r="E1033" s="198">
        <v>205.304542</v>
      </c>
      <c r="F1033" s="197"/>
      <c r="G1033" s="199" t="s">
        <v>1076</v>
      </c>
      <c r="H1033" s="200"/>
      <c r="I1033" s="200"/>
      <c r="J1033" s="200"/>
      <c r="K1033" s="199"/>
      <c r="L1033" s="200"/>
      <c r="M1033" s="200"/>
      <c r="N1033" s="197"/>
    </row>
    <row r="1034" spans="1:14">
      <c r="A1034" s="262"/>
      <c r="B1034" s="262"/>
      <c r="C1034" s="197">
        <v>50</v>
      </c>
      <c r="D1034" s="262"/>
      <c r="E1034" s="198">
        <v>206.42540199999999</v>
      </c>
      <c r="F1034" s="197"/>
      <c r="G1034" s="199" t="s">
        <v>1077</v>
      </c>
      <c r="H1034" s="200"/>
      <c r="I1034" s="200"/>
      <c r="J1034" s="200"/>
      <c r="K1034" s="199"/>
      <c r="L1034" s="200"/>
      <c r="M1034" s="200"/>
      <c r="N1034" s="197"/>
    </row>
    <row r="1035" spans="1:14">
      <c r="A1035" s="262"/>
      <c r="B1035" s="262"/>
      <c r="C1035" s="197">
        <v>51</v>
      </c>
      <c r="D1035" s="262"/>
      <c r="E1035" s="198">
        <v>206.72655900000001</v>
      </c>
      <c r="F1035" s="197"/>
      <c r="G1035" s="199" t="s">
        <v>1078</v>
      </c>
      <c r="H1035" s="200"/>
      <c r="I1035" s="200"/>
      <c r="J1035" s="200"/>
      <c r="K1035" s="199"/>
      <c r="L1035" s="200"/>
      <c r="M1035" s="200"/>
      <c r="N1035" s="197"/>
    </row>
    <row r="1036" spans="1:14">
      <c r="A1036" s="262"/>
      <c r="B1036" s="262"/>
      <c r="C1036" s="197">
        <v>52</v>
      </c>
      <c r="D1036" s="262"/>
      <c r="E1036" s="198">
        <v>0</v>
      </c>
      <c r="F1036" s="197" t="s">
        <v>227</v>
      </c>
      <c r="G1036" s="199" t="s">
        <v>758</v>
      </c>
      <c r="H1036" s="200"/>
      <c r="I1036" s="200"/>
      <c r="J1036" s="200"/>
      <c r="K1036" s="199"/>
      <c r="L1036" s="200"/>
      <c r="M1036" s="200"/>
      <c r="N1036" s="197"/>
    </row>
    <row r="1037" spans="1:14">
      <c r="A1037" s="262"/>
      <c r="B1037" s="262"/>
      <c r="C1037" s="197">
        <v>53</v>
      </c>
      <c r="D1037" s="197">
        <v>13</v>
      </c>
      <c r="E1037" s="198">
        <v>0</v>
      </c>
      <c r="F1037" s="197" t="s">
        <v>227</v>
      </c>
      <c r="G1037" s="199" t="s">
        <v>1079</v>
      </c>
      <c r="H1037" s="200">
        <v>0.53500000000000003</v>
      </c>
      <c r="I1037" s="200">
        <v>1.0049999999999999</v>
      </c>
      <c r="J1037" s="200">
        <v>0.435</v>
      </c>
      <c r="K1037" s="199" t="s">
        <v>229</v>
      </c>
      <c r="L1037" s="200"/>
      <c r="M1037" s="200"/>
      <c r="N1037" s="197"/>
    </row>
    <row r="1038" spans="1:14">
      <c r="A1038" s="262"/>
      <c r="B1038" s="262"/>
      <c r="C1038" s="197">
        <v>54</v>
      </c>
      <c r="D1038" s="197">
        <v>14</v>
      </c>
      <c r="E1038" s="198">
        <v>0</v>
      </c>
      <c r="F1038" s="197" t="s">
        <v>227</v>
      </c>
      <c r="G1038" s="199" t="s">
        <v>1080</v>
      </c>
      <c r="H1038" s="200">
        <v>0.53500000000000003</v>
      </c>
      <c r="I1038" s="200">
        <v>1.01</v>
      </c>
      <c r="J1038" s="200">
        <v>0.42499999999999999</v>
      </c>
      <c r="K1038" s="199" t="s">
        <v>229</v>
      </c>
      <c r="L1038" s="200"/>
      <c r="M1038" s="200"/>
      <c r="N1038" s="197"/>
    </row>
    <row r="1039" spans="1:14">
      <c r="A1039" s="262"/>
      <c r="B1039" s="262"/>
      <c r="C1039" s="197">
        <v>55</v>
      </c>
      <c r="D1039" s="197">
        <v>15</v>
      </c>
      <c r="E1039" s="198">
        <v>0</v>
      </c>
      <c r="F1039" s="197" t="s">
        <v>227</v>
      </c>
      <c r="G1039" s="199" t="s">
        <v>1081</v>
      </c>
      <c r="H1039" s="200">
        <v>0.54500000000000004</v>
      </c>
      <c r="I1039" s="200">
        <v>1.01</v>
      </c>
      <c r="J1039" s="200">
        <v>0.435</v>
      </c>
      <c r="K1039" s="199" t="s">
        <v>229</v>
      </c>
      <c r="L1039" s="200"/>
      <c r="M1039" s="200"/>
      <c r="N1039" s="197"/>
    </row>
    <row r="1040" spans="1:14">
      <c r="A1040" s="262"/>
      <c r="B1040" s="262"/>
      <c r="C1040" s="197">
        <v>56</v>
      </c>
      <c r="D1040" s="197">
        <v>16</v>
      </c>
      <c r="E1040" s="198">
        <v>0</v>
      </c>
      <c r="F1040" s="197" t="s">
        <v>227</v>
      </c>
      <c r="G1040" s="199" t="s">
        <v>617</v>
      </c>
      <c r="H1040" s="200">
        <v>0.54500000000000004</v>
      </c>
      <c r="I1040" s="200">
        <v>1.0149999999999999</v>
      </c>
      <c r="J1040" s="200">
        <v>0.44</v>
      </c>
      <c r="K1040" s="199" t="s">
        <v>229</v>
      </c>
      <c r="L1040" s="200"/>
      <c r="M1040" s="200"/>
      <c r="N1040" s="197"/>
    </row>
    <row r="1041" spans="1:14">
      <c r="A1041" s="261" t="s">
        <v>1082</v>
      </c>
      <c r="B1041" s="261">
        <v>5</v>
      </c>
      <c r="C1041" s="197">
        <v>1</v>
      </c>
      <c r="D1041" s="261">
        <v>1</v>
      </c>
      <c r="E1041" s="198">
        <v>0</v>
      </c>
      <c r="F1041" s="197" t="s">
        <v>227</v>
      </c>
      <c r="G1041" s="199" t="s">
        <v>228</v>
      </c>
      <c r="H1041" s="200">
        <v>0.55000000000000004</v>
      </c>
      <c r="I1041" s="200">
        <v>1.02</v>
      </c>
      <c r="J1041" s="200">
        <v>0.41499999999999998</v>
      </c>
      <c r="K1041" s="199" t="s">
        <v>229</v>
      </c>
      <c r="L1041" s="200">
        <v>6.5071325049901971E-2</v>
      </c>
      <c r="M1041" s="200"/>
      <c r="N1041" s="197"/>
    </row>
    <row r="1042" spans="1:14">
      <c r="A1042" s="262"/>
      <c r="B1042" s="262"/>
      <c r="C1042" s="197">
        <v>2</v>
      </c>
      <c r="D1042" s="262"/>
      <c r="E1042" s="198">
        <v>269.29853800000001</v>
      </c>
      <c r="F1042" s="197"/>
      <c r="G1042" s="199" t="s">
        <v>1083</v>
      </c>
      <c r="H1042" s="200"/>
      <c r="I1042" s="200"/>
      <c r="J1042" s="200"/>
      <c r="K1042" s="199"/>
      <c r="L1042" s="200">
        <v>2.6160561920570442E-2</v>
      </c>
      <c r="M1042" s="200"/>
      <c r="N1042" s="197"/>
    </row>
    <row r="1043" spans="1:14">
      <c r="A1043" s="262"/>
      <c r="B1043" s="262"/>
      <c r="C1043" s="197">
        <v>3</v>
      </c>
      <c r="D1043" s="262"/>
      <c r="E1043" s="198">
        <v>266.49598700000001</v>
      </c>
      <c r="F1043" s="197"/>
      <c r="G1043" s="199" t="s">
        <v>1084</v>
      </c>
      <c r="H1043" s="200"/>
      <c r="I1043" s="200"/>
      <c r="J1043" s="200"/>
      <c r="K1043" s="199"/>
      <c r="L1043" s="200">
        <v>2.2094877092891919E-2</v>
      </c>
      <c r="M1043" s="200"/>
      <c r="N1043" s="197"/>
    </row>
    <row r="1044" spans="1:14">
      <c r="A1044" s="262"/>
      <c r="B1044" s="262"/>
      <c r="C1044" s="197">
        <v>4</v>
      </c>
      <c r="D1044" s="262"/>
      <c r="E1044" s="198">
        <v>180.54596699999999</v>
      </c>
      <c r="F1044" s="197"/>
      <c r="G1044" s="199" t="s">
        <v>1085</v>
      </c>
      <c r="H1044" s="200"/>
      <c r="I1044" s="200"/>
      <c r="J1044" s="200"/>
      <c r="K1044" s="199"/>
      <c r="L1044" s="200"/>
      <c r="M1044" s="200" t="s">
        <v>1086</v>
      </c>
      <c r="N1044" s="197" t="s">
        <v>1087</v>
      </c>
    </row>
    <row r="1045" spans="1:14">
      <c r="A1045" s="262"/>
      <c r="B1045" s="262"/>
      <c r="C1045" s="197">
        <v>5</v>
      </c>
      <c r="D1045" s="261">
        <v>2</v>
      </c>
      <c r="E1045" s="198">
        <v>329.41248000000002</v>
      </c>
      <c r="F1045" s="197" t="s">
        <v>227</v>
      </c>
      <c r="G1045" s="199" t="s">
        <v>1088</v>
      </c>
      <c r="H1045" s="200">
        <v>0.55000000000000004</v>
      </c>
      <c r="I1045" s="200">
        <v>1.0049999999999999</v>
      </c>
      <c r="J1045" s="200">
        <v>0.40500000000000003</v>
      </c>
      <c r="K1045" s="199" t="s">
        <v>408</v>
      </c>
      <c r="L1045" s="200"/>
      <c r="M1045" s="200"/>
      <c r="N1045" s="197"/>
    </row>
    <row r="1046" spans="1:14">
      <c r="A1046" s="262"/>
      <c r="B1046" s="262"/>
      <c r="C1046" s="197">
        <v>6</v>
      </c>
      <c r="D1046" s="262"/>
      <c r="E1046" s="198">
        <v>350.55785900000001</v>
      </c>
      <c r="F1046" s="197"/>
      <c r="G1046" s="199" t="s">
        <v>1089</v>
      </c>
      <c r="H1046" s="200"/>
      <c r="I1046" s="200"/>
      <c r="J1046" s="200"/>
      <c r="K1046" s="199"/>
      <c r="L1046" s="200"/>
      <c r="M1046" s="200"/>
      <c r="N1046" s="197"/>
    </row>
    <row r="1047" spans="1:14">
      <c r="A1047" s="262"/>
      <c r="B1047" s="262"/>
      <c r="C1047" s="197">
        <v>7</v>
      </c>
      <c r="D1047" s="262"/>
      <c r="E1047" s="198">
        <v>352.68857600000001</v>
      </c>
      <c r="F1047" s="197"/>
      <c r="G1047" s="199" t="s">
        <v>1090</v>
      </c>
      <c r="H1047" s="200"/>
      <c r="I1047" s="200"/>
      <c r="J1047" s="200"/>
      <c r="K1047" s="199"/>
      <c r="L1047" s="200"/>
      <c r="M1047" s="200"/>
      <c r="N1047" s="197"/>
    </row>
    <row r="1048" spans="1:14">
      <c r="A1048" s="262"/>
      <c r="B1048" s="262"/>
      <c r="C1048" s="197">
        <v>8</v>
      </c>
      <c r="D1048" s="261">
        <v>3</v>
      </c>
      <c r="E1048" s="198">
        <v>327.271255</v>
      </c>
      <c r="F1048" s="197" t="s">
        <v>227</v>
      </c>
      <c r="G1048" s="199" t="s">
        <v>1091</v>
      </c>
      <c r="H1048" s="200">
        <v>0.69499999999999995</v>
      </c>
      <c r="I1048" s="200">
        <v>1.085</v>
      </c>
      <c r="J1048" s="200">
        <v>0.45</v>
      </c>
      <c r="K1048" s="199" t="s">
        <v>671</v>
      </c>
      <c r="L1048" s="200"/>
      <c r="M1048" s="200"/>
      <c r="N1048" s="197"/>
    </row>
    <row r="1049" spans="1:14">
      <c r="A1049" s="262"/>
      <c r="B1049" s="262"/>
      <c r="C1049" s="197">
        <v>9</v>
      </c>
      <c r="D1049" s="262"/>
      <c r="E1049" s="198">
        <v>0</v>
      </c>
      <c r="F1049" s="197" t="s">
        <v>227</v>
      </c>
      <c r="G1049" s="199" t="s">
        <v>1092</v>
      </c>
      <c r="H1049" s="200"/>
      <c r="I1049" s="200"/>
      <c r="J1049" s="200"/>
      <c r="K1049" s="199"/>
      <c r="L1049" s="200"/>
      <c r="M1049" s="200"/>
      <c r="N1049" s="197"/>
    </row>
    <row r="1050" spans="1:14">
      <c r="A1050" s="262"/>
      <c r="B1050" s="262"/>
      <c r="C1050" s="197">
        <v>10</v>
      </c>
      <c r="D1050" s="262"/>
      <c r="E1050" s="198">
        <v>284.24014599999998</v>
      </c>
      <c r="F1050" s="197"/>
      <c r="G1050" s="199" t="s">
        <v>1093</v>
      </c>
      <c r="H1050" s="200"/>
      <c r="I1050" s="200"/>
      <c r="J1050" s="200"/>
      <c r="K1050" s="199"/>
      <c r="L1050" s="200"/>
      <c r="M1050" s="200"/>
      <c r="N1050" s="197"/>
    </row>
    <row r="1051" spans="1:14">
      <c r="A1051" s="262"/>
      <c r="B1051" s="262"/>
      <c r="C1051" s="197">
        <v>11</v>
      </c>
      <c r="D1051" s="262"/>
      <c r="E1051" s="198">
        <v>284.97576900000001</v>
      </c>
      <c r="F1051" s="197"/>
      <c r="G1051" s="199" t="s">
        <v>1094</v>
      </c>
      <c r="H1051" s="200"/>
      <c r="I1051" s="200"/>
      <c r="J1051" s="200"/>
      <c r="K1051" s="199"/>
      <c r="L1051" s="200"/>
      <c r="M1051" s="200"/>
      <c r="N1051" s="197"/>
    </row>
    <row r="1052" spans="1:14">
      <c r="A1052" s="262"/>
      <c r="B1052" s="262"/>
      <c r="C1052" s="197">
        <v>12</v>
      </c>
      <c r="D1052" s="262"/>
      <c r="E1052" s="198">
        <v>287.73162400000001</v>
      </c>
      <c r="F1052" s="197"/>
      <c r="G1052" s="199" t="s">
        <v>1095</v>
      </c>
      <c r="H1052" s="200"/>
      <c r="I1052" s="200"/>
      <c r="J1052" s="200"/>
      <c r="K1052" s="199"/>
      <c r="L1052" s="200"/>
      <c r="M1052" s="200"/>
      <c r="N1052" s="197"/>
    </row>
    <row r="1053" spans="1:14">
      <c r="A1053" s="262"/>
      <c r="B1053" s="262"/>
      <c r="C1053" s="197">
        <v>13</v>
      </c>
      <c r="D1053" s="261">
        <v>4</v>
      </c>
      <c r="E1053" s="198">
        <v>0</v>
      </c>
      <c r="F1053" s="197" t="s">
        <v>227</v>
      </c>
      <c r="G1053" s="199" t="s">
        <v>625</v>
      </c>
      <c r="H1053" s="200">
        <v>0.54</v>
      </c>
      <c r="I1053" s="200">
        <v>0.97499999999999998</v>
      </c>
      <c r="J1053" s="200">
        <v>0.38500000000000001</v>
      </c>
      <c r="K1053" s="199" t="s">
        <v>229</v>
      </c>
      <c r="L1053" s="200"/>
      <c r="M1053" s="200"/>
      <c r="N1053" s="197"/>
    </row>
    <row r="1054" spans="1:14">
      <c r="A1054" s="262"/>
      <c r="B1054" s="262"/>
      <c r="C1054" s="197">
        <v>14</v>
      </c>
      <c r="D1054" s="262"/>
      <c r="E1054" s="198">
        <v>297.10962599999999</v>
      </c>
      <c r="F1054" s="197"/>
      <c r="G1054" s="199" t="s">
        <v>1096</v>
      </c>
      <c r="H1054" s="200"/>
      <c r="I1054" s="200"/>
      <c r="J1054" s="200"/>
      <c r="K1054" s="199"/>
      <c r="L1054" s="200"/>
      <c r="M1054" s="200"/>
      <c r="N1054" s="197"/>
    </row>
    <row r="1055" spans="1:14">
      <c r="A1055" s="262"/>
      <c r="B1055" s="262"/>
      <c r="C1055" s="197">
        <v>15</v>
      </c>
      <c r="D1055" s="262"/>
      <c r="E1055" s="198">
        <v>297.19176399999998</v>
      </c>
      <c r="F1055" s="197"/>
      <c r="G1055" s="199" t="s">
        <v>1097</v>
      </c>
      <c r="H1055" s="200"/>
      <c r="I1055" s="200"/>
      <c r="J1055" s="200"/>
      <c r="K1055" s="199"/>
      <c r="L1055" s="200"/>
      <c r="M1055" s="200"/>
      <c r="N1055" s="197"/>
    </row>
    <row r="1056" spans="1:14">
      <c r="A1056" s="262"/>
      <c r="B1056" s="262"/>
      <c r="C1056" s="197">
        <v>16</v>
      </c>
      <c r="D1056" s="262"/>
      <c r="E1056" s="198">
        <v>293.28503599999999</v>
      </c>
      <c r="F1056" s="197"/>
      <c r="G1056" s="199" t="s">
        <v>1098</v>
      </c>
      <c r="H1056" s="200"/>
      <c r="I1056" s="200"/>
      <c r="J1056" s="200"/>
      <c r="K1056" s="199"/>
      <c r="L1056" s="200"/>
      <c r="M1056" s="200"/>
      <c r="N1056" s="197"/>
    </row>
    <row r="1057" spans="1:14">
      <c r="A1057" s="262"/>
      <c r="B1057" s="262"/>
      <c r="C1057" s="197">
        <v>17</v>
      </c>
      <c r="D1057" s="262"/>
      <c r="E1057" s="198">
        <v>292.629482</v>
      </c>
      <c r="F1057" s="197"/>
      <c r="G1057" s="199" t="s">
        <v>1099</v>
      </c>
      <c r="H1057" s="200"/>
      <c r="I1057" s="200"/>
      <c r="J1057" s="200"/>
      <c r="K1057" s="199"/>
      <c r="L1057" s="200"/>
      <c r="M1057" s="200"/>
      <c r="N1057" s="197"/>
    </row>
    <row r="1058" spans="1:14">
      <c r="A1058" s="262"/>
      <c r="B1058" s="262"/>
      <c r="C1058" s="197">
        <v>18</v>
      </c>
      <c r="D1058" s="262"/>
      <c r="E1058" s="198">
        <v>294.00138700000002</v>
      </c>
      <c r="F1058" s="197"/>
      <c r="G1058" s="199" t="s">
        <v>1100</v>
      </c>
      <c r="H1058" s="200"/>
      <c r="I1058" s="200"/>
      <c r="J1058" s="200"/>
      <c r="K1058" s="199"/>
      <c r="L1058" s="200"/>
      <c r="M1058" s="200"/>
      <c r="N1058" s="197"/>
    </row>
    <row r="1059" spans="1:14">
      <c r="A1059" s="262"/>
      <c r="B1059" s="262"/>
      <c r="C1059" s="197">
        <v>19</v>
      </c>
      <c r="D1059" s="262"/>
      <c r="E1059" s="198">
        <v>291.77694700000001</v>
      </c>
      <c r="F1059" s="197"/>
      <c r="G1059" s="199" t="s">
        <v>1101</v>
      </c>
      <c r="H1059" s="200"/>
      <c r="I1059" s="200"/>
      <c r="J1059" s="200"/>
      <c r="K1059" s="199"/>
      <c r="L1059" s="200"/>
      <c r="M1059" s="200"/>
      <c r="N1059" s="197"/>
    </row>
    <row r="1060" spans="1:14">
      <c r="A1060" s="262"/>
      <c r="B1060" s="262"/>
      <c r="C1060" s="197">
        <v>20</v>
      </c>
      <c r="D1060" s="262"/>
      <c r="E1060" s="198">
        <v>291.77694700000001</v>
      </c>
      <c r="F1060" s="197"/>
      <c r="G1060" s="199" t="s">
        <v>1102</v>
      </c>
      <c r="H1060" s="200"/>
      <c r="I1060" s="200"/>
      <c r="J1060" s="200"/>
      <c r="K1060" s="199"/>
      <c r="L1060" s="200"/>
      <c r="M1060" s="200"/>
      <c r="N1060" s="197"/>
    </row>
    <row r="1061" spans="1:14">
      <c r="A1061" s="262"/>
      <c r="B1061" s="262"/>
      <c r="C1061" s="197">
        <v>21</v>
      </c>
      <c r="D1061" s="262"/>
      <c r="E1061" s="198">
        <v>300.59558199999998</v>
      </c>
      <c r="F1061" s="197" t="s">
        <v>281</v>
      </c>
      <c r="G1061" s="199" t="s">
        <v>1103</v>
      </c>
      <c r="H1061" s="200"/>
      <c r="I1061" s="200"/>
      <c r="J1061" s="200"/>
      <c r="K1061" s="199"/>
      <c r="L1061" s="200"/>
      <c r="M1061" s="200"/>
      <c r="N1061" s="197"/>
    </row>
    <row r="1062" spans="1:14">
      <c r="A1062" s="262"/>
      <c r="B1062" s="262"/>
      <c r="C1062" s="197">
        <v>22</v>
      </c>
      <c r="D1062" s="262"/>
      <c r="E1062" s="198">
        <v>186.86440999999999</v>
      </c>
      <c r="F1062" s="197" t="s">
        <v>281</v>
      </c>
      <c r="G1062" s="199" t="s">
        <v>1104</v>
      </c>
      <c r="H1062" s="200"/>
      <c r="I1062" s="200"/>
      <c r="J1062" s="200"/>
      <c r="K1062" s="199"/>
      <c r="L1062" s="200"/>
      <c r="M1062" s="200"/>
      <c r="N1062" s="197"/>
    </row>
    <row r="1063" spans="1:14">
      <c r="A1063" s="262"/>
      <c r="B1063" s="262"/>
      <c r="C1063" s="197">
        <v>23</v>
      </c>
      <c r="D1063" s="262"/>
      <c r="E1063" s="198">
        <v>0</v>
      </c>
      <c r="F1063" s="197" t="s">
        <v>227</v>
      </c>
      <c r="G1063" s="199" t="s">
        <v>687</v>
      </c>
      <c r="H1063" s="200"/>
      <c r="I1063" s="200"/>
      <c r="J1063" s="200"/>
      <c r="K1063" s="199"/>
      <c r="L1063" s="200"/>
      <c r="M1063" s="200"/>
      <c r="N1063" s="197"/>
    </row>
    <row r="1064" spans="1:14">
      <c r="A1064" s="262"/>
      <c r="B1064" s="262"/>
      <c r="C1064" s="197">
        <v>24</v>
      </c>
      <c r="D1064" s="261">
        <v>5</v>
      </c>
      <c r="E1064" s="198">
        <v>0</v>
      </c>
      <c r="F1064" s="197" t="s">
        <v>227</v>
      </c>
      <c r="G1064" s="199" t="s">
        <v>631</v>
      </c>
      <c r="H1064" s="200">
        <v>0.57999999999999996</v>
      </c>
      <c r="I1064" s="200">
        <v>1.0449999999999999</v>
      </c>
      <c r="J1064" s="200">
        <v>0.42499999999999999</v>
      </c>
      <c r="K1064" s="199" t="s">
        <v>229</v>
      </c>
      <c r="L1064" s="200"/>
      <c r="M1064" s="200"/>
      <c r="N1064" s="197"/>
    </row>
    <row r="1065" spans="1:14">
      <c r="A1065" s="262"/>
      <c r="B1065" s="262"/>
      <c r="C1065" s="197">
        <v>25</v>
      </c>
      <c r="D1065" s="262"/>
      <c r="E1065" s="198">
        <v>286.36364700000001</v>
      </c>
      <c r="F1065" s="197"/>
      <c r="G1065" s="199" t="s">
        <v>1105</v>
      </c>
      <c r="H1065" s="200"/>
      <c r="I1065" s="200"/>
      <c r="J1065" s="200"/>
      <c r="K1065" s="199"/>
      <c r="L1065" s="200"/>
      <c r="M1065" s="200"/>
      <c r="N1065" s="197"/>
    </row>
    <row r="1066" spans="1:14">
      <c r="A1066" s="262"/>
      <c r="B1066" s="262"/>
      <c r="C1066" s="197">
        <v>26</v>
      </c>
      <c r="D1066" s="262"/>
      <c r="E1066" s="198">
        <v>284.14651900000001</v>
      </c>
      <c r="F1066" s="197"/>
      <c r="G1066" s="199" t="s">
        <v>1106</v>
      </c>
      <c r="H1066" s="200"/>
      <c r="I1066" s="200"/>
      <c r="J1066" s="200"/>
      <c r="K1066" s="199"/>
      <c r="L1066" s="200"/>
      <c r="M1066" s="200"/>
      <c r="N1066" s="197"/>
    </row>
    <row r="1067" spans="1:14">
      <c r="A1067" s="262"/>
      <c r="B1067" s="262"/>
      <c r="C1067" s="197">
        <v>27</v>
      </c>
      <c r="D1067" s="262"/>
      <c r="E1067" s="198">
        <v>284.38805000000002</v>
      </c>
      <c r="F1067" s="197"/>
      <c r="G1067" s="199" t="s">
        <v>1107</v>
      </c>
      <c r="H1067" s="200"/>
      <c r="I1067" s="200"/>
      <c r="J1067" s="200"/>
      <c r="K1067" s="199"/>
      <c r="L1067" s="200"/>
      <c r="M1067" s="200"/>
      <c r="N1067" s="197"/>
    </row>
    <row r="1068" spans="1:14">
      <c r="A1068" s="262"/>
      <c r="B1068" s="262"/>
      <c r="C1068" s="197">
        <v>28</v>
      </c>
      <c r="D1068" s="262"/>
      <c r="E1068" s="198">
        <v>283.563287</v>
      </c>
      <c r="F1068" s="197"/>
      <c r="G1068" s="199" t="s">
        <v>1108</v>
      </c>
      <c r="H1068" s="200"/>
      <c r="I1068" s="200"/>
      <c r="J1068" s="200"/>
      <c r="K1068" s="199"/>
      <c r="L1068" s="200"/>
      <c r="M1068" s="200"/>
      <c r="N1068" s="197"/>
    </row>
    <row r="1069" spans="1:14">
      <c r="A1069" s="262"/>
      <c r="B1069" s="262"/>
      <c r="C1069" s="197">
        <v>29</v>
      </c>
      <c r="D1069" s="261">
        <v>6</v>
      </c>
      <c r="E1069" s="198">
        <v>281.13042200000001</v>
      </c>
      <c r="F1069" s="197" t="s">
        <v>227</v>
      </c>
      <c r="G1069" s="199" t="s">
        <v>1109</v>
      </c>
      <c r="H1069" s="200">
        <v>0.55000000000000004</v>
      </c>
      <c r="I1069" s="200">
        <v>1.01</v>
      </c>
      <c r="J1069" s="200">
        <v>0.43</v>
      </c>
      <c r="K1069" s="199" t="s">
        <v>229</v>
      </c>
      <c r="L1069" s="200"/>
      <c r="M1069" s="200"/>
      <c r="N1069" s="197"/>
    </row>
    <row r="1070" spans="1:14">
      <c r="A1070" s="262"/>
      <c r="B1070" s="262"/>
      <c r="C1070" s="197">
        <v>30</v>
      </c>
      <c r="D1070" s="262"/>
      <c r="E1070" s="198">
        <v>252.963684</v>
      </c>
      <c r="F1070" s="197"/>
      <c r="G1070" s="199" t="s">
        <v>1110</v>
      </c>
      <c r="H1070" s="200"/>
      <c r="I1070" s="200"/>
      <c r="J1070" s="200"/>
      <c r="K1070" s="199"/>
      <c r="L1070" s="200"/>
      <c r="M1070" s="200"/>
      <c r="N1070" s="197"/>
    </row>
    <row r="1071" spans="1:14">
      <c r="A1071" s="262"/>
      <c r="B1071" s="262"/>
      <c r="C1071" s="197">
        <v>31</v>
      </c>
      <c r="D1071" s="262"/>
      <c r="E1071" s="198">
        <v>255.87789900000001</v>
      </c>
      <c r="F1071" s="197"/>
      <c r="G1071" s="199" t="s">
        <v>1111</v>
      </c>
      <c r="H1071" s="200"/>
      <c r="I1071" s="200"/>
      <c r="J1071" s="200"/>
      <c r="K1071" s="199"/>
      <c r="L1071" s="200"/>
      <c r="M1071" s="200"/>
      <c r="N1071" s="197"/>
    </row>
    <row r="1072" spans="1:14">
      <c r="A1072" s="262"/>
      <c r="B1072" s="262"/>
      <c r="C1072" s="197">
        <v>32</v>
      </c>
      <c r="D1072" s="262"/>
      <c r="E1072" s="198">
        <v>771.42852800000003</v>
      </c>
      <c r="F1072" s="197" t="s">
        <v>281</v>
      </c>
      <c r="G1072" s="199" t="s">
        <v>1112</v>
      </c>
      <c r="H1072" s="200"/>
      <c r="I1072" s="200"/>
      <c r="J1072" s="200"/>
      <c r="K1072" s="199"/>
      <c r="L1072" s="200"/>
      <c r="M1072" s="200"/>
      <c r="N1072" s="197"/>
    </row>
    <row r="1073" spans="1:14">
      <c r="A1073" s="262"/>
      <c r="B1073" s="262"/>
      <c r="C1073" s="197">
        <v>33</v>
      </c>
      <c r="D1073" s="261">
        <v>7</v>
      </c>
      <c r="E1073" s="198">
        <v>252.40186199999999</v>
      </c>
      <c r="F1073" s="197" t="s">
        <v>227</v>
      </c>
      <c r="G1073" s="199" t="s">
        <v>1113</v>
      </c>
      <c r="H1073" s="200">
        <v>0.53500000000000003</v>
      </c>
      <c r="I1073" s="200">
        <v>1.05</v>
      </c>
      <c r="J1073" s="200">
        <v>0.41499999999999998</v>
      </c>
      <c r="K1073" s="199" t="s">
        <v>671</v>
      </c>
      <c r="L1073" s="200"/>
      <c r="M1073" s="200"/>
      <c r="N1073" s="197"/>
    </row>
    <row r="1074" spans="1:14">
      <c r="A1074" s="262"/>
      <c r="B1074" s="262"/>
      <c r="C1074" s="197">
        <v>34</v>
      </c>
      <c r="D1074" s="262"/>
      <c r="E1074" s="198">
        <v>209.33582899999999</v>
      </c>
      <c r="F1074" s="197"/>
      <c r="G1074" s="199" t="s">
        <v>1114</v>
      </c>
      <c r="H1074" s="200"/>
      <c r="I1074" s="200"/>
      <c r="J1074" s="200"/>
      <c r="K1074" s="199"/>
      <c r="L1074" s="200"/>
      <c r="M1074" s="200"/>
      <c r="N1074" s="197"/>
    </row>
    <row r="1075" spans="1:14">
      <c r="A1075" s="262"/>
      <c r="B1075" s="262"/>
      <c r="C1075" s="197">
        <v>35</v>
      </c>
      <c r="D1075" s="262"/>
      <c r="E1075" s="198">
        <v>211.11702</v>
      </c>
      <c r="F1075" s="197"/>
      <c r="G1075" s="199" t="s">
        <v>1115</v>
      </c>
      <c r="H1075" s="200"/>
      <c r="I1075" s="200"/>
      <c r="J1075" s="200"/>
      <c r="K1075" s="199"/>
      <c r="L1075" s="200"/>
      <c r="M1075" s="200"/>
      <c r="N1075" s="197"/>
    </row>
    <row r="1076" spans="1:14">
      <c r="A1076" s="262"/>
      <c r="B1076" s="262"/>
      <c r="C1076" s="197">
        <v>36</v>
      </c>
      <c r="D1076" s="262"/>
      <c r="E1076" s="198">
        <v>211.982686</v>
      </c>
      <c r="F1076" s="197"/>
      <c r="G1076" s="199" t="s">
        <v>1116</v>
      </c>
      <c r="H1076" s="200"/>
      <c r="I1076" s="200"/>
      <c r="J1076" s="200"/>
      <c r="K1076" s="199"/>
      <c r="L1076" s="200"/>
      <c r="M1076" s="200"/>
      <c r="N1076" s="197"/>
    </row>
    <row r="1077" spans="1:14">
      <c r="A1077" s="262"/>
      <c r="B1077" s="262"/>
      <c r="C1077" s="197">
        <v>37</v>
      </c>
      <c r="D1077" s="261">
        <v>8</v>
      </c>
      <c r="E1077" s="198">
        <v>209.50119000000001</v>
      </c>
      <c r="F1077" s="197" t="s">
        <v>227</v>
      </c>
      <c r="G1077" s="199" t="s">
        <v>1117</v>
      </c>
      <c r="H1077" s="200">
        <v>0.54</v>
      </c>
      <c r="I1077" s="200">
        <v>1.0249999999999999</v>
      </c>
      <c r="J1077" s="200">
        <v>0.41</v>
      </c>
      <c r="K1077" s="199" t="s">
        <v>671</v>
      </c>
      <c r="L1077" s="200"/>
      <c r="M1077" s="200"/>
      <c r="N1077" s="197"/>
    </row>
    <row r="1078" spans="1:14">
      <c r="A1078" s="262"/>
      <c r="B1078" s="262"/>
      <c r="C1078" s="197">
        <v>38</v>
      </c>
      <c r="D1078" s="262"/>
      <c r="E1078" s="198">
        <v>212.786734</v>
      </c>
      <c r="F1078" s="197"/>
      <c r="G1078" s="199" t="s">
        <v>1118</v>
      </c>
      <c r="H1078" s="200"/>
      <c r="I1078" s="200"/>
      <c r="J1078" s="200"/>
      <c r="K1078" s="199"/>
      <c r="L1078" s="200"/>
      <c r="M1078" s="200"/>
      <c r="N1078" s="197"/>
    </row>
    <row r="1079" spans="1:14">
      <c r="A1079" s="262"/>
      <c r="B1079" s="262"/>
      <c r="C1079" s="197">
        <v>39</v>
      </c>
      <c r="D1079" s="262"/>
      <c r="E1079" s="198">
        <v>211.648267</v>
      </c>
      <c r="F1079" s="197"/>
      <c r="G1079" s="199" t="s">
        <v>1119</v>
      </c>
      <c r="H1079" s="200"/>
      <c r="I1079" s="200"/>
      <c r="J1079" s="200"/>
      <c r="K1079" s="199"/>
      <c r="L1079" s="200"/>
      <c r="M1079" s="200"/>
      <c r="N1079" s="197"/>
    </row>
    <row r="1080" spans="1:14">
      <c r="A1080" s="262"/>
      <c r="B1080" s="262"/>
      <c r="C1080" s="197">
        <v>40</v>
      </c>
      <c r="D1080" s="262"/>
      <c r="E1080" s="198">
        <v>217.18100799999999</v>
      </c>
      <c r="F1080" s="197"/>
      <c r="G1080" s="199" t="s">
        <v>1120</v>
      </c>
      <c r="H1080" s="200"/>
      <c r="I1080" s="200"/>
      <c r="J1080" s="200"/>
      <c r="K1080" s="199"/>
      <c r="L1080" s="200"/>
      <c r="M1080" s="200"/>
      <c r="N1080" s="197"/>
    </row>
    <row r="1081" spans="1:14">
      <c r="A1081" s="262"/>
      <c r="B1081" s="262"/>
      <c r="C1081" s="197">
        <v>41</v>
      </c>
      <c r="D1081" s="262"/>
      <c r="E1081" s="198">
        <v>214.91763700000001</v>
      </c>
      <c r="F1081" s="197"/>
      <c r="G1081" s="199" t="s">
        <v>1121</v>
      </c>
      <c r="H1081" s="200"/>
      <c r="I1081" s="200"/>
      <c r="J1081" s="200"/>
      <c r="K1081" s="199"/>
      <c r="L1081" s="200"/>
      <c r="M1081" s="200"/>
      <c r="N1081" s="197"/>
    </row>
    <row r="1082" spans="1:14">
      <c r="A1082" s="262"/>
      <c r="B1082" s="262"/>
      <c r="C1082" s="197">
        <v>42</v>
      </c>
      <c r="D1082" s="262"/>
      <c r="E1082" s="198">
        <v>210.400757</v>
      </c>
      <c r="F1082" s="197"/>
      <c r="G1082" s="199" t="s">
        <v>1122</v>
      </c>
      <c r="H1082" s="200"/>
      <c r="I1082" s="200"/>
      <c r="J1082" s="200"/>
      <c r="K1082" s="199"/>
      <c r="L1082" s="200"/>
      <c r="M1082" s="200"/>
      <c r="N1082" s="197"/>
    </row>
    <row r="1083" spans="1:14">
      <c r="A1083" s="262"/>
      <c r="B1083" s="262"/>
      <c r="C1083" s="197">
        <v>43</v>
      </c>
      <c r="D1083" s="262"/>
      <c r="E1083" s="198">
        <v>176.39999399999999</v>
      </c>
      <c r="F1083" s="197" t="s">
        <v>281</v>
      </c>
      <c r="G1083" s="199" t="s">
        <v>1123</v>
      </c>
      <c r="H1083" s="200"/>
      <c r="I1083" s="200"/>
      <c r="J1083" s="200"/>
      <c r="K1083" s="199"/>
      <c r="L1083" s="200"/>
      <c r="M1083" s="200"/>
      <c r="N1083" s="197"/>
    </row>
    <row r="1084" spans="1:14">
      <c r="A1084" s="262"/>
      <c r="B1084" s="262"/>
      <c r="C1084" s="197">
        <v>44</v>
      </c>
      <c r="D1084" s="262"/>
      <c r="E1084" s="198">
        <v>0</v>
      </c>
      <c r="F1084" s="197" t="s">
        <v>227</v>
      </c>
      <c r="G1084" s="199" t="s">
        <v>1004</v>
      </c>
      <c r="H1084" s="200"/>
      <c r="I1084" s="200"/>
      <c r="J1084" s="200"/>
      <c r="K1084" s="199"/>
      <c r="L1084" s="200"/>
      <c r="M1084" s="200"/>
      <c r="N1084" s="197"/>
    </row>
    <row r="1085" spans="1:14">
      <c r="A1085" s="262"/>
      <c r="B1085" s="262"/>
      <c r="C1085" s="197">
        <v>45</v>
      </c>
      <c r="D1085" s="261">
        <v>9</v>
      </c>
      <c r="E1085" s="198">
        <v>0</v>
      </c>
      <c r="F1085" s="197" t="s">
        <v>227</v>
      </c>
      <c r="G1085" s="199" t="s">
        <v>1124</v>
      </c>
      <c r="H1085" s="200">
        <v>0.56000000000000005</v>
      </c>
      <c r="I1085" s="200">
        <v>1.0149999999999999</v>
      </c>
      <c r="J1085" s="200">
        <v>0.44500000000000001</v>
      </c>
      <c r="K1085" s="199" t="s">
        <v>671</v>
      </c>
      <c r="L1085" s="200"/>
      <c r="M1085" s="200"/>
      <c r="N1085" s="197"/>
    </row>
    <row r="1086" spans="1:14">
      <c r="A1086" s="262"/>
      <c r="B1086" s="262"/>
      <c r="C1086" s="197">
        <v>46</v>
      </c>
      <c r="D1086" s="262"/>
      <c r="E1086" s="198">
        <v>252.85777999999999</v>
      </c>
      <c r="F1086" s="197"/>
      <c r="G1086" s="199" t="s">
        <v>1125</v>
      </c>
      <c r="H1086" s="200"/>
      <c r="I1086" s="200"/>
      <c r="J1086" s="200"/>
      <c r="K1086" s="199"/>
      <c r="L1086" s="200"/>
      <c r="M1086" s="200"/>
      <c r="N1086" s="197"/>
    </row>
    <row r="1087" spans="1:14">
      <c r="A1087" s="262"/>
      <c r="B1087" s="262"/>
      <c r="C1087" s="197">
        <v>47</v>
      </c>
      <c r="D1087" s="262"/>
      <c r="E1087" s="198">
        <v>774.92010500000004</v>
      </c>
      <c r="F1087" s="197" t="s">
        <v>281</v>
      </c>
      <c r="G1087" s="199" t="s">
        <v>1126</v>
      </c>
      <c r="H1087" s="200"/>
      <c r="I1087" s="200"/>
      <c r="J1087" s="200"/>
      <c r="K1087" s="199"/>
      <c r="L1087" s="200"/>
      <c r="M1087" s="200"/>
      <c r="N1087" s="197"/>
    </row>
    <row r="1088" spans="1:14">
      <c r="A1088" s="262"/>
      <c r="B1088" s="262"/>
      <c r="C1088" s="197">
        <v>48</v>
      </c>
      <c r="D1088" s="262"/>
      <c r="E1088" s="198">
        <v>771.91778599999998</v>
      </c>
      <c r="F1088" s="197" t="s">
        <v>281</v>
      </c>
      <c r="G1088" s="199" t="s">
        <v>1127</v>
      </c>
      <c r="H1088" s="200"/>
      <c r="I1088" s="200"/>
      <c r="J1088" s="200"/>
      <c r="K1088" s="199"/>
      <c r="L1088" s="200"/>
      <c r="M1088" s="200"/>
      <c r="N1088" s="197"/>
    </row>
    <row r="1089" spans="1:14">
      <c r="A1089" s="262"/>
      <c r="B1089" s="262"/>
      <c r="C1089" s="197">
        <v>49</v>
      </c>
      <c r="D1089" s="261">
        <v>10</v>
      </c>
      <c r="E1089" s="198">
        <v>773.68420400000002</v>
      </c>
      <c r="F1089" s="197" t="s">
        <v>281</v>
      </c>
      <c r="G1089" s="199" t="s">
        <v>1128</v>
      </c>
      <c r="H1089" s="200">
        <v>0.60499999999999998</v>
      </c>
      <c r="I1089" s="200">
        <v>0.97499999999999998</v>
      </c>
      <c r="J1089" s="200">
        <v>0.46</v>
      </c>
      <c r="K1089" s="199" t="s">
        <v>671</v>
      </c>
      <c r="L1089" s="200"/>
      <c r="M1089" s="200"/>
      <c r="N1089" s="197"/>
    </row>
    <row r="1090" spans="1:14">
      <c r="A1090" s="262"/>
      <c r="B1090" s="262"/>
      <c r="C1090" s="197">
        <v>50</v>
      </c>
      <c r="D1090" s="262"/>
      <c r="E1090" s="198">
        <v>236.719921</v>
      </c>
      <c r="F1090" s="197" t="s">
        <v>281</v>
      </c>
      <c r="G1090" s="199" t="s">
        <v>1129</v>
      </c>
      <c r="H1090" s="200"/>
      <c r="I1090" s="200"/>
      <c r="J1090" s="200"/>
      <c r="K1090" s="199"/>
      <c r="L1090" s="200"/>
      <c r="M1090" s="200"/>
      <c r="N1090" s="197"/>
    </row>
    <row r="1091" spans="1:14">
      <c r="A1091" s="262"/>
      <c r="B1091" s="262"/>
      <c r="C1091" s="197">
        <v>51</v>
      </c>
      <c r="D1091" s="262"/>
      <c r="E1091" s="198">
        <v>215.044478</v>
      </c>
      <c r="F1091" s="197"/>
      <c r="G1091" s="199" t="s">
        <v>1130</v>
      </c>
      <c r="H1091" s="200"/>
      <c r="I1091" s="200"/>
      <c r="J1091" s="200"/>
      <c r="K1091" s="199"/>
      <c r="L1091" s="200"/>
      <c r="M1091" s="200"/>
      <c r="N1091" s="197"/>
    </row>
    <row r="1092" spans="1:14">
      <c r="A1092" s="262"/>
      <c r="B1092" s="262"/>
      <c r="C1092" s="197">
        <v>52</v>
      </c>
      <c r="D1092" s="262"/>
      <c r="E1092" s="198">
        <v>211.76470900000001</v>
      </c>
      <c r="F1092" s="197"/>
      <c r="G1092" s="199" t="s">
        <v>1131</v>
      </c>
      <c r="H1092" s="200"/>
      <c r="I1092" s="200"/>
      <c r="J1092" s="200"/>
      <c r="K1092" s="199"/>
      <c r="L1092" s="200"/>
      <c r="M1092" s="200"/>
      <c r="N1092" s="197"/>
    </row>
    <row r="1093" spans="1:14">
      <c r="A1093" s="262"/>
      <c r="B1093" s="262"/>
      <c r="C1093" s="197">
        <v>53</v>
      </c>
      <c r="D1093" s="262"/>
      <c r="E1093" s="198">
        <v>211.82628099999999</v>
      </c>
      <c r="F1093" s="197"/>
      <c r="G1093" s="199" t="s">
        <v>1132</v>
      </c>
      <c r="H1093" s="200"/>
      <c r="I1093" s="200"/>
      <c r="J1093" s="200"/>
      <c r="K1093" s="199"/>
      <c r="L1093" s="200"/>
      <c r="M1093" s="200"/>
      <c r="N1093" s="197"/>
    </row>
    <row r="1094" spans="1:14">
      <c r="A1094" s="262"/>
      <c r="B1094" s="262"/>
      <c r="C1094" s="197">
        <v>54</v>
      </c>
      <c r="D1094" s="261">
        <v>11</v>
      </c>
      <c r="E1094" s="198">
        <v>0</v>
      </c>
      <c r="F1094" s="197" t="s">
        <v>227</v>
      </c>
      <c r="G1094" s="199" t="s">
        <v>1133</v>
      </c>
      <c r="H1094" s="200">
        <v>0.44</v>
      </c>
      <c r="I1094" s="200">
        <v>1.0349999999999999</v>
      </c>
      <c r="J1094" s="200">
        <v>0.37</v>
      </c>
      <c r="K1094" s="199" t="s">
        <v>408</v>
      </c>
      <c r="L1094" s="200"/>
      <c r="M1094" s="200"/>
      <c r="N1094" s="197"/>
    </row>
    <row r="1095" spans="1:14">
      <c r="A1095" s="262"/>
      <c r="B1095" s="262"/>
      <c r="C1095" s="197">
        <v>55</v>
      </c>
      <c r="D1095" s="262"/>
      <c r="E1095" s="198">
        <v>366.001419</v>
      </c>
      <c r="F1095" s="197"/>
      <c r="G1095" s="199" t="s">
        <v>1134</v>
      </c>
      <c r="H1095" s="200"/>
      <c r="I1095" s="200"/>
      <c r="J1095" s="200"/>
      <c r="K1095" s="199"/>
      <c r="L1095" s="200"/>
      <c r="M1095" s="200"/>
      <c r="N1095" s="197"/>
    </row>
    <row r="1096" spans="1:14">
      <c r="A1096" s="262"/>
      <c r="B1096" s="262"/>
      <c r="C1096" s="197">
        <v>56</v>
      </c>
      <c r="D1096" s="262"/>
      <c r="E1096" s="198">
        <v>369.93283600000001</v>
      </c>
      <c r="F1096" s="197"/>
      <c r="G1096" s="199" t="s">
        <v>1135</v>
      </c>
      <c r="H1096" s="200"/>
      <c r="I1096" s="200"/>
      <c r="J1096" s="200"/>
      <c r="K1096" s="199"/>
      <c r="L1096" s="200"/>
      <c r="M1096" s="200"/>
      <c r="N1096" s="197"/>
    </row>
    <row r="1097" spans="1:14">
      <c r="A1097" s="262"/>
      <c r="B1097" s="262"/>
      <c r="C1097" s="197">
        <v>57</v>
      </c>
      <c r="D1097" s="261">
        <v>12</v>
      </c>
      <c r="E1097" s="198">
        <v>368.33712800000001</v>
      </c>
      <c r="F1097" s="197" t="s">
        <v>227</v>
      </c>
      <c r="G1097" s="199" t="s">
        <v>1136</v>
      </c>
      <c r="H1097" s="200">
        <v>0.68</v>
      </c>
      <c r="I1097" s="200">
        <v>1.04</v>
      </c>
      <c r="J1097" s="200">
        <v>0.40500000000000003</v>
      </c>
      <c r="K1097" s="199" t="s">
        <v>229</v>
      </c>
      <c r="L1097" s="200"/>
      <c r="M1097" s="200"/>
      <c r="N1097" s="197"/>
    </row>
    <row r="1098" spans="1:14">
      <c r="A1098" s="262"/>
      <c r="B1098" s="262"/>
      <c r="C1098" s="197">
        <v>58</v>
      </c>
      <c r="D1098" s="262"/>
      <c r="E1098" s="198">
        <v>369.42199699999998</v>
      </c>
      <c r="F1098" s="197"/>
      <c r="G1098" s="199" t="s">
        <v>1137</v>
      </c>
      <c r="H1098" s="200"/>
      <c r="I1098" s="200"/>
      <c r="J1098" s="200"/>
      <c r="K1098" s="199"/>
      <c r="L1098" s="200"/>
      <c r="M1098" s="200"/>
      <c r="N1098" s="197"/>
    </row>
    <row r="1099" spans="1:14">
      <c r="A1099" s="262"/>
      <c r="B1099" s="262"/>
      <c r="C1099" s="197">
        <v>59</v>
      </c>
      <c r="D1099" s="262"/>
      <c r="E1099" s="198">
        <v>348.61660799999999</v>
      </c>
      <c r="F1099" s="197"/>
      <c r="G1099" s="199" t="s">
        <v>1138</v>
      </c>
      <c r="H1099" s="200"/>
      <c r="I1099" s="200"/>
      <c r="J1099" s="200"/>
      <c r="K1099" s="199"/>
      <c r="L1099" s="200"/>
      <c r="M1099" s="200"/>
      <c r="N1099" s="197"/>
    </row>
    <row r="1100" spans="1:14">
      <c r="A1100" s="262"/>
      <c r="B1100" s="262"/>
      <c r="C1100" s="197">
        <v>60</v>
      </c>
      <c r="D1100" s="262"/>
      <c r="E1100" s="198">
        <v>192.082975</v>
      </c>
      <c r="F1100" s="197"/>
      <c r="G1100" s="199" t="s">
        <v>1139</v>
      </c>
      <c r="H1100" s="200"/>
      <c r="I1100" s="200"/>
      <c r="J1100" s="200"/>
      <c r="K1100" s="199"/>
      <c r="L1100" s="200"/>
      <c r="M1100" s="200"/>
      <c r="N1100" s="197"/>
    </row>
    <row r="1101" spans="1:14">
      <c r="A1101" s="262"/>
      <c r="B1101" s="262"/>
      <c r="C1101" s="197">
        <v>61</v>
      </c>
      <c r="D1101" s="262"/>
      <c r="E1101" s="198">
        <v>0</v>
      </c>
      <c r="F1101" s="197" t="s">
        <v>227</v>
      </c>
      <c r="G1101" s="199" t="s">
        <v>293</v>
      </c>
      <c r="H1101" s="200"/>
      <c r="I1101" s="200"/>
      <c r="J1101" s="200"/>
      <c r="K1101" s="199"/>
      <c r="L1101" s="200"/>
      <c r="M1101" s="200"/>
      <c r="N1101" s="197"/>
    </row>
    <row r="1102" spans="1:14">
      <c r="A1102" s="262"/>
      <c r="B1102" s="262"/>
      <c r="C1102" s="197">
        <v>62</v>
      </c>
      <c r="D1102" s="262"/>
      <c r="E1102" s="198">
        <v>803.90625</v>
      </c>
      <c r="F1102" s="197" t="s">
        <v>281</v>
      </c>
      <c r="G1102" s="199" t="s">
        <v>1140</v>
      </c>
      <c r="H1102" s="200"/>
      <c r="I1102" s="200"/>
      <c r="J1102" s="200"/>
      <c r="K1102" s="199"/>
      <c r="L1102" s="200"/>
      <c r="M1102" s="200"/>
      <c r="N1102" s="197"/>
    </row>
    <row r="1103" spans="1:14">
      <c r="A1103" s="262"/>
      <c r="B1103" s="262"/>
      <c r="C1103" s="197">
        <v>63</v>
      </c>
      <c r="D1103" s="262"/>
      <c r="E1103" s="198">
        <v>255.58288400000001</v>
      </c>
      <c r="F1103" s="197"/>
      <c r="G1103" s="199" t="s">
        <v>1141</v>
      </c>
      <c r="H1103" s="200"/>
      <c r="I1103" s="200"/>
      <c r="J1103" s="200"/>
      <c r="K1103" s="199"/>
      <c r="L1103" s="200"/>
      <c r="M1103" s="200"/>
      <c r="N1103" s="197"/>
    </row>
    <row r="1104" spans="1:14">
      <c r="A1104" s="262"/>
      <c r="B1104" s="262"/>
      <c r="C1104" s="197">
        <v>64</v>
      </c>
      <c r="D1104" s="262"/>
      <c r="E1104" s="198">
        <v>0</v>
      </c>
      <c r="F1104" s="197" t="s">
        <v>227</v>
      </c>
      <c r="G1104" s="199" t="s">
        <v>386</v>
      </c>
      <c r="H1104" s="200"/>
      <c r="I1104" s="200"/>
      <c r="J1104" s="200"/>
      <c r="K1104" s="199"/>
      <c r="L1104" s="200"/>
      <c r="M1104" s="200"/>
      <c r="N1104" s="197"/>
    </row>
    <row r="1105" spans="1:14">
      <c r="A1105" s="262"/>
      <c r="B1105" s="262"/>
      <c r="C1105" s="197">
        <v>65</v>
      </c>
      <c r="D1105" s="262"/>
      <c r="E1105" s="198">
        <v>0</v>
      </c>
      <c r="F1105" s="197" t="s">
        <v>227</v>
      </c>
      <c r="G1105" s="199" t="s">
        <v>1142</v>
      </c>
      <c r="H1105" s="200"/>
      <c r="I1105" s="200"/>
      <c r="J1105" s="200"/>
      <c r="K1105" s="199"/>
      <c r="L1105" s="200"/>
      <c r="M1105" s="200"/>
      <c r="N1105" s="197"/>
    </row>
    <row r="1106" spans="1:14">
      <c r="A1106" s="262"/>
      <c r="B1106" s="262"/>
      <c r="C1106" s="197">
        <v>66</v>
      </c>
      <c r="D1106" s="262"/>
      <c r="E1106" s="198">
        <v>0</v>
      </c>
      <c r="F1106" s="197" t="s">
        <v>227</v>
      </c>
      <c r="G1106" s="199" t="s">
        <v>1143</v>
      </c>
      <c r="H1106" s="200"/>
      <c r="I1106" s="200"/>
      <c r="J1106" s="200"/>
      <c r="K1106" s="199"/>
      <c r="L1106" s="200"/>
      <c r="M1106" s="200"/>
      <c r="N1106" s="197"/>
    </row>
    <row r="1107" spans="1:14">
      <c r="A1107" s="262"/>
      <c r="B1107" s="262"/>
      <c r="C1107" s="197">
        <v>67</v>
      </c>
      <c r="D1107" s="262"/>
      <c r="E1107" s="198">
        <v>0</v>
      </c>
      <c r="F1107" s="197" t="s">
        <v>227</v>
      </c>
      <c r="G1107" s="199" t="s">
        <v>1144</v>
      </c>
      <c r="H1107" s="200"/>
      <c r="I1107" s="200"/>
      <c r="J1107" s="200"/>
      <c r="K1107" s="199"/>
      <c r="L1107" s="200"/>
      <c r="M1107" s="200"/>
      <c r="N1107" s="197"/>
    </row>
    <row r="1108" spans="1:14">
      <c r="A1108" s="262"/>
      <c r="B1108" s="262"/>
      <c r="C1108" s="197">
        <v>68</v>
      </c>
      <c r="D1108" s="261">
        <v>13</v>
      </c>
      <c r="E1108" s="198">
        <v>290.98668700000002</v>
      </c>
      <c r="F1108" s="197"/>
      <c r="G1108" s="199" t="s">
        <v>1145</v>
      </c>
      <c r="H1108" s="200">
        <v>0.56499999999999995</v>
      </c>
      <c r="I1108" s="200">
        <v>1.0249999999999999</v>
      </c>
      <c r="J1108" s="200">
        <v>0.41499999999999998</v>
      </c>
      <c r="K1108" s="199" t="s">
        <v>671</v>
      </c>
      <c r="L1108" s="200"/>
      <c r="M1108" s="200"/>
      <c r="N1108" s="197"/>
    </row>
    <row r="1109" spans="1:14">
      <c r="A1109" s="262"/>
      <c r="B1109" s="262"/>
      <c r="C1109" s="197">
        <v>69</v>
      </c>
      <c r="D1109" s="262"/>
      <c r="E1109" s="198">
        <v>291.480997</v>
      </c>
      <c r="F1109" s="197"/>
      <c r="G1109" s="199" t="s">
        <v>1146</v>
      </c>
      <c r="H1109" s="200"/>
      <c r="I1109" s="200"/>
      <c r="J1109" s="200"/>
      <c r="K1109" s="199"/>
      <c r="L1109" s="200"/>
      <c r="M1109" s="200"/>
      <c r="N1109" s="197"/>
    </row>
    <row r="1110" spans="1:14">
      <c r="A1110" s="262"/>
      <c r="B1110" s="262"/>
      <c r="C1110" s="197">
        <v>70</v>
      </c>
      <c r="D1110" s="262"/>
      <c r="E1110" s="198">
        <v>291.74456800000002</v>
      </c>
      <c r="F1110" s="197"/>
      <c r="G1110" s="199" t="s">
        <v>1147</v>
      </c>
      <c r="H1110" s="200"/>
      <c r="I1110" s="200"/>
      <c r="J1110" s="200"/>
      <c r="K1110" s="199"/>
      <c r="L1110" s="200"/>
      <c r="M1110" s="200"/>
      <c r="N1110" s="197"/>
    </row>
    <row r="1111" spans="1:14">
      <c r="A1111" s="262"/>
      <c r="B1111" s="262"/>
      <c r="C1111" s="197">
        <v>71</v>
      </c>
      <c r="D1111" s="262"/>
      <c r="E1111" s="198">
        <v>290.58888300000001</v>
      </c>
      <c r="F1111" s="197"/>
      <c r="G1111" s="199" t="s">
        <v>1148</v>
      </c>
      <c r="H1111" s="200"/>
      <c r="I1111" s="200"/>
      <c r="J1111" s="200"/>
      <c r="K1111" s="199"/>
      <c r="L1111" s="200"/>
      <c r="M1111" s="200"/>
      <c r="N1111" s="197"/>
    </row>
    <row r="1112" spans="1:14">
      <c r="A1112" s="262"/>
      <c r="B1112" s="262"/>
      <c r="C1112" s="197">
        <v>72</v>
      </c>
      <c r="D1112" s="261">
        <v>14</v>
      </c>
      <c r="E1112" s="198">
        <v>258.80481800000001</v>
      </c>
      <c r="F1112" s="197" t="s">
        <v>227</v>
      </c>
      <c r="G1112" s="199" t="s">
        <v>1149</v>
      </c>
      <c r="H1112" s="200">
        <v>0.53</v>
      </c>
      <c r="I1112" s="200">
        <v>1.01</v>
      </c>
      <c r="J1112" s="200">
        <v>0.42</v>
      </c>
      <c r="K1112" s="199" t="s">
        <v>671</v>
      </c>
      <c r="L1112" s="200"/>
      <c r="M1112" s="200"/>
      <c r="N1112" s="197"/>
    </row>
    <row r="1113" spans="1:14">
      <c r="A1113" s="262"/>
      <c r="B1113" s="262"/>
      <c r="C1113" s="197">
        <v>73</v>
      </c>
      <c r="D1113" s="262"/>
      <c r="E1113" s="198">
        <v>261.07571100000001</v>
      </c>
      <c r="F1113" s="197"/>
      <c r="G1113" s="199" t="s">
        <v>1150</v>
      </c>
      <c r="H1113" s="200"/>
      <c r="I1113" s="200"/>
      <c r="J1113" s="200"/>
      <c r="K1113" s="199"/>
      <c r="L1113" s="200"/>
      <c r="M1113" s="200"/>
      <c r="N1113" s="197"/>
    </row>
    <row r="1114" spans="1:14">
      <c r="A1114" s="262"/>
      <c r="B1114" s="262"/>
      <c r="C1114" s="197">
        <v>74</v>
      </c>
      <c r="D1114" s="262"/>
      <c r="E1114" s="198">
        <v>260.56655499999999</v>
      </c>
      <c r="F1114" s="197"/>
      <c r="G1114" s="199" t="s">
        <v>1151</v>
      </c>
      <c r="H1114" s="200"/>
      <c r="I1114" s="200"/>
      <c r="J1114" s="200"/>
      <c r="K1114" s="199"/>
      <c r="L1114" s="200"/>
      <c r="M1114" s="200"/>
      <c r="N1114" s="197"/>
    </row>
    <row r="1115" spans="1:14">
      <c r="A1115" s="262"/>
      <c r="B1115" s="262"/>
      <c r="C1115" s="197">
        <v>75</v>
      </c>
      <c r="D1115" s="261">
        <v>15</v>
      </c>
      <c r="E1115" s="198">
        <v>249.15254200000001</v>
      </c>
      <c r="F1115" s="197" t="s">
        <v>227</v>
      </c>
      <c r="G1115" s="199" t="s">
        <v>1152</v>
      </c>
      <c r="H1115" s="200">
        <v>0.435</v>
      </c>
      <c r="I1115" s="200">
        <v>1.0149999999999999</v>
      </c>
      <c r="J1115" s="200">
        <v>0.42</v>
      </c>
      <c r="K1115" s="199" t="s">
        <v>229</v>
      </c>
      <c r="L1115" s="200"/>
      <c r="M1115" s="200"/>
      <c r="N1115" s="197"/>
    </row>
    <row r="1116" spans="1:14">
      <c r="A1116" s="262"/>
      <c r="B1116" s="262"/>
      <c r="C1116" s="197">
        <v>76</v>
      </c>
      <c r="D1116" s="262"/>
      <c r="E1116" s="198">
        <v>208.64875599999999</v>
      </c>
      <c r="F1116" s="197"/>
      <c r="G1116" s="199" t="s">
        <v>1153</v>
      </c>
      <c r="H1116" s="200"/>
      <c r="I1116" s="200"/>
      <c r="J1116" s="200"/>
      <c r="K1116" s="199"/>
      <c r="L1116" s="200"/>
      <c r="M1116" s="200"/>
      <c r="N1116" s="197"/>
    </row>
    <row r="1117" spans="1:14">
      <c r="A1117" s="262"/>
      <c r="B1117" s="262"/>
      <c r="C1117" s="197">
        <v>77</v>
      </c>
      <c r="D1117" s="262"/>
      <c r="E1117" s="198">
        <v>209.74284900000001</v>
      </c>
      <c r="F1117" s="197"/>
      <c r="G1117" s="199" t="s">
        <v>1154</v>
      </c>
      <c r="H1117" s="200"/>
      <c r="I1117" s="200"/>
      <c r="J1117" s="200"/>
      <c r="K1117" s="199"/>
      <c r="L1117" s="200"/>
      <c r="M1117" s="200"/>
      <c r="N1117" s="197"/>
    </row>
    <row r="1118" spans="1:14">
      <c r="A1118" s="262"/>
      <c r="B1118" s="262"/>
      <c r="C1118" s="197">
        <v>78</v>
      </c>
      <c r="D1118" s="262"/>
      <c r="E1118" s="198">
        <v>208.776398</v>
      </c>
      <c r="F1118" s="197"/>
      <c r="G1118" s="199" t="s">
        <v>1155</v>
      </c>
      <c r="H1118" s="200"/>
      <c r="I1118" s="200"/>
      <c r="J1118" s="200"/>
      <c r="K1118" s="199"/>
      <c r="L1118" s="200"/>
      <c r="M1118" s="200"/>
      <c r="N1118" s="197"/>
    </row>
    <row r="1119" spans="1:14">
      <c r="A1119" s="262"/>
      <c r="B1119" s="262"/>
      <c r="C1119" s="197">
        <v>79</v>
      </c>
      <c r="D1119" s="261">
        <v>16</v>
      </c>
      <c r="E1119" s="198">
        <v>197.34271899999999</v>
      </c>
      <c r="F1119" s="197" t="s">
        <v>227</v>
      </c>
      <c r="G1119" s="199" t="s">
        <v>1156</v>
      </c>
      <c r="H1119" s="200">
        <v>0.56999999999999995</v>
      </c>
      <c r="I1119" s="200">
        <v>1.03</v>
      </c>
      <c r="J1119" s="200">
        <v>0.435</v>
      </c>
      <c r="K1119" s="199" t="s">
        <v>229</v>
      </c>
      <c r="L1119" s="200"/>
      <c r="M1119" s="200"/>
      <c r="N1119" s="197"/>
    </row>
    <row r="1120" spans="1:14">
      <c r="A1120" s="262"/>
      <c r="B1120" s="262"/>
      <c r="C1120" s="197">
        <v>80</v>
      </c>
      <c r="D1120" s="262"/>
      <c r="E1120" s="198">
        <v>386.84210200000001</v>
      </c>
      <c r="F1120" s="197"/>
      <c r="G1120" s="199" t="s">
        <v>1157</v>
      </c>
      <c r="H1120" s="200"/>
      <c r="I1120" s="200"/>
      <c r="J1120" s="200"/>
      <c r="K1120" s="199"/>
      <c r="L1120" s="200"/>
      <c r="M1120" s="200"/>
      <c r="N1120" s="197"/>
    </row>
    <row r="1121" spans="1:14">
      <c r="A1121" s="262"/>
      <c r="B1121" s="262"/>
      <c r="C1121" s="197">
        <v>81</v>
      </c>
      <c r="D1121" s="262"/>
      <c r="E1121" s="198">
        <v>207.32651999999999</v>
      </c>
      <c r="F1121" s="197"/>
      <c r="G1121" s="199" t="s">
        <v>1158</v>
      </c>
      <c r="H1121" s="200"/>
      <c r="I1121" s="200"/>
      <c r="J1121" s="200"/>
      <c r="K1121" s="199"/>
      <c r="L1121" s="200"/>
      <c r="M1121" s="200"/>
      <c r="N1121" s="197"/>
    </row>
    <row r="1122" spans="1:14">
      <c r="A1122" s="262"/>
      <c r="B1122" s="262"/>
      <c r="C1122" s="197">
        <v>82</v>
      </c>
      <c r="D1122" s="262"/>
      <c r="E1122" s="198">
        <v>204.42607799999999</v>
      </c>
      <c r="F1122" s="197"/>
      <c r="G1122" s="199" t="s">
        <v>1159</v>
      </c>
      <c r="H1122" s="200"/>
      <c r="I1122" s="200"/>
      <c r="J1122" s="200"/>
      <c r="K1122" s="199"/>
      <c r="L1122" s="200"/>
      <c r="M1122" s="200"/>
      <c r="N1122" s="197"/>
    </row>
    <row r="1123" spans="1:14">
      <c r="A1123" s="262"/>
      <c r="B1123" s="262"/>
      <c r="C1123" s="197">
        <v>83</v>
      </c>
      <c r="D1123" s="262"/>
      <c r="E1123" s="198">
        <v>203.36657199999999</v>
      </c>
      <c r="F1123" s="197"/>
      <c r="G1123" s="199" t="s">
        <v>1160</v>
      </c>
      <c r="H1123" s="200"/>
      <c r="I1123" s="200"/>
      <c r="J1123" s="200"/>
      <c r="K1123" s="199"/>
      <c r="L1123" s="200"/>
      <c r="M1123" s="200"/>
      <c r="N1123" s="197"/>
    </row>
    <row r="1124" spans="1:14">
      <c r="A1124" s="262"/>
      <c r="B1124" s="262"/>
      <c r="C1124" s="197">
        <v>84</v>
      </c>
      <c r="D1124" s="262"/>
      <c r="E1124" s="198">
        <v>0</v>
      </c>
      <c r="F1124" s="197" t="s">
        <v>227</v>
      </c>
      <c r="G1124" s="199" t="s">
        <v>316</v>
      </c>
      <c r="H1124" s="200"/>
      <c r="I1124" s="200"/>
      <c r="J1124" s="200"/>
      <c r="K1124" s="199"/>
      <c r="L1124" s="200"/>
      <c r="M1124" s="200"/>
      <c r="N1124" s="197"/>
    </row>
    <row r="1125" spans="1:14">
      <c r="A1125" s="262"/>
      <c r="B1125" s="262"/>
      <c r="C1125" s="197">
        <v>85</v>
      </c>
      <c r="D1125" s="262"/>
      <c r="E1125" s="198">
        <v>0</v>
      </c>
      <c r="F1125" s="197" t="s">
        <v>227</v>
      </c>
      <c r="G1125" s="199" t="s">
        <v>317</v>
      </c>
      <c r="H1125" s="200"/>
      <c r="I1125" s="200"/>
      <c r="J1125" s="200"/>
      <c r="K1125" s="199"/>
      <c r="L1125" s="200"/>
      <c r="M1125" s="200"/>
      <c r="N1125" s="197"/>
    </row>
    <row r="1126" spans="1:14">
      <c r="A1126" s="261" t="s">
        <v>1161</v>
      </c>
      <c r="B1126" s="261">
        <v>8</v>
      </c>
      <c r="C1126" s="197">
        <v>1</v>
      </c>
      <c r="D1126" s="261">
        <v>1</v>
      </c>
      <c r="E1126" s="198">
        <v>0</v>
      </c>
      <c r="F1126" s="197" t="s">
        <v>227</v>
      </c>
      <c r="G1126" s="199" t="s">
        <v>228</v>
      </c>
      <c r="H1126" s="200">
        <v>0.51500000000000001</v>
      </c>
      <c r="I1126" s="200">
        <v>1.01</v>
      </c>
      <c r="J1126" s="200">
        <v>0.38</v>
      </c>
      <c r="K1126" s="199" t="s">
        <v>671</v>
      </c>
      <c r="L1126" s="200">
        <v>3.7991569788572849E-2</v>
      </c>
      <c r="M1126" s="200"/>
      <c r="N1126" s="197"/>
    </row>
    <row r="1127" spans="1:14">
      <c r="A1127" s="262"/>
      <c r="B1127" s="262"/>
      <c r="C1127" s="197">
        <v>2</v>
      </c>
      <c r="D1127" s="262"/>
      <c r="E1127" s="198">
        <v>0</v>
      </c>
      <c r="F1127" s="197" t="s">
        <v>227</v>
      </c>
      <c r="G1127" s="199" t="s">
        <v>230</v>
      </c>
      <c r="H1127" s="200"/>
      <c r="I1127" s="200"/>
      <c r="J1127" s="200"/>
      <c r="K1127" s="199"/>
      <c r="L1127" s="200">
        <v>1.7309228030157782E-2</v>
      </c>
      <c r="M1127" s="200"/>
      <c r="N1127" s="197"/>
    </row>
    <row r="1128" spans="1:14">
      <c r="A1128" s="262"/>
      <c r="B1128" s="262"/>
      <c r="C1128" s="197">
        <v>3</v>
      </c>
      <c r="D1128" s="262"/>
      <c r="E1128" s="198">
        <v>193.42105100000001</v>
      </c>
      <c r="F1128" s="197" t="s">
        <v>281</v>
      </c>
      <c r="G1128" s="199" t="s">
        <v>1162</v>
      </c>
      <c r="H1128" s="200"/>
      <c r="I1128" s="200"/>
      <c r="J1128" s="200"/>
      <c r="K1128" s="199"/>
      <c r="L1128" s="200">
        <v>2.1576082678512333E-2</v>
      </c>
      <c r="M1128" s="200"/>
      <c r="N1128" s="197"/>
    </row>
    <row r="1129" spans="1:14">
      <c r="A1129" s="262"/>
      <c r="B1129" s="262"/>
      <c r="C1129" s="197">
        <v>4</v>
      </c>
      <c r="D1129" s="262"/>
      <c r="E1129" s="198">
        <v>269.66439100000002</v>
      </c>
      <c r="F1129" s="197"/>
      <c r="G1129" s="199" t="s">
        <v>1163</v>
      </c>
      <c r="H1129" s="200"/>
      <c r="I1129" s="200"/>
      <c r="J1129" s="200"/>
      <c r="K1129" s="199"/>
      <c r="L1129" s="200"/>
      <c r="M1129" s="200" t="s">
        <v>1164</v>
      </c>
      <c r="N1129" s="197" t="s">
        <v>1165</v>
      </c>
    </row>
    <row r="1130" spans="1:14">
      <c r="A1130" s="262"/>
      <c r="B1130" s="262"/>
      <c r="C1130" s="197">
        <v>5</v>
      </c>
      <c r="D1130" s="262"/>
      <c r="E1130" s="198">
        <v>272.86228999999997</v>
      </c>
      <c r="F1130" s="197"/>
      <c r="G1130" s="199" t="s">
        <v>1166</v>
      </c>
      <c r="H1130" s="200"/>
      <c r="I1130" s="200"/>
      <c r="J1130" s="200"/>
      <c r="K1130" s="199"/>
      <c r="L1130" s="200"/>
      <c r="M1130" s="200"/>
      <c r="N1130" s="197"/>
    </row>
    <row r="1131" spans="1:14">
      <c r="A1131" s="262"/>
      <c r="B1131" s="262"/>
      <c r="C1131" s="197">
        <v>6</v>
      </c>
      <c r="D1131" s="261">
        <v>2</v>
      </c>
      <c r="E1131" s="198">
        <v>351.09465999999998</v>
      </c>
      <c r="F1131" s="197" t="s">
        <v>227</v>
      </c>
      <c r="G1131" s="199" t="s">
        <v>1167</v>
      </c>
      <c r="H1131" s="200">
        <v>0.51500000000000001</v>
      </c>
      <c r="I1131" s="200">
        <v>1.0349999999999999</v>
      </c>
      <c r="J1131" s="200">
        <v>0.41</v>
      </c>
      <c r="K1131" s="199" t="s">
        <v>229</v>
      </c>
      <c r="L1131" s="200"/>
      <c r="M1131" s="200"/>
      <c r="N1131" s="197"/>
    </row>
    <row r="1132" spans="1:14">
      <c r="A1132" s="262"/>
      <c r="B1132" s="262"/>
      <c r="C1132" s="197">
        <v>7</v>
      </c>
      <c r="D1132" s="262"/>
      <c r="E1132" s="198">
        <v>369.55306999999999</v>
      </c>
      <c r="F1132" s="197"/>
      <c r="G1132" s="199" t="s">
        <v>1168</v>
      </c>
      <c r="H1132" s="200"/>
      <c r="I1132" s="200"/>
      <c r="J1132" s="200"/>
      <c r="K1132" s="199"/>
      <c r="L1132" s="200"/>
      <c r="M1132" s="200"/>
      <c r="N1132" s="197"/>
    </row>
    <row r="1133" spans="1:14">
      <c r="A1133" s="262"/>
      <c r="B1133" s="262"/>
      <c r="C1133" s="197">
        <v>8</v>
      </c>
      <c r="D1133" s="262"/>
      <c r="E1133" s="198">
        <v>371.64480400000002</v>
      </c>
      <c r="F1133" s="197"/>
      <c r="G1133" s="199" t="s">
        <v>1169</v>
      </c>
      <c r="H1133" s="200"/>
      <c r="I1133" s="200"/>
      <c r="J1133" s="200"/>
      <c r="K1133" s="199"/>
      <c r="L1133" s="200"/>
      <c r="M1133" s="200"/>
      <c r="N1133" s="197"/>
    </row>
    <row r="1134" spans="1:14">
      <c r="A1134" s="262"/>
      <c r="B1134" s="262"/>
      <c r="C1134" s="197">
        <v>9</v>
      </c>
      <c r="D1134" s="261">
        <v>3</v>
      </c>
      <c r="E1134" s="198">
        <v>494.57946800000002</v>
      </c>
      <c r="F1134" s="197" t="s">
        <v>227</v>
      </c>
      <c r="G1134" s="199" t="s">
        <v>1170</v>
      </c>
      <c r="H1134" s="200">
        <v>0.56000000000000005</v>
      </c>
      <c r="I1134" s="200">
        <v>1</v>
      </c>
      <c r="J1134" s="200">
        <v>0.39</v>
      </c>
      <c r="K1134" s="199" t="s">
        <v>671</v>
      </c>
      <c r="L1134" s="200"/>
      <c r="M1134" s="200"/>
      <c r="N1134" s="197"/>
    </row>
    <row r="1135" spans="1:14">
      <c r="A1135" s="262"/>
      <c r="B1135" s="262"/>
      <c r="C1135" s="197">
        <v>10</v>
      </c>
      <c r="D1135" s="262"/>
      <c r="E1135" s="198">
        <v>210.48325700000001</v>
      </c>
      <c r="F1135" s="197"/>
      <c r="G1135" s="199" t="s">
        <v>1171</v>
      </c>
      <c r="H1135" s="200"/>
      <c r="I1135" s="200"/>
      <c r="J1135" s="200"/>
      <c r="K1135" s="199"/>
      <c r="L1135" s="200"/>
      <c r="M1135" s="200"/>
      <c r="N1135" s="197"/>
    </row>
    <row r="1136" spans="1:14">
      <c r="A1136" s="262"/>
      <c r="B1136" s="262"/>
      <c r="C1136" s="197">
        <v>11</v>
      </c>
      <c r="D1136" s="262"/>
      <c r="E1136" s="198">
        <v>0</v>
      </c>
      <c r="F1136" s="197" t="s">
        <v>227</v>
      </c>
      <c r="G1136" s="199" t="s">
        <v>242</v>
      </c>
      <c r="H1136" s="200"/>
      <c r="I1136" s="200"/>
      <c r="J1136" s="200"/>
      <c r="K1136" s="199"/>
      <c r="L1136" s="200"/>
      <c r="M1136" s="200"/>
      <c r="N1136" s="197"/>
    </row>
    <row r="1137" spans="1:14">
      <c r="A1137" s="262"/>
      <c r="B1137" s="262"/>
      <c r="C1137" s="197">
        <v>12</v>
      </c>
      <c r="D1137" s="262"/>
      <c r="E1137" s="198">
        <v>732.28784199999996</v>
      </c>
      <c r="F1137" s="197" t="s">
        <v>281</v>
      </c>
      <c r="G1137" s="199" t="s">
        <v>1172</v>
      </c>
      <c r="H1137" s="200"/>
      <c r="I1137" s="200"/>
      <c r="J1137" s="200"/>
      <c r="K1137" s="199"/>
      <c r="L1137" s="200"/>
      <c r="M1137" s="200"/>
      <c r="N1137" s="197"/>
    </row>
    <row r="1138" spans="1:14">
      <c r="A1138" s="262"/>
      <c r="B1138" s="262"/>
      <c r="C1138" s="197">
        <v>13</v>
      </c>
      <c r="D1138" s="262"/>
      <c r="E1138" s="198">
        <v>282.53477800000002</v>
      </c>
      <c r="F1138" s="197"/>
      <c r="G1138" s="199" t="s">
        <v>1173</v>
      </c>
      <c r="H1138" s="200"/>
      <c r="I1138" s="200"/>
      <c r="J1138" s="200"/>
      <c r="K1138" s="199"/>
      <c r="L1138" s="200"/>
      <c r="M1138" s="200"/>
      <c r="N1138" s="197"/>
    </row>
    <row r="1139" spans="1:14">
      <c r="A1139" s="262"/>
      <c r="B1139" s="262"/>
      <c r="C1139" s="197">
        <v>14</v>
      </c>
      <c r="D1139" s="261">
        <v>4</v>
      </c>
      <c r="E1139" s="198">
        <v>274.67199799999997</v>
      </c>
      <c r="F1139" s="197" t="s">
        <v>227</v>
      </c>
      <c r="G1139" s="199" t="s">
        <v>1174</v>
      </c>
      <c r="H1139" s="200">
        <v>0.495</v>
      </c>
      <c r="I1139" s="200">
        <v>1.0249999999999999</v>
      </c>
      <c r="J1139" s="200">
        <v>0.35499999999999998</v>
      </c>
      <c r="K1139" s="199" t="s">
        <v>229</v>
      </c>
      <c r="L1139" s="200"/>
      <c r="M1139" s="200"/>
      <c r="N1139" s="197"/>
    </row>
    <row r="1140" spans="1:14">
      <c r="A1140" s="262"/>
      <c r="B1140" s="262"/>
      <c r="C1140" s="197">
        <v>15</v>
      </c>
      <c r="D1140" s="262"/>
      <c r="E1140" s="198">
        <v>0</v>
      </c>
      <c r="F1140" s="197" t="s">
        <v>227</v>
      </c>
      <c r="G1140" s="199" t="s">
        <v>246</v>
      </c>
      <c r="H1140" s="200"/>
      <c r="I1140" s="200"/>
      <c r="J1140" s="200"/>
      <c r="K1140" s="199"/>
      <c r="L1140" s="200"/>
      <c r="M1140" s="200"/>
      <c r="N1140" s="197"/>
    </row>
    <row r="1141" spans="1:14">
      <c r="A1141" s="262"/>
      <c r="B1141" s="262"/>
      <c r="C1141" s="197">
        <v>16</v>
      </c>
      <c r="D1141" s="262"/>
      <c r="E1141" s="198">
        <v>272.23292300000003</v>
      </c>
      <c r="F1141" s="197"/>
      <c r="G1141" s="199" t="s">
        <v>1175</v>
      </c>
      <c r="H1141" s="200"/>
      <c r="I1141" s="200"/>
      <c r="J1141" s="200"/>
      <c r="K1141" s="199"/>
      <c r="L1141" s="200"/>
      <c r="M1141" s="200"/>
      <c r="N1141" s="197"/>
    </row>
    <row r="1142" spans="1:14">
      <c r="A1142" s="262"/>
      <c r="B1142" s="262"/>
      <c r="C1142" s="197">
        <v>17</v>
      </c>
      <c r="D1142" s="262"/>
      <c r="E1142" s="198">
        <v>270.96780699999999</v>
      </c>
      <c r="F1142" s="197"/>
      <c r="G1142" s="199" t="s">
        <v>1176</v>
      </c>
      <c r="H1142" s="200"/>
      <c r="I1142" s="200"/>
      <c r="J1142" s="200"/>
      <c r="K1142" s="199"/>
      <c r="L1142" s="200"/>
      <c r="M1142" s="200"/>
      <c r="N1142" s="197"/>
    </row>
    <row r="1143" spans="1:14">
      <c r="A1143" s="262"/>
      <c r="B1143" s="262"/>
      <c r="C1143" s="197">
        <v>18</v>
      </c>
      <c r="D1143" s="262"/>
      <c r="E1143" s="198">
        <v>258.75943000000001</v>
      </c>
      <c r="F1143" s="197"/>
      <c r="G1143" s="199" t="s">
        <v>1177</v>
      </c>
      <c r="H1143" s="200"/>
      <c r="I1143" s="200"/>
      <c r="J1143" s="200"/>
      <c r="K1143" s="199"/>
      <c r="L1143" s="200"/>
      <c r="M1143" s="200"/>
      <c r="N1143" s="197"/>
    </row>
    <row r="1144" spans="1:14">
      <c r="A1144" s="262"/>
      <c r="B1144" s="262"/>
      <c r="C1144" s="197">
        <v>19</v>
      </c>
      <c r="D1144" s="262"/>
      <c r="E1144" s="198">
        <v>263.02185100000003</v>
      </c>
      <c r="F1144" s="197"/>
      <c r="G1144" s="199" t="s">
        <v>1178</v>
      </c>
      <c r="H1144" s="200"/>
      <c r="I1144" s="200"/>
      <c r="J1144" s="200"/>
      <c r="K1144" s="199"/>
      <c r="L1144" s="200"/>
      <c r="M1144" s="200"/>
      <c r="N1144" s="197"/>
    </row>
    <row r="1145" spans="1:14">
      <c r="A1145" s="262"/>
      <c r="B1145" s="262"/>
      <c r="C1145" s="197">
        <v>20</v>
      </c>
      <c r="D1145" s="262"/>
      <c r="E1145" s="198">
        <v>259.17721599999999</v>
      </c>
      <c r="F1145" s="197"/>
      <c r="G1145" s="199" t="s">
        <v>1179</v>
      </c>
      <c r="H1145" s="200"/>
      <c r="I1145" s="200"/>
      <c r="J1145" s="200"/>
      <c r="K1145" s="199"/>
      <c r="L1145" s="200"/>
      <c r="M1145" s="200"/>
      <c r="N1145" s="197"/>
    </row>
    <row r="1146" spans="1:14">
      <c r="A1146" s="262"/>
      <c r="B1146" s="262"/>
      <c r="C1146" s="197">
        <v>21</v>
      </c>
      <c r="D1146" s="262"/>
      <c r="E1146" s="198">
        <v>259.17721599999999</v>
      </c>
      <c r="F1146" s="197"/>
      <c r="G1146" s="199" t="s">
        <v>1180</v>
      </c>
      <c r="H1146" s="200"/>
      <c r="I1146" s="200"/>
      <c r="J1146" s="200"/>
      <c r="K1146" s="199"/>
      <c r="L1146" s="200"/>
      <c r="M1146" s="200"/>
      <c r="N1146" s="197"/>
    </row>
    <row r="1147" spans="1:14">
      <c r="A1147" s="262"/>
      <c r="B1147" s="262"/>
      <c r="C1147" s="197">
        <v>22</v>
      </c>
      <c r="D1147" s="262"/>
      <c r="E1147" s="198">
        <v>0</v>
      </c>
      <c r="F1147" s="197" t="s">
        <v>227</v>
      </c>
      <c r="G1147" s="199" t="s">
        <v>253</v>
      </c>
      <c r="H1147" s="200"/>
      <c r="I1147" s="200"/>
      <c r="J1147" s="200"/>
      <c r="K1147" s="199"/>
      <c r="L1147" s="200"/>
      <c r="M1147" s="200"/>
      <c r="N1147" s="197"/>
    </row>
    <row r="1148" spans="1:14">
      <c r="A1148" s="262"/>
      <c r="B1148" s="262"/>
      <c r="C1148" s="197">
        <v>23</v>
      </c>
      <c r="D1148" s="262"/>
      <c r="E1148" s="198">
        <v>0</v>
      </c>
      <c r="F1148" s="197" t="s">
        <v>227</v>
      </c>
      <c r="G1148" s="199" t="s">
        <v>687</v>
      </c>
      <c r="H1148" s="200"/>
      <c r="I1148" s="200"/>
      <c r="J1148" s="200"/>
      <c r="K1148" s="199"/>
      <c r="L1148" s="200"/>
      <c r="M1148" s="200"/>
      <c r="N1148" s="197"/>
    </row>
    <row r="1149" spans="1:14">
      <c r="A1149" s="262"/>
      <c r="B1149" s="262"/>
      <c r="C1149" s="197">
        <v>24</v>
      </c>
      <c r="D1149" s="262"/>
      <c r="E1149" s="198">
        <v>0</v>
      </c>
      <c r="F1149" s="197" t="s">
        <v>227</v>
      </c>
      <c r="G1149" s="199" t="s">
        <v>688</v>
      </c>
      <c r="H1149" s="200"/>
      <c r="I1149" s="200"/>
      <c r="J1149" s="200"/>
      <c r="K1149" s="199"/>
      <c r="L1149" s="200"/>
      <c r="M1149" s="200"/>
      <c r="N1149" s="197"/>
    </row>
    <row r="1150" spans="1:14">
      <c r="A1150" s="262"/>
      <c r="B1150" s="262"/>
      <c r="C1150" s="197">
        <v>25</v>
      </c>
      <c r="D1150" s="261">
        <v>5</v>
      </c>
      <c r="E1150" s="198">
        <v>204.78322700000001</v>
      </c>
      <c r="F1150" s="197" t="s">
        <v>281</v>
      </c>
      <c r="G1150" s="199" t="s">
        <v>1181</v>
      </c>
      <c r="H1150" s="200">
        <v>0.52</v>
      </c>
      <c r="I1150" s="200">
        <v>1.0149999999999999</v>
      </c>
      <c r="J1150" s="200">
        <v>0.42499999999999999</v>
      </c>
      <c r="K1150" s="199" t="s">
        <v>671</v>
      </c>
      <c r="L1150" s="200"/>
      <c r="M1150" s="200"/>
      <c r="N1150" s="197"/>
    </row>
    <row r="1151" spans="1:14">
      <c r="A1151" s="262"/>
      <c r="B1151" s="262"/>
      <c r="C1151" s="197">
        <v>26</v>
      </c>
      <c r="D1151" s="262"/>
      <c r="E1151" s="198">
        <v>271.21634899999998</v>
      </c>
      <c r="F1151" s="197"/>
      <c r="G1151" s="199" t="s">
        <v>1182</v>
      </c>
      <c r="H1151" s="200"/>
      <c r="I1151" s="200"/>
      <c r="J1151" s="200"/>
      <c r="K1151" s="199"/>
      <c r="L1151" s="200"/>
      <c r="M1151" s="200"/>
      <c r="N1151" s="197"/>
    </row>
    <row r="1152" spans="1:14">
      <c r="A1152" s="262"/>
      <c r="B1152" s="262"/>
      <c r="C1152" s="197">
        <v>27</v>
      </c>
      <c r="D1152" s="262"/>
      <c r="E1152" s="198">
        <v>270.36830900000001</v>
      </c>
      <c r="F1152" s="197"/>
      <c r="G1152" s="199" t="s">
        <v>1183</v>
      </c>
      <c r="H1152" s="200"/>
      <c r="I1152" s="200"/>
      <c r="J1152" s="200"/>
      <c r="K1152" s="199"/>
      <c r="L1152" s="200"/>
      <c r="M1152" s="200"/>
      <c r="N1152" s="197"/>
    </row>
    <row r="1153" spans="1:14">
      <c r="A1153" s="262"/>
      <c r="B1153" s="262"/>
      <c r="C1153" s="197">
        <v>28</v>
      </c>
      <c r="D1153" s="261">
        <v>6</v>
      </c>
      <c r="E1153" s="198">
        <v>270.35908000000001</v>
      </c>
      <c r="F1153" s="197" t="s">
        <v>227</v>
      </c>
      <c r="G1153" s="199" t="s">
        <v>1184</v>
      </c>
      <c r="H1153" s="200">
        <v>0.56000000000000005</v>
      </c>
      <c r="I1153" s="200">
        <v>1.0049999999999999</v>
      </c>
      <c r="J1153" s="200">
        <v>0.41</v>
      </c>
      <c r="K1153" s="199" t="s">
        <v>671</v>
      </c>
      <c r="L1153" s="200"/>
      <c r="M1153" s="200"/>
      <c r="N1153" s="197"/>
    </row>
    <row r="1154" spans="1:14">
      <c r="A1154" s="262"/>
      <c r="B1154" s="262"/>
      <c r="C1154" s="197">
        <v>29</v>
      </c>
      <c r="D1154" s="262"/>
      <c r="E1154" s="198">
        <v>0</v>
      </c>
      <c r="F1154" s="197" t="s">
        <v>227</v>
      </c>
      <c r="G1154" s="199" t="s">
        <v>260</v>
      </c>
      <c r="H1154" s="200"/>
      <c r="I1154" s="200"/>
      <c r="J1154" s="200"/>
      <c r="K1154" s="199"/>
      <c r="L1154" s="200"/>
      <c r="M1154" s="200"/>
      <c r="N1154" s="197"/>
    </row>
    <row r="1155" spans="1:14">
      <c r="A1155" s="262"/>
      <c r="B1155" s="262"/>
      <c r="C1155" s="197">
        <v>30</v>
      </c>
      <c r="D1155" s="262"/>
      <c r="E1155" s="198">
        <v>239.07811000000001</v>
      </c>
      <c r="F1155" s="197"/>
      <c r="G1155" s="199" t="s">
        <v>1185</v>
      </c>
      <c r="H1155" s="200"/>
      <c r="I1155" s="200"/>
      <c r="J1155" s="200"/>
      <c r="K1155" s="199"/>
      <c r="L1155" s="200"/>
      <c r="M1155" s="200"/>
      <c r="N1155" s="197"/>
    </row>
    <row r="1156" spans="1:14">
      <c r="A1156" s="262"/>
      <c r="B1156" s="262"/>
      <c r="C1156" s="197">
        <v>31</v>
      </c>
      <c r="D1156" s="262"/>
      <c r="E1156" s="198">
        <v>240.66858300000001</v>
      </c>
      <c r="F1156" s="197"/>
      <c r="G1156" s="199" t="s">
        <v>1186</v>
      </c>
      <c r="H1156" s="200"/>
      <c r="I1156" s="200"/>
      <c r="J1156" s="200"/>
      <c r="K1156" s="199"/>
      <c r="L1156" s="200"/>
      <c r="M1156" s="200"/>
      <c r="N1156" s="197"/>
    </row>
    <row r="1157" spans="1:14">
      <c r="A1157" s="262"/>
      <c r="B1157" s="262"/>
      <c r="C1157" s="197">
        <v>32</v>
      </c>
      <c r="D1157" s="262"/>
      <c r="E1157" s="198">
        <v>240.95273299999999</v>
      </c>
      <c r="F1157" s="197"/>
      <c r="G1157" s="199" t="s">
        <v>1187</v>
      </c>
      <c r="H1157" s="200"/>
      <c r="I1157" s="200"/>
      <c r="J1157" s="200"/>
      <c r="K1157" s="199"/>
      <c r="L1157" s="200"/>
      <c r="M1157" s="200"/>
      <c r="N1157" s="197"/>
    </row>
    <row r="1158" spans="1:14">
      <c r="A1158" s="262"/>
      <c r="B1158" s="262"/>
      <c r="C1158" s="197">
        <v>33</v>
      </c>
      <c r="D1158" s="261">
        <v>7</v>
      </c>
      <c r="E1158" s="198">
        <v>0</v>
      </c>
      <c r="F1158" s="197" t="s">
        <v>227</v>
      </c>
      <c r="G1158" s="199" t="s">
        <v>1188</v>
      </c>
      <c r="H1158" s="200">
        <v>0.5</v>
      </c>
      <c r="I1158" s="200">
        <v>0.995</v>
      </c>
      <c r="J1158" s="200">
        <v>0.375</v>
      </c>
      <c r="K1158" s="199" t="s">
        <v>671</v>
      </c>
      <c r="L1158" s="200"/>
      <c r="M1158" s="200"/>
      <c r="N1158" s="197"/>
    </row>
    <row r="1159" spans="1:14">
      <c r="A1159" s="262"/>
      <c r="B1159" s="262"/>
      <c r="C1159" s="197">
        <v>34</v>
      </c>
      <c r="D1159" s="262"/>
      <c r="E1159" s="198">
        <v>194.30304000000001</v>
      </c>
      <c r="F1159" s="197"/>
      <c r="G1159" s="199" t="s">
        <v>1189</v>
      </c>
      <c r="H1159" s="200"/>
      <c r="I1159" s="200"/>
      <c r="J1159" s="200"/>
      <c r="K1159" s="199"/>
      <c r="L1159" s="200"/>
      <c r="M1159" s="200"/>
      <c r="N1159" s="197"/>
    </row>
    <row r="1160" spans="1:14">
      <c r="A1160" s="262"/>
      <c r="B1160" s="262"/>
      <c r="C1160" s="197">
        <v>35</v>
      </c>
      <c r="D1160" s="262"/>
      <c r="E1160" s="198">
        <v>192.67298700000001</v>
      </c>
      <c r="F1160" s="197"/>
      <c r="G1160" s="199" t="s">
        <v>1190</v>
      </c>
      <c r="H1160" s="200"/>
      <c r="I1160" s="200"/>
      <c r="J1160" s="200"/>
      <c r="K1160" s="199"/>
      <c r="L1160" s="200"/>
      <c r="M1160" s="200"/>
      <c r="N1160" s="197"/>
    </row>
    <row r="1161" spans="1:14">
      <c r="A1161" s="262"/>
      <c r="B1161" s="262"/>
      <c r="C1161" s="197">
        <v>36</v>
      </c>
      <c r="D1161" s="262"/>
      <c r="E1161" s="198">
        <v>0</v>
      </c>
      <c r="F1161" s="197" t="s">
        <v>227</v>
      </c>
      <c r="G1161" s="199" t="s">
        <v>358</v>
      </c>
      <c r="H1161" s="200"/>
      <c r="I1161" s="200"/>
      <c r="J1161" s="200"/>
      <c r="K1161" s="199"/>
      <c r="L1161" s="200"/>
      <c r="M1161" s="200"/>
      <c r="N1161" s="197"/>
    </row>
    <row r="1162" spans="1:14">
      <c r="A1162" s="262"/>
      <c r="B1162" s="262"/>
      <c r="C1162" s="197">
        <v>37</v>
      </c>
      <c r="D1162" s="261">
        <v>8</v>
      </c>
      <c r="E1162" s="198">
        <v>247.977419</v>
      </c>
      <c r="F1162" s="197"/>
      <c r="G1162" s="199" t="s">
        <v>1191</v>
      </c>
      <c r="H1162" s="200">
        <v>0.63500000000000001</v>
      </c>
      <c r="I1162" s="200">
        <v>1.0149999999999999</v>
      </c>
      <c r="J1162" s="200">
        <v>0.435</v>
      </c>
      <c r="K1162" s="199" t="s">
        <v>671</v>
      </c>
      <c r="L1162" s="200"/>
      <c r="M1162" s="200"/>
      <c r="N1162" s="197"/>
    </row>
    <row r="1163" spans="1:14">
      <c r="A1163" s="262"/>
      <c r="B1163" s="262"/>
      <c r="C1163" s="197">
        <v>38</v>
      </c>
      <c r="D1163" s="262"/>
      <c r="E1163" s="198">
        <v>183.706401</v>
      </c>
      <c r="F1163" s="197"/>
      <c r="G1163" s="199" t="s">
        <v>1192</v>
      </c>
      <c r="H1163" s="200"/>
      <c r="I1163" s="200"/>
      <c r="J1163" s="200"/>
      <c r="K1163" s="199"/>
      <c r="L1163" s="200"/>
      <c r="M1163" s="200"/>
      <c r="N1163" s="197"/>
    </row>
    <row r="1164" spans="1:14">
      <c r="A1164" s="262"/>
      <c r="B1164" s="262"/>
      <c r="C1164" s="197">
        <v>39</v>
      </c>
      <c r="D1164" s="262"/>
      <c r="E1164" s="198">
        <v>183.053515</v>
      </c>
      <c r="F1164" s="197"/>
      <c r="G1164" s="199" t="s">
        <v>1193</v>
      </c>
      <c r="H1164" s="200"/>
      <c r="I1164" s="200"/>
      <c r="J1164" s="200"/>
      <c r="K1164" s="199"/>
      <c r="L1164" s="200"/>
      <c r="M1164" s="200"/>
      <c r="N1164" s="197"/>
    </row>
    <row r="1165" spans="1:14">
      <c r="A1165" s="262"/>
      <c r="B1165" s="262"/>
      <c r="C1165" s="197">
        <v>40</v>
      </c>
      <c r="D1165" s="262"/>
      <c r="E1165" s="198">
        <v>182.50418199999999</v>
      </c>
      <c r="F1165" s="197"/>
      <c r="G1165" s="199" t="s">
        <v>1194</v>
      </c>
      <c r="H1165" s="200"/>
      <c r="I1165" s="200"/>
      <c r="J1165" s="200"/>
      <c r="K1165" s="199"/>
      <c r="L1165" s="200"/>
      <c r="M1165" s="200"/>
      <c r="N1165" s="197"/>
    </row>
    <row r="1166" spans="1:14">
      <c r="A1166" s="262"/>
      <c r="B1166" s="262"/>
      <c r="C1166" s="197">
        <v>41</v>
      </c>
      <c r="D1166" s="262"/>
      <c r="E1166" s="198">
        <v>512.79070999999999</v>
      </c>
      <c r="F1166" s="197" t="s">
        <v>281</v>
      </c>
      <c r="G1166" s="199" t="s">
        <v>1195</v>
      </c>
      <c r="H1166" s="200"/>
      <c r="I1166" s="200"/>
      <c r="J1166" s="200"/>
      <c r="K1166" s="199"/>
      <c r="L1166" s="200"/>
      <c r="M1166" s="200"/>
      <c r="N1166" s="197"/>
    </row>
    <row r="1167" spans="1:14">
      <c r="A1167" s="262"/>
      <c r="B1167" s="262"/>
      <c r="C1167" s="197">
        <v>42</v>
      </c>
      <c r="D1167" s="262"/>
      <c r="E1167" s="198">
        <v>0</v>
      </c>
      <c r="F1167" s="197" t="s">
        <v>227</v>
      </c>
      <c r="G1167" s="199" t="s">
        <v>364</v>
      </c>
      <c r="H1167" s="200"/>
      <c r="I1167" s="200"/>
      <c r="J1167" s="200"/>
      <c r="K1167" s="199"/>
      <c r="L1167" s="200"/>
      <c r="M1167" s="200"/>
      <c r="N1167" s="197"/>
    </row>
    <row r="1168" spans="1:14">
      <c r="A1168" s="262"/>
      <c r="B1168" s="262"/>
      <c r="C1168" s="197">
        <v>43</v>
      </c>
      <c r="D1168" s="262"/>
      <c r="E1168" s="198">
        <v>0</v>
      </c>
      <c r="F1168" s="197" t="s">
        <v>227</v>
      </c>
      <c r="G1168" s="199" t="s">
        <v>1003</v>
      </c>
      <c r="H1168" s="200"/>
      <c r="I1168" s="200"/>
      <c r="J1168" s="200"/>
      <c r="K1168" s="199"/>
      <c r="L1168" s="200"/>
      <c r="M1168" s="200"/>
      <c r="N1168" s="197"/>
    </row>
    <row r="1169" spans="1:14">
      <c r="A1169" s="262"/>
      <c r="B1169" s="262"/>
      <c r="C1169" s="197">
        <v>44</v>
      </c>
      <c r="D1169" s="262"/>
      <c r="E1169" s="198">
        <v>0</v>
      </c>
      <c r="F1169" s="197" t="s">
        <v>227</v>
      </c>
      <c r="G1169" s="199" t="s">
        <v>1004</v>
      </c>
      <c r="H1169" s="200"/>
      <c r="I1169" s="200"/>
      <c r="J1169" s="200"/>
      <c r="K1169" s="199"/>
      <c r="L1169" s="200"/>
      <c r="M1169" s="200"/>
      <c r="N1169" s="197"/>
    </row>
    <row r="1170" spans="1:14">
      <c r="A1170" s="262"/>
      <c r="B1170" s="262"/>
      <c r="C1170" s="197">
        <v>45</v>
      </c>
      <c r="D1170" s="262"/>
      <c r="E1170" s="198">
        <v>0</v>
      </c>
      <c r="F1170" s="197" t="s">
        <v>227</v>
      </c>
      <c r="G1170" s="199" t="s">
        <v>1196</v>
      </c>
      <c r="H1170" s="200"/>
      <c r="I1170" s="200"/>
      <c r="J1170" s="200"/>
      <c r="K1170" s="199"/>
      <c r="L1170" s="200"/>
      <c r="M1170" s="200"/>
      <c r="N1170" s="197"/>
    </row>
    <row r="1171" spans="1:14">
      <c r="A1171" s="262"/>
      <c r="B1171" s="262"/>
      <c r="C1171" s="197">
        <v>46</v>
      </c>
      <c r="D1171" s="261">
        <v>9</v>
      </c>
      <c r="E1171" s="198">
        <v>241.776321</v>
      </c>
      <c r="F1171" s="197"/>
      <c r="G1171" s="199" t="s">
        <v>1197</v>
      </c>
      <c r="H1171" s="200">
        <v>0.47</v>
      </c>
      <c r="I1171" s="200">
        <v>1.05</v>
      </c>
      <c r="J1171" s="200">
        <v>0.42</v>
      </c>
      <c r="K1171" s="199" t="s">
        <v>229</v>
      </c>
      <c r="L1171" s="200"/>
      <c r="M1171" s="200"/>
      <c r="N1171" s="197"/>
    </row>
    <row r="1172" spans="1:14">
      <c r="A1172" s="262"/>
      <c r="B1172" s="262"/>
      <c r="C1172" s="197">
        <v>47</v>
      </c>
      <c r="D1172" s="262"/>
      <c r="E1172" s="198">
        <v>235.201528</v>
      </c>
      <c r="F1172" s="197"/>
      <c r="G1172" s="199" t="s">
        <v>1198</v>
      </c>
      <c r="H1172" s="200"/>
      <c r="I1172" s="200"/>
      <c r="J1172" s="200"/>
      <c r="K1172" s="199"/>
      <c r="L1172" s="200"/>
      <c r="M1172" s="200"/>
      <c r="N1172" s="197"/>
    </row>
    <row r="1173" spans="1:14">
      <c r="A1173" s="262"/>
      <c r="B1173" s="262"/>
      <c r="C1173" s="197">
        <v>48</v>
      </c>
      <c r="D1173" s="262"/>
      <c r="E1173" s="198">
        <v>238.89842100000001</v>
      </c>
      <c r="F1173" s="197"/>
      <c r="G1173" s="199" t="s">
        <v>1199</v>
      </c>
      <c r="H1173" s="200"/>
      <c r="I1173" s="200"/>
      <c r="J1173" s="200"/>
      <c r="K1173" s="199"/>
      <c r="L1173" s="200"/>
      <c r="M1173" s="200"/>
      <c r="N1173" s="197"/>
    </row>
    <row r="1174" spans="1:14">
      <c r="A1174" s="262"/>
      <c r="B1174" s="262"/>
      <c r="C1174" s="197">
        <v>49</v>
      </c>
      <c r="D1174" s="262"/>
      <c r="E1174" s="198">
        <v>238.05668600000001</v>
      </c>
      <c r="F1174" s="197"/>
      <c r="G1174" s="199" t="s">
        <v>1200</v>
      </c>
      <c r="H1174" s="200"/>
      <c r="I1174" s="200"/>
      <c r="J1174" s="200"/>
      <c r="K1174" s="199"/>
      <c r="L1174" s="200"/>
      <c r="M1174" s="200"/>
      <c r="N1174" s="197"/>
    </row>
    <row r="1175" spans="1:14">
      <c r="A1175" s="262"/>
      <c r="B1175" s="262"/>
      <c r="C1175" s="197">
        <v>50</v>
      </c>
      <c r="D1175" s="261">
        <v>10</v>
      </c>
      <c r="E1175" s="198">
        <v>0</v>
      </c>
      <c r="F1175" s="197" t="s">
        <v>227</v>
      </c>
      <c r="G1175" s="199" t="s">
        <v>1201</v>
      </c>
      <c r="H1175" s="200">
        <v>0.505</v>
      </c>
      <c r="I1175" s="200">
        <v>1.01</v>
      </c>
      <c r="J1175" s="200">
        <v>0.37</v>
      </c>
      <c r="K1175" s="199" t="s">
        <v>671</v>
      </c>
      <c r="L1175" s="200"/>
      <c r="M1175" s="200"/>
      <c r="N1175" s="197"/>
    </row>
    <row r="1176" spans="1:14">
      <c r="A1176" s="262"/>
      <c r="B1176" s="262"/>
      <c r="C1176" s="197">
        <v>51</v>
      </c>
      <c r="D1176" s="262"/>
      <c r="E1176" s="198">
        <v>188.83996999999999</v>
      </c>
      <c r="F1176" s="197"/>
      <c r="G1176" s="199" t="s">
        <v>1202</v>
      </c>
      <c r="H1176" s="200"/>
      <c r="I1176" s="200"/>
      <c r="J1176" s="200"/>
      <c r="K1176" s="199"/>
      <c r="L1176" s="200"/>
      <c r="M1176" s="200"/>
      <c r="N1176" s="197"/>
    </row>
    <row r="1177" spans="1:14">
      <c r="A1177" s="262"/>
      <c r="B1177" s="262"/>
      <c r="C1177" s="197">
        <v>52</v>
      </c>
      <c r="D1177" s="262"/>
      <c r="E1177" s="198">
        <v>219.03973400000001</v>
      </c>
      <c r="F1177" s="197" t="s">
        <v>281</v>
      </c>
      <c r="G1177" s="199" t="s">
        <v>1203</v>
      </c>
      <c r="H1177" s="200"/>
      <c r="I1177" s="200"/>
      <c r="J1177" s="200"/>
      <c r="K1177" s="199"/>
      <c r="L1177" s="200"/>
      <c r="M1177" s="200"/>
      <c r="N1177" s="197"/>
    </row>
    <row r="1178" spans="1:14">
      <c r="A1178" s="262"/>
      <c r="B1178" s="262"/>
      <c r="C1178" s="197">
        <v>53</v>
      </c>
      <c r="D1178" s="262"/>
      <c r="E1178" s="198">
        <v>188.193466</v>
      </c>
      <c r="F1178" s="197"/>
      <c r="G1178" s="199" t="s">
        <v>1204</v>
      </c>
      <c r="H1178" s="200"/>
      <c r="I1178" s="200"/>
      <c r="J1178" s="200"/>
      <c r="K1178" s="199"/>
      <c r="L1178" s="200"/>
      <c r="M1178" s="200"/>
      <c r="N1178" s="197"/>
    </row>
    <row r="1179" spans="1:14">
      <c r="A1179" s="262"/>
      <c r="B1179" s="262"/>
      <c r="C1179" s="197">
        <v>54</v>
      </c>
      <c r="D1179" s="261">
        <v>11</v>
      </c>
      <c r="E1179" s="198">
        <v>174.65347299999999</v>
      </c>
      <c r="F1179" s="197" t="s">
        <v>227</v>
      </c>
      <c r="G1179" s="199" t="s">
        <v>1205</v>
      </c>
      <c r="H1179" s="200">
        <v>0.54</v>
      </c>
      <c r="I1179" s="200">
        <v>1.0549999999999999</v>
      </c>
      <c r="J1179" s="200">
        <v>0.39500000000000002</v>
      </c>
      <c r="K1179" s="199" t="s">
        <v>671</v>
      </c>
      <c r="L1179" s="200"/>
      <c r="M1179" s="200"/>
      <c r="N1179" s="197"/>
    </row>
    <row r="1180" spans="1:14">
      <c r="A1180" s="262"/>
      <c r="B1180" s="262"/>
      <c r="C1180" s="197">
        <v>55</v>
      </c>
      <c r="D1180" s="262"/>
      <c r="E1180" s="198">
        <v>357.41052300000001</v>
      </c>
      <c r="F1180" s="197"/>
      <c r="G1180" s="199" t="s">
        <v>1206</v>
      </c>
      <c r="H1180" s="200"/>
      <c r="I1180" s="200"/>
      <c r="J1180" s="200"/>
      <c r="K1180" s="199"/>
      <c r="L1180" s="200"/>
      <c r="M1180" s="200"/>
      <c r="N1180" s="197"/>
    </row>
    <row r="1181" spans="1:14">
      <c r="A1181" s="262"/>
      <c r="B1181" s="262"/>
      <c r="C1181" s="197">
        <v>56</v>
      </c>
      <c r="D1181" s="262"/>
      <c r="E1181" s="198">
        <v>357.29936099999998</v>
      </c>
      <c r="F1181" s="197"/>
      <c r="G1181" s="199" t="s">
        <v>1207</v>
      </c>
      <c r="H1181" s="200"/>
      <c r="I1181" s="200"/>
      <c r="J1181" s="200"/>
      <c r="K1181" s="199"/>
      <c r="L1181" s="200"/>
      <c r="M1181" s="200"/>
      <c r="N1181" s="197"/>
    </row>
    <row r="1182" spans="1:14">
      <c r="A1182" s="262"/>
      <c r="B1182" s="262"/>
      <c r="C1182" s="197">
        <v>57</v>
      </c>
      <c r="D1182" s="261">
        <v>12</v>
      </c>
      <c r="E1182" s="198">
        <v>0</v>
      </c>
      <c r="F1182" s="197" t="s">
        <v>227</v>
      </c>
      <c r="G1182" s="199" t="s">
        <v>289</v>
      </c>
      <c r="H1182" s="200">
        <v>0.56000000000000005</v>
      </c>
      <c r="I1182" s="200">
        <v>1.0249999999999999</v>
      </c>
      <c r="J1182" s="200">
        <v>0.38500000000000001</v>
      </c>
      <c r="K1182" s="199" t="s">
        <v>671</v>
      </c>
      <c r="L1182" s="200"/>
      <c r="M1182" s="200"/>
      <c r="N1182" s="197"/>
    </row>
    <row r="1183" spans="1:14">
      <c r="A1183" s="262"/>
      <c r="B1183" s="262"/>
      <c r="C1183" s="197">
        <v>58</v>
      </c>
      <c r="D1183" s="262"/>
      <c r="E1183" s="198">
        <v>245.76062300000001</v>
      </c>
      <c r="F1183" s="197"/>
      <c r="G1183" s="199" t="s">
        <v>1208</v>
      </c>
      <c r="H1183" s="200"/>
      <c r="I1183" s="200"/>
      <c r="J1183" s="200"/>
      <c r="K1183" s="199"/>
      <c r="L1183" s="200"/>
      <c r="M1183" s="200"/>
      <c r="N1183" s="197"/>
    </row>
    <row r="1184" spans="1:14">
      <c r="A1184" s="262"/>
      <c r="B1184" s="262"/>
      <c r="C1184" s="197">
        <v>59</v>
      </c>
      <c r="D1184" s="262"/>
      <c r="E1184" s="198">
        <v>287.109375</v>
      </c>
      <c r="F1184" s="197" t="s">
        <v>281</v>
      </c>
      <c r="G1184" s="199" t="s">
        <v>1209</v>
      </c>
      <c r="H1184" s="200"/>
      <c r="I1184" s="200"/>
      <c r="J1184" s="200"/>
      <c r="K1184" s="199"/>
      <c r="L1184" s="200"/>
      <c r="M1184" s="200"/>
      <c r="N1184" s="197"/>
    </row>
    <row r="1185" spans="1:14">
      <c r="A1185" s="262"/>
      <c r="B1185" s="262"/>
      <c r="C1185" s="197">
        <v>60</v>
      </c>
      <c r="D1185" s="262"/>
      <c r="E1185" s="198">
        <v>231.69877600000001</v>
      </c>
      <c r="F1185" s="197"/>
      <c r="G1185" s="199" t="s">
        <v>1210</v>
      </c>
      <c r="H1185" s="200"/>
      <c r="I1185" s="200"/>
      <c r="J1185" s="200"/>
      <c r="K1185" s="199"/>
      <c r="L1185" s="200"/>
      <c r="M1185" s="200"/>
      <c r="N1185" s="197"/>
    </row>
    <row r="1186" spans="1:14">
      <c r="A1186" s="262"/>
      <c r="B1186" s="262"/>
      <c r="C1186" s="197">
        <v>61</v>
      </c>
      <c r="D1186" s="262"/>
      <c r="E1186" s="198">
        <v>236.83479299999999</v>
      </c>
      <c r="F1186" s="197"/>
      <c r="G1186" s="199" t="s">
        <v>1211</v>
      </c>
      <c r="H1186" s="200"/>
      <c r="I1186" s="200"/>
      <c r="J1186" s="200"/>
      <c r="K1186" s="199"/>
      <c r="L1186" s="200"/>
      <c r="M1186" s="200"/>
      <c r="N1186" s="197"/>
    </row>
    <row r="1187" spans="1:14">
      <c r="A1187" s="262"/>
      <c r="B1187" s="262"/>
      <c r="C1187" s="197">
        <v>62</v>
      </c>
      <c r="D1187" s="262"/>
      <c r="E1187" s="198">
        <v>244.321335</v>
      </c>
      <c r="F1187" s="197"/>
      <c r="G1187" s="199" t="s">
        <v>1212</v>
      </c>
      <c r="H1187" s="200"/>
      <c r="I1187" s="200"/>
      <c r="J1187" s="200"/>
      <c r="K1187" s="199"/>
      <c r="L1187" s="200"/>
      <c r="M1187" s="200"/>
      <c r="N1187" s="197"/>
    </row>
    <row r="1188" spans="1:14">
      <c r="A1188" s="262"/>
      <c r="B1188" s="262"/>
      <c r="C1188" s="197">
        <v>63</v>
      </c>
      <c r="D1188" s="262"/>
      <c r="E1188" s="198">
        <v>242.72824600000001</v>
      </c>
      <c r="F1188" s="197"/>
      <c r="G1188" s="199" t="s">
        <v>1213</v>
      </c>
      <c r="H1188" s="200"/>
      <c r="I1188" s="200"/>
      <c r="J1188" s="200"/>
      <c r="K1188" s="199"/>
      <c r="L1188" s="200"/>
      <c r="M1188" s="200"/>
      <c r="N1188" s="197"/>
    </row>
    <row r="1189" spans="1:14">
      <c r="A1189" s="262"/>
      <c r="B1189" s="262"/>
      <c r="C1189" s="197">
        <v>64</v>
      </c>
      <c r="D1189" s="262"/>
      <c r="E1189" s="198">
        <v>246.09375</v>
      </c>
      <c r="F1189" s="197"/>
      <c r="G1189" s="199" t="s">
        <v>1214</v>
      </c>
      <c r="H1189" s="200"/>
      <c r="I1189" s="200"/>
      <c r="J1189" s="200"/>
      <c r="K1189" s="199"/>
      <c r="L1189" s="200"/>
      <c r="M1189" s="200"/>
      <c r="N1189" s="197"/>
    </row>
    <row r="1190" spans="1:14">
      <c r="A1190" s="262"/>
      <c r="B1190" s="262"/>
      <c r="C1190" s="197">
        <v>65</v>
      </c>
      <c r="D1190" s="262"/>
      <c r="E1190" s="198">
        <v>244.547134</v>
      </c>
      <c r="F1190" s="197"/>
      <c r="G1190" s="199" t="s">
        <v>1215</v>
      </c>
      <c r="H1190" s="200"/>
      <c r="I1190" s="200"/>
      <c r="J1190" s="200"/>
      <c r="K1190" s="199"/>
      <c r="L1190" s="200"/>
      <c r="M1190" s="200"/>
      <c r="N1190" s="197"/>
    </row>
    <row r="1191" spans="1:14">
      <c r="A1191" s="262"/>
      <c r="B1191" s="262"/>
      <c r="C1191" s="197">
        <v>66</v>
      </c>
      <c r="D1191" s="262"/>
      <c r="E1191" s="198">
        <v>0</v>
      </c>
      <c r="F1191" s="197" t="s">
        <v>227</v>
      </c>
      <c r="G1191" s="199" t="s">
        <v>1143</v>
      </c>
      <c r="H1191" s="200"/>
      <c r="I1191" s="200"/>
      <c r="J1191" s="200"/>
      <c r="K1191" s="199"/>
      <c r="L1191" s="200"/>
      <c r="M1191" s="200"/>
      <c r="N1191" s="197"/>
    </row>
    <row r="1192" spans="1:14">
      <c r="A1192" s="262"/>
      <c r="B1192" s="262"/>
      <c r="C1192" s="197">
        <v>67</v>
      </c>
      <c r="D1192" s="261">
        <v>13</v>
      </c>
      <c r="E1192" s="198">
        <v>0</v>
      </c>
      <c r="F1192" s="197" t="s">
        <v>227</v>
      </c>
      <c r="G1192" s="199" t="s">
        <v>1216</v>
      </c>
      <c r="H1192" s="200">
        <v>0.52500000000000002</v>
      </c>
      <c r="I1192" s="200">
        <v>1.0149999999999999</v>
      </c>
      <c r="J1192" s="200">
        <v>0.42</v>
      </c>
      <c r="K1192" s="199" t="s">
        <v>229</v>
      </c>
      <c r="L1192" s="200"/>
      <c r="M1192" s="200"/>
      <c r="N1192" s="197"/>
    </row>
    <row r="1193" spans="1:14">
      <c r="A1193" s="262"/>
      <c r="B1193" s="262"/>
      <c r="C1193" s="197">
        <v>68</v>
      </c>
      <c r="D1193" s="262"/>
      <c r="E1193" s="198">
        <v>0</v>
      </c>
      <c r="F1193" s="197" t="s">
        <v>227</v>
      </c>
      <c r="G1193" s="199" t="s">
        <v>1217</v>
      </c>
      <c r="H1193" s="200"/>
      <c r="I1193" s="200"/>
      <c r="J1193" s="200"/>
      <c r="K1193" s="199"/>
      <c r="L1193" s="200"/>
      <c r="M1193" s="200"/>
      <c r="N1193" s="197"/>
    </row>
    <row r="1194" spans="1:14">
      <c r="A1194" s="262"/>
      <c r="B1194" s="262"/>
      <c r="C1194" s="197">
        <v>69</v>
      </c>
      <c r="D1194" s="262"/>
      <c r="E1194" s="198">
        <v>238.73171600000001</v>
      </c>
      <c r="F1194" s="197"/>
      <c r="G1194" s="199" t="s">
        <v>1218</v>
      </c>
      <c r="H1194" s="200"/>
      <c r="I1194" s="200"/>
      <c r="J1194" s="200"/>
      <c r="K1194" s="199"/>
      <c r="L1194" s="200"/>
      <c r="M1194" s="200"/>
      <c r="N1194" s="197"/>
    </row>
    <row r="1195" spans="1:14">
      <c r="A1195" s="262"/>
      <c r="B1195" s="262"/>
      <c r="C1195" s="197">
        <v>70</v>
      </c>
      <c r="D1195" s="262"/>
      <c r="E1195" s="198">
        <v>266.73388699999998</v>
      </c>
      <c r="F1195" s="197"/>
      <c r="G1195" s="199" t="s">
        <v>1219</v>
      </c>
      <c r="H1195" s="200"/>
      <c r="I1195" s="200"/>
      <c r="J1195" s="200"/>
      <c r="K1195" s="199"/>
      <c r="L1195" s="200"/>
      <c r="M1195" s="200"/>
      <c r="N1195" s="197"/>
    </row>
    <row r="1196" spans="1:14">
      <c r="A1196" s="262"/>
      <c r="B1196" s="262"/>
      <c r="C1196" s="197">
        <v>71</v>
      </c>
      <c r="D1196" s="262"/>
      <c r="E1196" s="198">
        <v>274.37780800000002</v>
      </c>
      <c r="F1196" s="197"/>
      <c r="G1196" s="199" t="s">
        <v>1220</v>
      </c>
      <c r="H1196" s="200"/>
      <c r="I1196" s="200"/>
      <c r="J1196" s="200"/>
      <c r="K1196" s="199"/>
      <c r="L1196" s="200"/>
      <c r="M1196" s="200"/>
      <c r="N1196" s="197"/>
    </row>
    <row r="1197" spans="1:14">
      <c r="A1197" s="262"/>
      <c r="B1197" s="262"/>
      <c r="C1197" s="197">
        <v>72</v>
      </c>
      <c r="D1197" s="262"/>
      <c r="E1197" s="198">
        <v>0</v>
      </c>
      <c r="F1197" s="197" t="s">
        <v>227</v>
      </c>
      <c r="G1197" s="199" t="s">
        <v>1221</v>
      </c>
      <c r="H1197" s="200"/>
      <c r="I1197" s="200"/>
      <c r="J1197" s="200"/>
      <c r="K1197" s="199"/>
      <c r="L1197" s="200"/>
      <c r="M1197" s="200"/>
      <c r="N1197" s="197"/>
    </row>
    <row r="1198" spans="1:14">
      <c r="A1198" s="262"/>
      <c r="B1198" s="262"/>
      <c r="C1198" s="197">
        <v>73</v>
      </c>
      <c r="D1198" s="261">
        <v>14</v>
      </c>
      <c r="E1198" s="198">
        <v>246.377939</v>
      </c>
      <c r="F1198" s="197"/>
      <c r="G1198" s="199" t="s">
        <v>1222</v>
      </c>
      <c r="H1198" s="200">
        <v>0.55000000000000004</v>
      </c>
      <c r="I1198" s="200">
        <v>1.01</v>
      </c>
      <c r="J1198" s="200">
        <v>0.4</v>
      </c>
      <c r="K1198" s="199" t="s">
        <v>671</v>
      </c>
      <c r="L1198" s="200"/>
      <c r="M1198" s="200"/>
      <c r="N1198" s="197"/>
    </row>
    <row r="1199" spans="1:14">
      <c r="A1199" s="262"/>
      <c r="B1199" s="262"/>
      <c r="C1199" s="197">
        <v>74</v>
      </c>
      <c r="D1199" s="262"/>
      <c r="E1199" s="198">
        <v>244.53930800000001</v>
      </c>
      <c r="F1199" s="197"/>
      <c r="G1199" s="199" t="s">
        <v>1223</v>
      </c>
      <c r="H1199" s="200"/>
      <c r="I1199" s="200"/>
      <c r="J1199" s="200"/>
      <c r="K1199" s="199"/>
      <c r="L1199" s="200"/>
      <c r="M1199" s="200"/>
      <c r="N1199" s="197"/>
    </row>
    <row r="1200" spans="1:14">
      <c r="A1200" s="262"/>
      <c r="B1200" s="262"/>
      <c r="C1200" s="197">
        <v>75</v>
      </c>
      <c r="D1200" s="262"/>
      <c r="E1200" s="198">
        <v>233.534819</v>
      </c>
      <c r="F1200" s="197"/>
      <c r="G1200" s="199" t="s">
        <v>1224</v>
      </c>
      <c r="H1200" s="200"/>
      <c r="I1200" s="200"/>
      <c r="J1200" s="200"/>
      <c r="K1200" s="199"/>
      <c r="L1200" s="200"/>
      <c r="M1200" s="200"/>
      <c r="N1200" s="197"/>
    </row>
    <row r="1201" spans="1:14">
      <c r="A1201" s="262"/>
      <c r="B1201" s="262"/>
      <c r="C1201" s="197">
        <v>76</v>
      </c>
      <c r="D1201" s="261">
        <v>15</v>
      </c>
      <c r="E1201" s="198">
        <v>194.14242899999999</v>
      </c>
      <c r="F1201" s="197" t="s">
        <v>227</v>
      </c>
      <c r="G1201" s="199" t="s">
        <v>1225</v>
      </c>
      <c r="H1201" s="200">
        <v>0.51</v>
      </c>
      <c r="I1201" s="200">
        <v>0.99</v>
      </c>
      <c r="J1201" s="200">
        <v>0.38</v>
      </c>
      <c r="K1201" s="199" t="s">
        <v>229</v>
      </c>
      <c r="L1201" s="200"/>
      <c r="M1201" s="200"/>
      <c r="N1201" s="197"/>
    </row>
    <row r="1202" spans="1:14">
      <c r="A1202" s="262"/>
      <c r="B1202" s="262"/>
      <c r="C1202" s="197">
        <v>77</v>
      </c>
      <c r="D1202" s="262"/>
      <c r="E1202" s="198">
        <v>190.38426999999999</v>
      </c>
      <c r="F1202" s="197"/>
      <c r="G1202" s="199" t="s">
        <v>1226</v>
      </c>
      <c r="H1202" s="200"/>
      <c r="I1202" s="200"/>
      <c r="J1202" s="200"/>
      <c r="K1202" s="199"/>
      <c r="L1202" s="200"/>
      <c r="M1202" s="200"/>
      <c r="N1202" s="197"/>
    </row>
    <row r="1203" spans="1:14">
      <c r="A1203" s="262"/>
      <c r="B1203" s="262"/>
      <c r="C1203" s="197">
        <v>78</v>
      </c>
      <c r="D1203" s="262"/>
      <c r="E1203" s="198">
        <v>180.24507</v>
      </c>
      <c r="F1203" s="197"/>
      <c r="G1203" s="199" t="s">
        <v>1227</v>
      </c>
      <c r="H1203" s="200"/>
      <c r="I1203" s="200"/>
      <c r="J1203" s="200"/>
      <c r="K1203" s="199"/>
      <c r="L1203" s="200"/>
      <c r="M1203" s="200"/>
      <c r="N1203" s="197"/>
    </row>
    <row r="1204" spans="1:14">
      <c r="A1204" s="262"/>
      <c r="B1204" s="262"/>
      <c r="C1204" s="197">
        <v>79</v>
      </c>
      <c r="D1204" s="262"/>
      <c r="E1204" s="198">
        <v>0</v>
      </c>
      <c r="F1204" s="197" t="s">
        <v>227</v>
      </c>
      <c r="G1204" s="199" t="s">
        <v>401</v>
      </c>
      <c r="H1204" s="200"/>
      <c r="I1204" s="200"/>
      <c r="J1204" s="200"/>
      <c r="K1204" s="199"/>
      <c r="L1204" s="200"/>
      <c r="M1204" s="200"/>
      <c r="N1204" s="197"/>
    </row>
    <row r="1205" spans="1:14">
      <c r="A1205" s="262"/>
      <c r="B1205" s="262"/>
      <c r="C1205" s="197">
        <v>80</v>
      </c>
      <c r="D1205" s="261">
        <v>16</v>
      </c>
      <c r="E1205" s="198">
        <v>183.50409999999999</v>
      </c>
      <c r="F1205" s="197"/>
      <c r="G1205" s="199" t="s">
        <v>1228</v>
      </c>
      <c r="H1205" s="200">
        <v>0.49</v>
      </c>
      <c r="I1205" s="200">
        <v>1.0149999999999999</v>
      </c>
      <c r="J1205" s="200">
        <v>0.40500000000000003</v>
      </c>
      <c r="K1205" s="199" t="s">
        <v>229</v>
      </c>
      <c r="L1205" s="200"/>
      <c r="M1205" s="200"/>
      <c r="N1205" s="197"/>
    </row>
    <row r="1206" spans="1:14">
      <c r="A1206" s="262"/>
      <c r="B1206" s="262"/>
      <c r="C1206" s="197">
        <v>81</v>
      </c>
      <c r="D1206" s="262"/>
      <c r="E1206" s="198">
        <v>183.531497</v>
      </c>
      <c r="F1206" s="197"/>
      <c r="G1206" s="199" t="s">
        <v>1229</v>
      </c>
      <c r="H1206" s="200"/>
      <c r="I1206" s="200"/>
      <c r="J1206" s="200"/>
      <c r="K1206" s="199"/>
      <c r="L1206" s="200"/>
      <c r="M1206" s="200"/>
      <c r="N1206" s="197"/>
    </row>
    <row r="1207" spans="1:14">
      <c r="A1207" s="262"/>
      <c r="B1207" s="262"/>
      <c r="C1207" s="197">
        <v>82</v>
      </c>
      <c r="D1207" s="262"/>
      <c r="E1207" s="198">
        <v>183.531497</v>
      </c>
      <c r="F1207" s="197"/>
      <c r="G1207" s="199" t="s">
        <v>1230</v>
      </c>
      <c r="H1207" s="200"/>
      <c r="I1207" s="200"/>
      <c r="J1207" s="200"/>
      <c r="K1207" s="199"/>
      <c r="L1207" s="200"/>
      <c r="M1207" s="200"/>
      <c r="N1207" s="197"/>
    </row>
    <row r="1208" spans="1:14">
      <c r="A1208" s="262"/>
      <c r="B1208" s="262"/>
      <c r="C1208" s="197">
        <v>83</v>
      </c>
      <c r="D1208" s="262"/>
      <c r="E1208" s="198">
        <v>183.531497</v>
      </c>
      <c r="F1208" s="197"/>
      <c r="G1208" s="199" t="s">
        <v>1231</v>
      </c>
      <c r="H1208" s="200"/>
      <c r="I1208" s="200"/>
      <c r="J1208" s="200"/>
      <c r="K1208" s="199"/>
      <c r="L1208" s="200"/>
      <c r="M1208" s="200"/>
      <c r="N1208" s="197"/>
    </row>
    <row r="1209" spans="1:14">
      <c r="A1209" s="262"/>
      <c r="B1209" s="262"/>
      <c r="C1209" s="197">
        <v>84</v>
      </c>
      <c r="D1209" s="262"/>
      <c r="E1209" s="198">
        <v>0</v>
      </c>
      <c r="F1209" s="197" t="s">
        <v>227</v>
      </c>
      <c r="G1209" s="199" t="s">
        <v>316</v>
      </c>
      <c r="H1209" s="200"/>
      <c r="I1209" s="200"/>
      <c r="J1209" s="200"/>
      <c r="K1209" s="199"/>
      <c r="L1209" s="200"/>
      <c r="M1209" s="200"/>
      <c r="N1209" s="197"/>
    </row>
    <row r="1210" spans="1:14">
      <c r="A1210" s="262"/>
      <c r="B1210" s="262"/>
      <c r="C1210" s="197">
        <v>85</v>
      </c>
      <c r="D1210" s="262"/>
      <c r="E1210" s="198">
        <v>0</v>
      </c>
      <c r="F1210" s="197" t="s">
        <v>227</v>
      </c>
      <c r="G1210" s="199" t="s">
        <v>317</v>
      </c>
      <c r="H1210" s="200"/>
      <c r="I1210" s="200"/>
      <c r="J1210" s="200"/>
      <c r="K1210" s="199"/>
      <c r="L1210" s="200"/>
      <c r="M1210" s="200"/>
      <c r="N1210" s="197"/>
    </row>
    <row r="1211" spans="1:14">
      <c r="A1211" s="262"/>
      <c r="B1211" s="262"/>
      <c r="C1211" s="197">
        <v>86</v>
      </c>
      <c r="D1211" s="262"/>
      <c r="E1211" s="198">
        <v>0</v>
      </c>
      <c r="F1211" s="197" t="s">
        <v>227</v>
      </c>
      <c r="G1211" s="199" t="s">
        <v>318</v>
      </c>
      <c r="H1211" s="200"/>
      <c r="I1211" s="200"/>
      <c r="J1211" s="200"/>
      <c r="K1211" s="199"/>
      <c r="L1211" s="200"/>
      <c r="M1211" s="200"/>
      <c r="N1211" s="197"/>
    </row>
    <row r="1212" spans="1:14">
      <c r="A1212" s="262"/>
      <c r="B1212" s="262"/>
      <c r="C1212" s="197">
        <v>87</v>
      </c>
      <c r="D1212" s="262"/>
      <c r="E1212" s="198">
        <v>0</v>
      </c>
      <c r="F1212" s="197" t="s">
        <v>227</v>
      </c>
      <c r="G1212" s="199" t="s">
        <v>319</v>
      </c>
      <c r="H1212" s="200"/>
      <c r="I1212" s="200"/>
      <c r="J1212" s="200"/>
      <c r="K1212" s="199"/>
      <c r="L1212" s="200"/>
      <c r="M1212" s="200"/>
      <c r="N1212" s="197"/>
    </row>
    <row r="1213" spans="1:14">
      <c r="A1213" s="261" t="s">
        <v>1232</v>
      </c>
      <c r="B1213" s="261">
        <v>4</v>
      </c>
      <c r="C1213" s="197">
        <v>1</v>
      </c>
      <c r="D1213" s="261">
        <v>1</v>
      </c>
      <c r="E1213" s="198">
        <v>0</v>
      </c>
      <c r="F1213" s="197" t="s">
        <v>227</v>
      </c>
      <c r="G1213" s="199" t="s">
        <v>228</v>
      </c>
      <c r="H1213" s="200">
        <v>0.46500000000000002</v>
      </c>
      <c r="I1213" s="200">
        <v>1.0049999999999999</v>
      </c>
      <c r="J1213" s="200">
        <v>0.54500000000000004</v>
      </c>
      <c r="K1213" s="199" t="s">
        <v>229</v>
      </c>
      <c r="L1213" s="200">
        <v>3.2155627423516388E-2</v>
      </c>
      <c r="M1213" s="200"/>
      <c r="N1213" s="197"/>
    </row>
    <row r="1214" spans="1:14">
      <c r="A1214" s="262"/>
      <c r="B1214" s="262"/>
      <c r="C1214" s="197">
        <v>2</v>
      </c>
      <c r="D1214" s="262"/>
      <c r="E1214" s="198">
        <v>0</v>
      </c>
      <c r="F1214" s="197" t="s">
        <v>227</v>
      </c>
      <c r="G1214" s="199" t="s">
        <v>230</v>
      </c>
      <c r="H1214" s="200"/>
      <c r="I1214" s="200"/>
      <c r="J1214" s="200"/>
      <c r="K1214" s="199"/>
      <c r="L1214" s="200">
        <v>1.2624381172952583E-2</v>
      </c>
      <c r="M1214" s="200"/>
      <c r="N1214" s="197"/>
    </row>
    <row r="1215" spans="1:14">
      <c r="A1215" s="262"/>
      <c r="B1215" s="262"/>
      <c r="C1215" s="197">
        <v>3</v>
      </c>
      <c r="D1215" s="262"/>
      <c r="E1215" s="198">
        <v>0</v>
      </c>
      <c r="F1215" s="197" t="s">
        <v>227</v>
      </c>
      <c r="G1215" s="199" t="s">
        <v>324</v>
      </c>
      <c r="H1215" s="200"/>
      <c r="I1215" s="200"/>
      <c r="J1215" s="200"/>
      <c r="K1215" s="199"/>
      <c r="L1215" s="200">
        <v>1.1210869446657548E-2</v>
      </c>
      <c r="M1215" s="200"/>
      <c r="N1215" s="197"/>
    </row>
    <row r="1216" spans="1:14">
      <c r="A1216" s="262"/>
      <c r="B1216" s="262"/>
      <c r="C1216" s="197">
        <v>4</v>
      </c>
      <c r="D1216" s="262"/>
      <c r="E1216" s="198">
        <v>0</v>
      </c>
      <c r="F1216" s="197" t="s">
        <v>227</v>
      </c>
      <c r="G1216" s="199" t="s">
        <v>325</v>
      </c>
      <c r="H1216" s="200"/>
      <c r="I1216" s="200"/>
      <c r="J1216" s="200"/>
      <c r="K1216" s="199"/>
      <c r="L1216" s="200"/>
      <c r="M1216" s="200" t="s">
        <v>233</v>
      </c>
      <c r="N1216" s="197" t="s">
        <v>1233</v>
      </c>
    </row>
    <row r="1217" spans="1:14">
      <c r="A1217" s="262"/>
      <c r="B1217" s="262"/>
      <c r="C1217" s="197">
        <v>5</v>
      </c>
      <c r="D1217" s="262"/>
      <c r="E1217" s="198">
        <v>0</v>
      </c>
      <c r="F1217" s="197" t="s">
        <v>227</v>
      </c>
      <c r="G1217" s="199" t="s">
        <v>327</v>
      </c>
      <c r="H1217" s="200"/>
      <c r="I1217" s="200"/>
      <c r="J1217" s="200"/>
      <c r="K1217" s="199"/>
      <c r="L1217" s="200"/>
      <c r="M1217" s="200"/>
      <c r="N1217" s="197"/>
    </row>
    <row r="1218" spans="1:14">
      <c r="A1218" s="262"/>
      <c r="B1218" s="262"/>
      <c r="C1218" s="197">
        <v>6</v>
      </c>
      <c r="D1218" s="262"/>
      <c r="E1218" s="198">
        <v>0</v>
      </c>
      <c r="F1218" s="197" t="s">
        <v>227</v>
      </c>
      <c r="G1218" s="199" t="s">
        <v>720</v>
      </c>
      <c r="H1218" s="200"/>
      <c r="I1218" s="200"/>
      <c r="J1218" s="200"/>
      <c r="K1218" s="199"/>
      <c r="L1218" s="200"/>
      <c r="M1218" s="200"/>
      <c r="N1218" s="197"/>
    </row>
    <row r="1219" spans="1:14">
      <c r="A1219" s="262"/>
      <c r="B1219" s="262"/>
      <c r="C1219" s="197">
        <v>7</v>
      </c>
      <c r="D1219" s="262"/>
      <c r="E1219" s="198">
        <v>357.16675800000002</v>
      </c>
      <c r="F1219" s="197"/>
      <c r="G1219" s="199" t="s">
        <v>1234</v>
      </c>
      <c r="H1219" s="200"/>
      <c r="I1219" s="200"/>
      <c r="J1219" s="200"/>
      <c r="K1219" s="199"/>
      <c r="L1219" s="200"/>
      <c r="M1219" s="200"/>
      <c r="N1219" s="197"/>
    </row>
    <row r="1220" spans="1:14">
      <c r="A1220" s="262"/>
      <c r="B1220" s="262"/>
      <c r="C1220" s="197">
        <v>8</v>
      </c>
      <c r="D1220" s="262"/>
      <c r="E1220" s="198">
        <v>367.501127</v>
      </c>
      <c r="F1220" s="197"/>
      <c r="G1220" s="199" t="s">
        <v>1235</v>
      </c>
      <c r="H1220" s="200"/>
      <c r="I1220" s="200"/>
      <c r="J1220" s="200"/>
      <c r="K1220" s="199"/>
      <c r="L1220" s="200"/>
      <c r="M1220" s="200"/>
      <c r="N1220" s="197"/>
    </row>
    <row r="1221" spans="1:14">
      <c r="A1221" s="262"/>
      <c r="B1221" s="262"/>
      <c r="C1221" s="197">
        <v>9</v>
      </c>
      <c r="D1221" s="261">
        <v>2</v>
      </c>
      <c r="E1221" s="198">
        <v>410.67352899999997</v>
      </c>
      <c r="F1221" s="197" t="s">
        <v>227</v>
      </c>
      <c r="G1221" s="199" t="s">
        <v>1236</v>
      </c>
      <c r="H1221" s="200">
        <v>0.46</v>
      </c>
      <c r="I1221" s="200">
        <v>1.0049999999999999</v>
      </c>
      <c r="J1221" s="200">
        <v>0.55000000000000004</v>
      </c>
      <c r="K1221" s="199" t="s">
        <v>229</v>
      </c>
      <c r="L1221" s="200"/>
      <c r="M1221" s="200"/>
      <c r="N1221" s="197"/>
    </row>
    <row r="1222" spans="1:14">
      <c r="A1222" s="262"/>
      <c r="B1222" s="262"/>
      <c r="C1222" s="197">
        <v>10</v>
      </c>
      <c r="D1222" s="262"/>
      <c r="E1222" s="198">
        <v>402.53549199999998</v>
      </c>
      <c r="F1222" s="197"/>
      <c r="G1222" s="199" t="s">
        <v>1237</v>
      </c>
      <c r="H1222" s="200"/>
      <c r="I1222" s="200"/>
      <c r="J1222" s="200"/>
      <c r="K1222" s="199"/>
      <c r="L1222" s="200"/>
      <c r="M1222" s="200"/>
      <c r="N1222" s="197"/>
    </row>
    <row r="1223" spans="1:14">
      <c r="A1223" s="262"/>
      <c r="B1223" s="262"/>
      <c r="C1223" s="197">
        <v>11</v>
      </c>
      <c r="D1223" s="261">
        <v>3</v>
      </c>
      <c r="E1223" s="198">
        <v>360.85170499999998</v>
      </c>
      <c r="F1223" s="197" t="s">
        <v>227</v>
      </c>
      <c r="G1223" s="199" t="s">
        <v>1238</v>
      </c>
      <c r="H1223" s="200">
        <v>0.46500000000000002</v>
      </c>
      <c r="I1223" s="200">
        <v>1</v>
      </c>
      <c r="J1223" s="200">
        <v>0.55000000000000004</v>
      </c>
      <c r="K1223" s="199" t="s">
        <v>229</v>
      </c>
      <c r="L1223" s="200"/>
      <c r="M1223" s="200"/>
      <c r="N1223" s="197"/>
    </row>
    <row r="1224" spans="1:14">
      <c r="A1224" s="262"/>
      <c r="B1224" s="262"/>
      <c r="C1224" s="197">
        <v>12</v>
      </c>
      <c r="D1224" s="262"/>
      <c r="E1224" s="198">
        <v>358.49744900000002</v>
      </c>
      <c r="F1224" s="197"/>
      <c r="G1224" s="199" t="s">
        <v>1239</v>
      </c>
      <c r="H1224" s="200"/>
      <c r="I1224" s="200"/>
      <c r="J1224" s="200"/>
      <c r="K1224" s="199"/>
      <c r="L1224" s="200"/>
      <c r="M1224" s="200"/>
      <c r="N1224" s="197"/>
    </row>
    <row r="1225" spans="1:14">
      <c r="A1225" s="262"/>
      <c r="B1225" s="262"/>
      <c r="C1225" s="197">
        <v>13</v>
      </c>
      <c r="D1225" s="262"/>
      <c r="E1225" s="198">
        <v>359.93733300000002</v>
      </c>
      <c r="F1225" s="197"/>
      <c r="G1225" s="199" t="s">
        <v>1240</v>
      </c>
      <c r="H1225" s="200"/>
      <c r="I1225" s="200"/>
      <c r="J1225" s="200"/>
      <c r="K1225" s="199"/>
      <c r="L1225" s="200"/>
      <c r="M1225" s="200"/>
      <c r="N1225" s="197"/>
    </row>
    <row r="1226" spans="1:14">
      <c r="A1226" s="262"/>
      <c r="B1226" s="262"/>
      <c r="C1226" s="197">
        <v>14</v>
      </c>
      <c r="D1226" s="261">
        <v>4</v>
      </c>
      <c r="E1226" s="198">
        <v>0</v>
      </c>
      <c r="F1226" s="197" t="s">
        <v>227</v>
      </c>
      <c r="G1226" s="199" t="s">
        <v>626</v>
      </c>
      <c r="H1226" s="200">
        <v>0.45500000000000002</v>
      </c>
      <c r="I1226" s="200">
        <v>0.97499999999999998</v>
      </c>
      <c r="J1226" s="200">
        <v>0.52500000000000002</v>
      </c>
      <c r="K1226" s="199" t="s">
        <v>229</v>
      </c>
      <c r="L1226" s="200"/>
      <c r="M1226" s="200"/>
      <c r="N1226" s="197"/>
    </row>
    <row r="1227" spans="1:14">
      <c r="A1227" s="262"/>
      <c r="B1227" s="262"/>
      <c r="C1227" s="197">
        <v>15</v>
      </c>
      <c r="D1227" s="262"/>
      <c r="E1227" s="198">
        <v>0</v>
      </c>
      <c r="F1227" s="197" t="s">
        <v>227</v>
      </c>
      <c r="G1227" s="199" t="s">
        <v>246</v>
      </c>
      <c r="H1227" s="200"/>
      <c r="I1227" s="200"/>
      <c r="J1227" s="200"/>
      <c r="K1227" s="199"/>
      <c r="L1227" s="200"/>
      <c r="M1227" s="200"/>
      <c r="N1227" s="197"/>
    </row>
    <row r="1228" spans="1:14">
      <c r="A1228" s="262"/>
      <c r="B1228" s="262"/>
      <c r="C1228" s="197">
        <v>16</v>
      </c>
      <c r="D1228" s="262"/>
      <c r="E1228" s="198">
        <v>0</v>
      </c>
      <c r="F1228" s="197" t="s">
        <v>227</v>
      </c>
      <c r="G1228" s="199" t="s">
        <v>247</v>
      </c>
      <c r="H1228" s="200"/>
      <c r="I1228" s="200"/>
      <c r="J1228" s="200"/>
      <c r="K1228" s="199"/>
      <c r="L1228" s="200"/>
      <c r="M1228" s="200"/>
      <c r="N1228" s="197"/>
    </row>
    <row r="1229" spans="1:14">
      <c r="A1229" s="262"/>
      <c r="B1229" s="262"/>
      <c r="C1229" s="197">
        <v>17</v>
      </c>
      <c r="D1229" s="262"/>
      <c r="E1229" s="198">
        <v>0</v>
      </c>
      <c r="F1229" s="197" t="s">
        <v>227</v>
      </c>
      <c r="G1229" s="199" t="s">
        <v>248</v>
      </c>
      <c r="H1229" s="200"/>
      <c r="I1229" s="200"/>
      <c r="J1229" s="200"/>
      <c r="K1229" s="199"/>
      <c r="L1229" s="200"/>
      <c r="M1229" s="200"/>
      <c r="N1229" s="197"/>
    </row>
    <row r="1230" spans="1:14">
      <c r="A1230" s="262"/>
      <c r="B1230" s="262"/>
      <c r="C1230" s="197">
        <v>18</v>
      </c>
      <c r="D1230" s="262"/>
      <c r="E1230" s="198">
        <v>0</v>
      </c>
      <c r="F1230" s="197" t="s">
        <v>227</v>
      </c>
      <c r="G1230" s="199" t="s">
        <v>249</v>
      </c>
      <c r="H1230" s="200"/>
      <c r="I1230" s="200"/>
      <c r="J1230" s="200"/>
      <c r="K1230" s="199"/>
      <c r="L1230" s="200"/>
      <c r="M1230" s="200"/>
      <c r="N1230" s="197"/>
    </row>
    <row r="1231" spans="1:14">
      <c r="A1231" s="262"/>
      <c r="B1231" s="262"/>
      <c r="C1231" s="197">
        <v>19</v>
      </c>
      <c r="D1231" s="262"/>
      <c r="E1231" s="198">
        <v>0</v>
      </c>
      <c r="F1231" s="197" t="s">
        <v>227</v>
      </c>
      <c r="G1231" s="199" t="s">
        <v>250</v>
      </c>
      <c r="H1231" s="200"/>
      <c r="I1231" s="200"/>
      <c r="J1231" s="200"/>
      <c r="K1231" s="199"/>
      <c r="L1231" s="200"/>
      <c r="M1231" s="200"/>
      <c r="N1231" s="197"/>
    </row>
    <row r="1232" spans="1:14">
      <c r="A1232" s="262"/>
      <c r="B1232" s="262"/>
      <c r="C1232" s="197">
        <v>20</v>
      </c>
      <c r="D1232" s="262"/>
      <c r="E1232" s="198">
        <v>0</v>
      </c>
      <c r="F1232" s="197" t="s">
        <v>227</v>
      </c>
      <c r="G1232" s="199" t="s">
        <v>686</v>
      </c>
      <c r="H1232" s="200"/>
      <c r="I1232" s="200"/>
      <c r="J1232" s="200"/>
      <c r="K1232" s="199"/>
      <c r="L1232" s="200"/>
      <c r="M1232" s="200"/>
      <c r="N1232" s="197"/>
    </row>
    <row r="1233" spans="1:14">
      <c r="A1233" s="262"/>
      <c r="B1233" s="262"/>
      <c r="C1233" s="197">
        <v>21</v>
      </c>
      <c r="D1233" s="262"/>
      <c r="E1233" s="198">
        <v>358.65605900000003</v>
      </c>
      <c r="F1233" s="197"/>
      <c r="G1233" s="199" t="s">
        <v>1241</v>
      </c>
      <c r="H1233" s="200"/>
      <c r="I1233" s="200"/>
      <c r="J1233" s="200"/>
      <c r="K1233" s="199"/>
      <c r="L1233" s="200"/>
      <c r="M1233" s="200"/>
      <c r="N1233" s="197"/>
    </row>
    <row r="1234" spans="1:14">
      <c r="A1234" s="262"/>
      <c r="B1234" s="262"/>
      <c r="C1234" s="197">
        <v>22</v>
      </c>
      <c r="D1234" s="262"/>
      <c r="E1234" s="198">
        <v>354.216858</v>
      </c>
      <c r="F1234" s="197"/>
      <c r="G1234" s="199" t="s">
        <v>1242</v>
      </c>
      <c r="H1234" s="200"/>
      <c r="I1234" s="200"/>
      <c r="J1234" s="200"/>
      <c r="K1234" s="199"/>
      <c r="L1234" s="200"/>
      <c r="M1234" s="200"/>
      <c r="N1234" s="197"/>
    </row>
    <row r="1235" spans="1:14">
      <c r="A1235" s="262"/>
      <c r="B1235" s="262"/>
      <c r="C1235" s="197">
        <v>23</v>
      </c>
      <c r="D1235" s="261">
        <v>5</v>
      </c>
      <c r="E1235" s="198">
        <v>0</v>
      </c>
      <c r="F1235" s="197" t="s">
        <v>227</v>
      </c>
      <c r="G1235" s="199" t="s">
        <v>254</v>
      </c>
      <c r="H1235" s="200">
        <v>0.49</v>
      </c>
      <c r="I1235" s="200">
        <v>1.01</v>
      </c>
      <c r="J1235" s="200">
        <v>0.55000000000000004</v>
      </c>
      <c r="K1235" s="199" t="s">
        <v>229</v>
      </c>
      <c r="L1235" s="200"/>
      <c r="M1235" s="200"/>
      <c r="N1235" s="197"/>
    </row>
    <row r="1236" spans="1:14">
      <c r="A1236" s="262"/>
      <c r="B1236" s="262"/>
      <c r="C1236" s="197">
        <v>24</v>
      </c>
      <c r="D1236" s="262"/>
      <c r="E1236" s="198">
        <v>0</v>
      </c>
      <c r="F1236" s="197" t="s">
        <v>227</v>
      </c>
      <c r="G1236" s="199" t="s">
        <v>631</v>
      </c>
      <c r="H1236" s="200"/>
      <c r="I1236" s="200"/>
      <c r="J1236" s="200"/>
      <c r="K1236" s="199"/>
      <c r="L1236" s="200"/>
      <c r="M1236" s="200"/>
      <c r="N1236" s="197"/>
    </row>
    <row r="1237" spans="1:14">
      <c r="A1237" s="262"/>
      <c r="B1237" s="262"/>
      <c r="C1237" s="197">
        <v>25</v>
      </c>
      <c r="D1237" s="261">
        <v>6</v>
      </c>
      <c r="E1237" s="198">
        <v>366.916247</v>
      </c>
      <c r="F1237" s="197"/>
      <c r="G1237" s="199" t="s">
        <v>1243</v>
      </c>
      <c r="H1237" s="200">
        <v>0.47499999999999998</v>
      </c>
      <c r="I1237" s="200">
        <v>0.995</v>
      </c>
      <c r="J1237" s="200">
        <v>0.55500000000000005</v>
      </c>
      <c r="K1237" s="199" t="s">
        <v>229</v>
      </c>
      <c r="L1237" s="200"/>
      <c r="M1237" s="200"/>
      <c r="N1237" s="197"/>
    </row>
    <row r="1238" spans="1:14">
      <c r="A1238" s="262"/>
      <c r="B1238" s="262"/>
      <c r="C1238" s="197">
        <v>26</v>
      </c>
      <c r="D1238" s="262"/>
      <c r="E1238" s="198">
        <v>319.56521600000002</v>
      </c>
      <c r="F1238" s="197"/>
      <c r="G1238" s="199" t="s">
        <v>1244</v>
      </c>
      <c r="H1238" s="200"/>
      <c r="I1238" s="200"/>
      <c r="J1238" s="200"/>
      <c r="K1238" s="199"/>
      <c r="L1238" s="200"/>
      <c r="M1238" s="200"/>
      <c r="N1238" s="197"/>
    </row>
    <row r="1239" spans="1:14">
      <c r="A1239" s="262"/>
      <c r="B1239" s="262"/>
      <c r="C1239" s="197">
        <v>27</v>
      </c>
      <c r="D1239" s="262"/>
      <c r="E1239" s="198">
        <v>0</v>
      </c>
      <c r="F1239" s="197" t="s">
        <v>227</v>
      </c>
      <c r="G1239" s="199" t="s">
        <v>258</v>
      </c>
      <c r="H1239" s="200"/>
      <c r="I1239" s="200"/>
      <c r="J1239" s="200"/>
      <c r="K1239" s="199"/>
      <c r="L1239" s="200"/>
      <c r="M1239" s="200"/>
      <c r="N1239" s="197"/>
    </row>
    <row r="1240" spans="1:14">
      <c r="A1240" s="262"/>
      <c r="B1240" s="262"/>
      <c r="C1240" s="197">
        <v>28</v>
      </c>
      <c r="D1240" s="261">
        <v>7</v>
      </c>
      <c r="E1240" s="198">
        <v>241.93948399999999</v>
      </c>
      <c r="F1240" s="197"/>
      <c r="G1240" s="199" t="s">
        <v>1245</v>
      </c>
      <c r="H1240" s="200">
        <v>0.46</v>
      </c>
      <c r="I1240" s="200">
        <v>0.995</v>
      </c>
      <c r="J1240" s="200">
        <v>0.56000000000000005</v>
      </c>
      <c r="K1240" s="199" t="s">
        <v>229</v>
      </c>
      <c r="L1240" s="200"/>
      <c r="M1240" s="200"/>
      <c r="N1240" s="197"/>
    </row>
    <row r="1241" spans="1:14">
      <c r="A1241" s="262"/>
      <c r="B1241" s="262"/>
      <c r="C1241" s="197">
        <v>29</v>
      </c>
      <c r="D1241" s="262"/>
      <c r="E1241" s="198">
        <v>0</v>
      </c>
      <c r="F1241" s="197" t="s">
        <v>227</v>
      </c>
      <c r="G1241" s="199" t="s">
        <v>901</v>
      </c>
      <c r="H1241" s="200"/>
      <c r="I1241" s="200"/>
      <c r="J1241" s="200"/>
      <c r="K1241" s="199"/>
      <c r="L1241" s="200"/>
      <c r="M1241" s="200"/>
      <c r="N1241" s="197"/>
    </row>
    <row r="1242" spans="1:14">
      <c r="A1242" s="262"/>
      <c r="B1242" s="262"/>
      <c r="C1242" s="197">
        <v>30</v>
      </c>
      <c r="D1242" s="261">
        <v>8</v>
      </c>
      <c r="E1242" s="198">
        <v>0</v>
      </c>
      <c r="F1242" s="197" t="s">
        <v>227</v>
      </c>
      <c r="G1242" s="199" t="s">
        <v>797</v>
      </c>
      <c r="H1242" s="200">
        <v>0.46500000000000002</v>
      </c>
      <c r="I1242" s="200">
        <v>0.97499999999999998</v>
      </c>
      <c r="J1242" s="200">
        <v>0.55500000000000005</v>
      </c>
      <c r="K1242" s="199" t="s">
        <v>229</v>
      </c>
      <c r="L1242" s="200"/>
      <c r="M1242" s="200"/>
      <c r="N1242" s="197"/>
    </row>
    <row r="1243" spans="1:14">
      <c r="A1243" s="262"/>
      <c r="B1243" s="262"/>
      <c r="C1243" s="197">
        <v>31</v>
      </c>
      <c r="D1243" s="262"/>
      <c r="E1243" s="198">
        <v>0</v>
      </c>
      <c r="F1243" s="197" t="s">
        <v>227</v>
      </c>
      <c r="G1243" s="199" t="s">
        <v>1246</v>
      </c>
      <c r="H1243" s="200"/>
      <c r="I1243" s="200"/>
      <c r="J1243" s="200"/>
      <c r="K1243" s="199"/>
      <c r="L1243" s="200"/>
      <c r="M1243" s="200"/>
      <c r="N1243" s="197"/>
    </row>
    <row r="1244" spans="1:14">
      <c r="A1244" s="262"/>
      <c r="B1244" s="262"/>
      <c r="C1244" s="197">
        <v>32</v>
      </c>
      <c r="D1244" s="262"/>
      <c r="E1244" s="198">
        <v>0</v>
      </c>
      <c r="F1244" s="197" t="s">
        <v>227</v>
      </c>
      <c r="G1244" s="199" t="s">
        <v>904</v>
      </c>
      <c r="H1244" s="200"/>
      <c r="I1244" s="200"/>
      <c r="J1244" s="200"/>
      <c r="K1244" s="199"/>
      <c r="L1244" s="200"/>
      <c r="M1244" s="200"/>
      <c r="N1244" s="197"/>
    </row>
    <row r="1245" spans="1:14">
      <c r="A1245" s="262"/>
      <c r="B1245" s="262"/>
      <c r="C1245" s="197">
        <v>33</v>
      </c>
      <c r="D1245" s="262"/>
      <c r="E1245" s="198">
        <v>0</v>
      </c>
      <c r="F1245" s="197" t="s">
        <v>227</v>
      </c>
      <c r="G1245" s="199" t="s">
        <v>905</v>
      </c>
      <c r="H1245" s="200"/>
      <c r="I1245" s="200"/>
      <c r="J1245" s="200"/>
      <c r="K1245" s="199"/>
      <c r="L1245" s="200"/>
      <c r="M1245" s="200"/>
      <c r="N1245" s="197"/>
    </row>
    <row r="1246" spans="1:14">
      <c r="A1246" s="262"/>
      <c r="B1246" s="262"/>
      <c r="C1246" s="197">
        <v>34</v>
      </c>
      <c r="D1246" s="262"/>
      <c r="E1246" s="198">
        <v>0</v>
      </c>
      <c r="F1246" s="197" t="s">
        <v>227</v>
      </c>
      <c r="G1246" s="199" t="s">
        <v>698</v>
      </c>
      <c r="H1246" s="200"/>
      <c r="I1246" s="200"/>
      <c r="J1246" s="200"/>
      <c r="K1246" s="199"/>
      <c r="L1246" s="200"/>
      <c r="M1246" s="200"/>
      <c r="N1246" s="197"/>
    </row>
    <row r="1247" spans="1:14">
      <c r="A1247" s="262"/>
      <c r="B1247" s="262"/>
      <c r="C1247" s="197">
        <v>35</v>
      </c>
      <c r="D1247" s="262"/>
      <c r="E1247" s="198">
        <v>0</v>
      </c>
      <c r="F1247" s="197" t="s">
        <v>227</v>
      </c>
      <c r="G1247" s="199" t="s">
        <v>266</v>
      </c>
      <c r="H1247" s="200"/>
      <c r="I1247" s="200"/>
      <c r="J1247" s="200"/>
      <c r="K1247" s="199"/>
      <c r="L1247" s="200"/>
      <c r="M1247" s="200"/>
      <c r="N1247" s="197"/>
    </row>
    <row r="1248" spans="1:14">
      <c r="A1248" s="262"/>
      <c r="B1248" s="262"/>
      <c r="C1248" s="197">
        <v>36</v>
      </c>
      <c r="D1248" s="262"/>
      <c r="E1248" s="198">
        <v>0</v>
      </c>
      <c r="F1248" s="197" t="s">
        <v>227</v>
      </c>
      <c r="G1248" s="199" t="s">
        <v>267</v>
      </c>
      <c r="H1248" s="200"/>
      <c r="I1248" s="200"/>
      <c r="J1248" s="200"/>
      <c r="K1248" s="199"/>
      <c r="L1248" s="200"/>
      <c r="M1248" s="200"/>
      <c r="N1248" s="197"/>
    </row>
    <row r="1249" spans="1:14">
      <c r="A1249" s="262"/>
      <c r="B1249" s="262"/>
      <c r="C1249" s="197">
        <v>37</v>
      </c>
      <c r="D1249" s="262"/>
      <c r="E1249" s="198">
        <v>0</v>
      </c>
      <c r="F1249" s="197" t="s">
        <v>227</v>
      </c>
      <c r="G1249" s="199" t="s">
        <v>268</v>
      </c>
      <c r="H1249" s="200"/>
      <c r="I1249" s="200"/>
      <c r="J1249" s="200"/>
      <c r="K1249" s="199"/>
      <c r="L1249" s="200"/>
      <c r="M1249" s="200"/>
      <c r="N1249" s="197"/>
    </row>
    <row r="1250" spans="1:14">
      <c r="A1250" s="262"/>
      <c r="B1250" s="262"/>
      <c r="C1250" s="197">
        <v>38</v>
      </c>
      <c r="D1250" s="261">
        <v>9</v>
      </c>
      <c r="E1250" s="198">
        <v>0</v>
      </c>
      <c r="F1250" s="197" t="s">
        <v>227</v>
      </c>
      <c r="G1250" s="199" t="s">
        <v>803</v>
      </c>
      <c r="H1250" s="200">
        <v>0.45</v>
      </c>
      <c r="I1250" s="200">
        <v>1</v>
      </c>
      <c r="J1250" s="200">
        <v>0.54500000000000004</v>
      </c>
      <c r="K1250" s="199" t="s">
        <v>229</v>
      </c>
      <c r="L1250" s="200"/>
      <c r="M1250" s="200"/>
      <c r="N1250" s="197"/>
    </row>
    <row r="1251" spans="1:14">
      <c r="A1251" s="262"/>
      <c r="B1251" s="262"/>
      <c r="C1251" s="197">
        <v>39</v>
      </c>
      <c r="D1251" s="262"/>
      <c r="E1251" s="198">
        <v>399.768912</v>
      </c>
      <c r="F1251" s="197"/>
      <c r="G1251" s="199" t="s">
        <v>1247</v>
      </c>
      <c r="H1251" s="200"/>
      <c r="I1251" s="200"/>
      <c r="J1251" s="200"/>
      <c r="K1251" s="199"/>
      <c r="L1251" s="200"/>
      <c r="M1251" s="200"/>
      <c r="N1251" s="197"/>
    </row>
    <row r="1252" spans="1:14">
      <c r="A1252" s="262"/>
      <c r="B1252" s="262"/>
      <c r="C1252" s="197">
        <v>40</v>
      </c>
      <c r="D1252" s="262"/>
      <c r="E1252" s="198">
        <v>320.707404</v>
      </c>
      <c r="F1252" s="197"/>
      <c r="G1252" s="199" t="s">
        <v>1248</v>
      </c>
      <c r="H1252" s="200"/>
      <c r="I1252" s="200"/>
      <c r="J1252" s="200"/>
      <c r="K1252" s="199"/>
      <c r="L1252" s="200"/>
      <c r="M1252" s="200"/>
      <c r="N1252" s="197"/>
    </row>
    <row r="1253" spans="1:14">
      <c r="A1253" s="262"/>
      <c r="B1253" s="262"/>
      <c r="C1253" s="197">
        <v>41</v>
      </c>
      <c r="D1253" s="261">
        <v>10</v>
      </c>
      <c r="E1253" s="198">
        <v>334.090912</v>
      </c>
      <c r="F1253" s="197" t="s">
        <v>227</v>
      </c>
      <c r="G1253" s="199" t="s">
        <v>1249</v>
      </c>
      <c r="H1253" s="200">
        <v>0.44</v>
      </c>
      <c r="I1253" s="200">
        <v>1.01</v>
      </c>
      <c r="J1253" s="200">
        <v>0.55500000000000005</v>
      </c>
      <c r="K1253" s="199" t="s">
        <v>229</v>
      </c>
      <c r="L1253" s="200"/>
      <c r="M1253" s="200"/>
      <c r="N1253" s="197"/>
    </row>
    <row r="1254" spans="1:14">
      <c r="A1254" s="262"/>
      <c r="B1254" s="262"/>
      <c r="C1254" s="197">
        <v>42</v>
      </c>
      <c r="D1254" s="262"/>
      <c r="E1254" s="198">
        <v>0</v>
      </c>
      <c r="F1254" s="197" t="s">
        <v>227</v>
      </c>
      <c r="G1254" s="199" t="s">
        <v>1250</v>
      </c>
      <c r="H1254" s="200"/>
      <c r="I1254" s="200"/>
      <c r="J1254" s="200"/>
      <c r="K1254" s="199"/>
      <c r="L1254" s="200"/>
      <c r="M1254" s="200"/>
      <c r="N1254" s="197"/>
    </row>
    <row r="1255" spans="1:14">
      <c r="A1255" s="262"/>
      <c r="B1255" s="262"/>
      <c r="C1255" s="197">
        <v>43</v>
      </c>
      <c r="D1255" s="261">
        <v>11</v>
      </c>
      <c r="E1255" s="198">
        <v>0</v>
      </c>
      <c r="F1255" s="197" t="s">
        <v>227</v>
      </c>
      <c r="G1255" s="199" t="s">
        <v>1251</v>
      </c>
      <c r="H1255" s="200">
        <v>0.57499999999999996</v>
      </c>
      <c r="I1255" s="200">
        <v>1.0049999999999999</v>
      </c>
      <c r="J1255" s="200">
        <v>0.56000000000000005</v>
      </c>
      <c r="K1255" s="199" t="s">
        <v>229</v>
      </c>
      <c r="L1255" s="200"/>
      <c r="M1255" s="200"/>
      <c r="N1255" s="197"/>
    </row>
    <row r="1256" spans="1:14">
      <c r="A1256" s="262"/>
      <c r="B1256" s="262"/>
      <c r="C1256" s="197">
        <v>44</v>
      </c>
      <c r="D1256" s="262"/>
      <c r="E1256" s="198">
        <v>803.90625</v>
      </c>
      <c r="F1256" s="197" t="s">
        <v>281</v>
      </c>
      <c r="G1256" s="199" t="s">
        <v>1252</v>
      </c>
      <c r="H1256" s="200"/>
      <c r="I1256" s="200"/>
      <c r="J1256" s="200"/>
      <c r="K1256" s="199"/>
      <c r="L1256" s="200"/>
      <c r="M1256" s="200"/>
      <c r="N1256" s="197"/>
    </row>
    <row r="1257" spans="1:14">
      <c r="A1257" s="262"/>
      <c r="B1257" s="262"/>
      <c r="C1257" s="197">
        <v>45</v>
      </c>
      <c r="D1257" s="262"/>
      <c r="E1257" s="198">
        <v>403.13286399999998</v>
      </c>
      <c r="F1257" s="197"/>
      <c r="G1257" s="199" t="s">
        <v>1253</v>
      </c>
      <c r="H1257" s="200"/>
      <c r="I1257" s="200"/>
      <c r="J1257" s="200"/>
      <c r="K1257" s="199"/>
      <c r="L1257" s="200"/>
      <c r="M1257" s="200"/>
      <c r="N1257" s="197"/>
    </row>
    <row r="1258" spans="1:14">
      <c r="A1258" s="262"/>
      <c r="B1258" s="262"/>
      <c r="C1258" s="197">
        <v>46</v>
      </c>
      <c r="D1258" s="261">
        <v>12</v>
      </c>
      <c r="E1258" s="198">
        <v>395.03259300000002</v>
      </c>
      <c r="F1258" s="197" t="s">
        <v>227</v>
      </c>
      <c r="G1258" s="199" t="s">
        <v>1254</v>
      </c>
      <c r="H1258" s="200">
        <v>0.46500000000000002</v>
      </c>
      <c r="I1258" s="200">
        <v>1.0049999999999999</v>
      </c>
      <c r="J1258" s="200">
        <v>0.54500000000000004</v>
      </c>
      <c r="K1258" s="199" t="s">
        <v>229</v>
      </c>
      <c r="L1258" s="200"/>
      <c r="M1258" s="200"/>
      <c r="N1258" s="197"/>
    </row>
    <row r="1259" spans="1:14">
      <c r="A1259" s="262"/>
      <c r="B1259" s="262"/>
      <c r="C1259" s="197">
        <v>47</v>
      </c>
      <c r="D1259" s="262"/>
      <c r="E1259" s="198">
        <v>0</v>
      </c>
      <c r="F1259" s="197" t="s">
        <v>227</v>
      </c>
      <c r="G1259" s="199" t="s">
        <v>1074</v>
      </c>
      <c r="H1259" s="200"/>
      <c r="I1259" s="200"/>
      <c r="J1259" s="200"/>
      <c r="K1259" s="199"/>
      <c r="L1259" s="200"/>
      <c r="M1259" s="200"/>
      <c r="N1259" s="197"/>
    </row>
    <row r="1260" spans="1:14">
      <c r="A1260" s="262"/>
      <c r="B1260" s="262"/>
      <c r="C1260" s="197">
        <v>48</v>
      </c>
      <c r="D1260" s="262"/>
      <c r="E1260" s="198">
        <v>0</v>
      </c>
      <c r="F1260" s="197" t="s">
        <v>227</v>
      </c>
      <c r="G1260" s="199" t="s">
        <v>1255</v>
      </c>
      <c r="H1260" s="200"/>
      <c r="I1260" s="200"/>
      <c r="J1260" s="200"/>
      <c r="K1260" s="199"/>
      <c r="L1260" s="200"/>
      <c r="M1260" s="200"/>
      <c r="N1260" s="197"/>
    </row>
    <row r="1261" spans="1:14">
      <c r="A1261" s="262"/>
      <c r="B1261" s="262"/>
      <c r="C1261" s="197">
        <v>49</v>
      </c>
      <c r="D1261" s="262"/>
      <c r="E1261" s="198">
        <v>0</v>
      </c>
      <c r="F1261" s="197" t="s">
        <v>227</v>
      </c>
      <c r="G1261" s="199" t="s">
        <v>1256</v>
      </c>
      <c r="H1261" s="200"/>
      <c r="I1261" s="200"/>
      <c r="J1261" s="200"/>
      <c r="K1261" s="199"/>
      <c r="L1261" s="200"/>
      <c r="M1261" s="200"/>
      <c r="N1261" s="197"/>
    </row>
    <row r="1262" spans="1:14">
      <c r="A1262" s="262"/>
      <c r="B1262" s="262"/>
      <c r="C1262" s="197">
        <v>50</v>
      </c>
      <c r="D1262" s="262"/>
      <c r="E1262" s="198">
        <v>0</v>
      </c>
      <c r="F1262" s="197" t="s">
        <v>227</v>
      </c>
      <c r="G1262" s="199" t="s">
        <v>960</v>
      </c>
      <c r="H1262" s="200"/>
      <c r="I1262" s="200"/>
      <c r="J1262" s="200"/>
      <c r="K1262" s="199"/>
      <c r="L1262" s="200"/>
      <c r="M1262" s="200"/>
      <c r="N1262" s="197"/>
    </row>
    <row r="1263" spans="1:14">
      <c r="A1263" s="262"/>
      <c r="B1263" s="262"/>
      <c r="C1263" s="197">
        <v>51</v>
      </c>
      <c r="D1263" s="262"/>
      <c r="E1263" s="198">
        <v>0</v>
      </c>
      <c r="F1263" s="197" t="s">
        <v>227</v>
      </c>
      <c r="G1263" s="199" t="s">
        <v>913</v>
      </c>
      <c r="H1263" s="200"/>
      <c r="I1263" s="200"/>
      <c r="J1263" s="200"/>
      <c r="K1263" s="199"/>
      <c r="L1263" s="200"/>
      <c r="M1263" s="200"/>
      <c r="N1263" s="197"/>
    </row>
    <row r="1264" spans="1:14">
      <c r="A1264" s="262"/>
      <c r="B1264" s="262"/>
      <c r="C1264" s="197">
        <v>52</v>
      </c>
      <c r="D1264" s="262"/>
      <c r="E1264" s="198">
        <v>0</v>
      </c>
      <c r="F1264" s="197" t="s">
        <v>227</v>
      </c>
      <c r="G1264" s="199" t="s">
        <v>758</v>
      </c>
      <c r="H1264" s="200"/>
      <c r="I1264" s="200"/>
      <c r="J1264" s="200"/>
      <c r="K1264" s="199"/>
      <c r="L1264" s="200"/>
      <c r="M1264" s="200"/>
      <c r="N1264" s="197"/>
    </row>
    <row r="1265" spans="1:14">
      <c r="A1265" s="262"/>
      <c r="B1265" s="262"/>
      <c r="C1265" s="197">
        <v>53</v>
      </c>
      <c r="D1265" s="262"/>
      <c r="E1265" s="198">
        <v>0</v>
      </c>
      <c r="F1265" s="197" t="s">
        <v>227</v>
      </c>
      <c r="G1265" s="199" t="s">
        <v>654</v>
      </c>
      <c r="H1265" s="200"/>
      <c r="I1265" s="200"/>
      <c r="J1265" s="200"/>
      <c r="K1265" s="199"/>
      <c r="L1265" s="200"/>
      <c r="M1265" s="200"/>
      <c r="N1265" s="197"/>
    </row>
    <row r="1266" spans="1:14">
      <c r="A1266" s="262"/>
      <c r="B1266" s="262"/>
      <c r="C1266" s="197">
        <v>54</v>
      </c>
      <c r="D1266" s="262"/>
      <c r="E1266" s="198">
        <v>0</v>
      </c>
      <c r="F1266" s="197" t="s">
        <v>227</v>
      </c>
      <c r="G1266" s="199" t="s">
        <v>655</v>
      </c>
      <c r="H1266" s="200"/>
      <c r="I1266" s="200"/>
      <c r="J1266" s="200"/>
      <c r="K1266" s="199"/>
      <c r="L1266" s="200"/>
      <c r="M1266" s="200"/>
      <c r="N1266" s="197"/>
    </row>
    <row r="1267" spans="1:14">
      <c r="A1267" s="262"/>
      <c r="B1267" s="262"/>
      <c r="C1267" s="197">
        <v>55</v>
      </c>
      <c r="D1267" s="262"/>
      <c r="E1267" s="198">
        <v>0</v>
      </c>
      <c r="F1267" s="197" t="s">
        <v>227</v>
      </c>
      <c r="G1267" s="199" t="s">
        <v>287</v>
      </c>
      <c r="H1267" s="200"/>
      <c r="I1267" s="200"/>
      <c r="J1267" s="200"/>
      <c r="K1267" s="199"/>
      <c r="L1267" s="200"/>
      <c r="M1267" s="200"/>
      <c r="N1267" s="197"/>
    </row>
    <row r="1268" spans="1:14">
      <c r="A1268" s="262"/>
      <c r="B1268" s="262"/>
      <c r="C1268" s="197">
        <v>56</v>
      </c>
      <c r="D1268" s="262"/>
      <c r="E1268" s="198">
        <v>0</v>
      </c>
      <c r="F1268" s="197" t="s">
        <v>227</v>
      </c>
      <c r="G1268" s="199" t="s">
        <v>288</v>
      </c>
      <c r="H1268" s="200"/>
      <c r="I1268" s="200"/>
      <c r="J1268" s="200"/>
      <c r="K1268" s="199"/>
      <c r="L1268" s="200"/>
      <c r="M1268" s="200"/>
      <c r="N1268" s="197"/>
    </row>
    <row r="1269" spans="1:14">
      <c r="A1269" s="262"/>
      <c r="B1269" s="262"/>
      <c r="C1269" s="197">
        <v>57</v>
      </c>
      <c r="D1269" s="262"/>
      <c r="E1269" s="198">
        <v>0</v>
      </c>
      <c r="F1269" s="197" t="s">
        <v>227</v>
      </c>
      <c r="G1269" s="199" t="s">
        <v>289</v>
      </c>
      <c r="H1269" s="200"/>
      <c r="I1269" s="200"/>
      <c r="J1269" s="200"/>
      <c r="K1269" s="199"/>
      <c r="L1269" s="200"/>
      <c r="M1269" s="200"/>
      <c r="N1269" s="197"/>
    </row>
    <row r="1270" spans="1:14">
      <c r="A1270" s="262"/>
      <c r="B1270" s="262"/>
      <c r="C1270" s="197">
        <v>58</v>
      </c>
      <c r="D1270" s="197">
        <v>13</v>
      </c>
      <c r="E1270" s="198">
        <v>0</v>
      </c>
      <c r="F1270" s="197" t="s">
        <v>227</v>
      </c>
      <c r="G1270" s="199" t="s">
        <v>822</v>
      </c>
      <c r="H1270" s="200">
        <v>0.46500000000000002</v>
      </c>
      <c r="I1270" s="200">
        <v>1.01</v>
      </c>
      <c r="J1270" s="200">
        <v>0.56999999999999995</v>
      </c>
      <c r="K1270" s="199" t="s">
        <v>229</v>
      </c>
      <c r="L1270" s="200"/>
      <c r="M1270" s="200"/>
      <c r="N1270" s="197"/>
    </row>
    <row r="1271" spans="1:14">
      <c r="A1271" s="262"/>
      <c r="B1271" s="262"/>
      <c r="C1271" s="197">
        <v>59</v>
      </c>
      <c r="D1271" s="197">
        <v>14</v>
      </c>
      <c r="E1271" s="198">
        <v>0</v>
      </c>
      <c r="F1271" s="197" t="s">
        <v>227</v>
      </c>
      <c r="G1271" s="199" t="s">
        <v>1257</v>
      </c>
      <c r="H1271" s="200">
        <v>0.43</v>
      </c>
      <c r="I1271" s="200">
        <v>1.0249999999999999</v>
      </c>
      <c r="J1271" s="200">
        <v>0.53500000000000003</v>
      </c>
      <c r="K1271" s="199" t="s">
        <v>229</v>
      </c>
      <c r="L1271" s="200"/>
      <c r="M1271" s="200"/>
      <c r="N1271" s="197"/>
    </row>
    <row r="1272" spans="1:14">
      <c r="A1272" s="262"/>
      <c r="B1272" s="262"/>
      <c r="C1272" s="197">
        <v>60</v>
      </c>
      <c r="D1272" s="197">
        <v>15</v>
      </c>
      <c r="E1272" s="198">
        <v>0</v>
      </c>
      <c r="F1272" s="197" t="s">
        <v>227</v>
      </c>
      <c r="G1272" s="199" t="s">
        <v>1258</v>
      </c>
      <c r="H1272" s="200">
        <v>0.51</v>
      </c>
      <c r="I1272" s="200">
        <v>1.0149999999999999</v>
      </c>
      <c r="J1272" s="200">
        <v>0.54500000000000004</v>
      </c>
      <c r="K1272" s="199" t="s">
        <v>229</v>
      </c>
      <c r="L1272" s="200"/>
      <c r="M1272" s="200"/>
      <c r="N1272" s="197"/>
    </row>
    <row r="1273" spans="1:14">
      <c r="A1273" s="262"/>
      <c r="B1273" s="262"/>
      <c r="C1273" s="197">
        <v>61</v>
      </c>
      <c r="D1273" s="197">
        <v>16</v>
      </c>
      <c r="E1273" s="198">
        <v>0</v>
      </c>
      <c r="F1273" s="197" t="s">
        <v>227</v>
      </c>
      <c r="G1273" s="199" t="s">
        <v>1259</v>
      </c>
      <c r="H1273" s="200">
        <v>0.48</v>
      </c>
      <c r="I1273" s="200">
        <v>1.01</v>
      </c>
      <c r="J1273" s="200">
        <v>0.56999999999999995</v>
      </c>
      <c r="K1273" s="199" t="s">
        <v>229</v>
      </c>
      <c r="L1273" s="200"/>
      <c r="M1273" s="200"/>
      <c r="N1273" s="197"/>
    </row>
    <row r="1274" spans="1:14">
      <c r="A1274" s="261" t="s">
        <v>1260</v>
      </c>
      <c r="B1274" s="261">
        <v>5</v>
      </c>
      <c r="C1274" s="197">
        <v>1</v>
      </c>
      <c r="D1274" s="261">
        <v>1</v>
      </c>
      <c r="E1274" s="198">
        <v>0</v>
      </c>
      <c r="F1274" s="197" t="s">
        <v>227</v>
      </c>
      <c r="G1274" s="199" t="s">
        <v>228</v>
      </c>
      <c r="H1274" s="200">
        <v>0.44500000000000001</v>
      </c>
      <c r="I1274" s="200">
        <v>1.0049999999999999</v>
      </c>
      <c r="J1274" s="200">
        <v>0.55500000000000005</v>
      </c>
      <c r="K1274" s="199" t="s">
        <v>229</v>
      </c>
      <c r="L1274" s="200">
        <v>2.0172595116890641E-2</v>
      </c>
      <c r="M1274" s="200"/>
      <c r="N1274" s="197"/>
    </row>
    <row r="1275" spans="1:14">
      <c r="A1275" s="262"/>
      <c r="B1275" s="262"/>
      <c r="C1275" s="197">
        <v>2</v>
      </c>
      <c r="D1275" s="262"/>
      <c r="E1275" s="198">
        <v>354.99026700000002</v>
      </c>
      <c r="F1275" s="197"/>
      <c r="G1275" s="199" t="s">
        <v>1261</v>
      </c>
      <c r="H1275" s="200"/>
      <c r="I1275" s="200"/>
      <c r="J1275" s="200"/>
      <c r="K1275" s="199"/>
      <c r="L1275" s="200">
        <v>2.7039828840989349E-2</v>
      </c>
      <c r="M1275" s="200"/>
      <c r="N1275" s="197"/>
    </row>
    <row r="1276" spans="1:14">
      <c r="A1276" s="262"/>
      <c r="B1276" s="262"/>
      <c r="C1276" s="197">
        <v>3</v>
      </c>
      <c r="D1276" s="262"/>
      <c r="E1276" s="198">
        <v>357.78080999999997</v>
      </c>
      <c r="F1276" s="197"/>
      <c r="G1276" s="199" t="s">
        <v>1262</v>
      </c>
      <c r="H1276" s="200"/>
      <c r="I1276" s="200"/>
      <c r="J1276" s="200"/>
      <c r="K1276" s="199"/>
      <c r="L1276" s="200">
        <v>2.1423920626253243E-2</v>
      </c>
      <c r="M1276" s="200"/>
      <c r="N1276" s="197"/>
    </row>
    <row r="1277" spans="1:14">
      <c r="A1277" s="262"/>
      <c r="B1277" s="262"/>
      <c r="C1277" s="197">
        <v>4</v>
      </c>
      <c r="D1277" s="262"/>
      <c r="E1277" s="198">
        <v>419.84678300000002</v>
      </c>
      <c r="F1277" s="197"/>
      <c r="G1277" s="199" t="s">
        <v>1263</v>
      </c>
      <c r="H1277" s="200"/>
      <c r="I1277" s="200"/>
      <c r="J1277" s="200"/>
      <c r="K1277" s="199"/>
      <c r="L1277" s="200"/>
      <c r="M1277" s="200" t="s">
        <v>1264</v>
      </c>
      <c r="N1277" s="197" t="s">
        <v>1233</v>
      </c>
    </row>
    <row r="1278" spans="1:14">
      <c r="A1278" s="262"/>
      <c r="B1278" s="262"/>
      <c r="C1278" s="197">
        <v>5</v>
      </c>
      <c r="D1278" s="262"/>
      <c r="E1278" s="198">
        <v>479.677098</v>
      </c>
      <c r="F1278" s="197"/>
      <c r="G1278" s="199" t="s">
        <v>1265</v>
      </c>
      <c r="H1278" s="200"/>
      <c r="I1278" s="200"/>
      <c r="J1278" s="200"/>
      <c r="K1278" s="199"/>
      <c r="L1278" s="200"/>
      <c r="M1278" s="200"/>
      <c r="N1278" s="197"/>
    </row>
    <row r="1279" spans="1:14">
      <c r="A1279" s="262"/>
      <c r="B1279" s="262"/>
      <c r="C1279" s="197">
        <v>6</v>
      </c>
      <c r="D1279" s="262"/>
      <c r="E1279" s="198">
        <v>480.86856699999998</v>
      </c>
      <c r="F1279" s="197"/>
      <c r="G1279" s="199" t="s">
        <v>1266</v>
      </c>
      <c r="H1279" s="200"/>
      <c r="I1279" s="200"/>
      <c r="J1279" s="200"/>
      <c r="K1279" s="199"/>
      <c r="L1279" s="200"/>
      <c r="M1279" s="200"/>
      <c r="N1279" s="197"/>
    </row>
    <row r="1280" spans="1:14">
      <c r="A1280" s="262"/>
      <c r="B1280" s="262"/>
      <c r="C1280" s="197">
        <v>7</v>
      </c>
      <c r="D1280" s="262"/>
      <c r="E1280" s="198">
        <v>364.31079899999997</v>
      </c>
      <c r="F1280" s="197"/>
      <c r="G1280" s="199" t="s">
        <v>1267</v>
      </c>
      <c r="H1280" s="200"/>
      <c r="I1280" s="200"/>
      <c r="J1280" s="200"/>
      <c r="K1280" s="199"/>
      <c r="L1280" s="200"/>
      <c r="M1280" s="200"/>
      <c r="N1280" s="197"/>
    </row>
    <row r="1281" spans="1:14">
      <c r="A1281" s="262"/>
      <c r="B1281" s="262"/>
      <c r="C1281" s="197">
        <v>8</v>
      </c>
      <c r="D1281" s="262"/>
      <c r="E1281" s="198">
        <v>0</v>
      </c>
      <c r="F1281" s="197" t="s">
        <v>227</v>
      </c>
      <c r="G1281" s="199" t="s">
        <v>721</v>
      </c>
      <c r="H1281" s="200"/>
      <c r="I1281" s="200"/>
      <c r="J1281" s="200"/>
      <c r="K1281" s="199"/>
      <c r="L1281" s="200"/>
      <c r="M1281" s="200"/>
      <c r="N1281" s="197"/>
    </row>
    <row r="1282" spans="1:14">
      <c r="A1282" s="262"/>
      <c r="B1282" s="262"/>
      <c r="C1282" s="197">
        <v>9</v>
      </c>
      <c r="D1282" s="262"/>
      <c r="E1282" s="198">
        <v>370.85440299999999</v>
      </c>
      <c r="F1282" s="197"/>
      <c r="G1282" s="199" t="s">
        <v>1268</v>
      </c>
      <c r="H1282" s="200"/>
      <c r="I1282" s="200"/>
      <c r="J1282" s="200"/>
      <c r="K1282" s="199"/>
      <c r="L1282" s="200"/>
      <c r="M1282" s="200"/>
      <c r="N1282" s="197"/>
    </row>
    <row r="1283" spans="1:14">
      <c r="A1283" s="262"/>
      <c r="B1283" s="262"/>
      <c r="C1283" s="197">
        <v>10</v>
      </c>
      <c r="D1283" s="197">
        <v>2</v>
      </c>
      <c r="E1283" s="198">
        <v>469.75783100000001</v>
      </c>
      <c r="F1283" s="197" t="s">
        <v>227</v>
      </c>
      <c r="G1283" s="199" t="s">
        <v>1269</v>
      </c>
      <c r="H1283" s="200">
        <v>0.44500000000000001</v>
      </c>
      <c r="I1283" s="200">
        <v>1</v>
      </c>
      <c r="J1283" s="200">
        <v>0.55500000000000005</v>
      </c>
      <c r="K1283" s="199" t="s">
        <v>671</v>
      </c>
      <c r="L1283" s="200"/>
      <c r="M1283" s="200"/>
      <c r="N1283" s="197"/>
    </row>
    <row r="1284" spans="1:14">
      <c r="A1284" s="262"/>
      <c r="B1284" s="262"/>
      <c r="C1284" s="197">
        <v>11</v>
      </c>
      <c r="D1284" s="197">
        <v>3</v>
      </c>
      <c r="E1284" s="198">
        <v>0</v>
      </c>
      <c r="F1284" s="197" t="s">
        <v>227</v>
      </c>
      <c r="G1284" s="199" t="s">
        <v>242</v>
      </c>
      <c r="H1284" s="200">
        <v>0.435</v>
      </c>
      <c r="I1284" s="200">
        <v>0.93500000000000005</v>
      </c>
      <c r="J1284" s="200">
        <v>0.61</v>
      </c>
      <c r="K1284" s="199" t="s">
        <v>408</v>
      </c>
      <c r="L1284" s="200"/>
      <c r="M1284" s="200"/>
      <c r="N1284" s="197"/>
    </row>
    <row r="1285" spans="1:14">
      <c r="A1285" s="262"/>
      <c r="B1285" s="262"/>
      <c r="C1285" s="197">
        <v>12</v>
      </c>
      <c r="D1285" s="197">
        <v>4</v>
      </c>
      <c r="E1285" s="198">
        <v>366.45502099999999</v>
      </c>
      <c r="F1285" s="197"/>
      <c r="G1285" s="199" t="s">
        <v>1270</v>
      </c>
      <c r="H1285" s="200">
        <v>0.45500000000000002</v>
      </c>
      <c r="I1285" s="200">
        <v>1.01</v>
      </c>
      <c r="J1285" s="200">
        <v>0.55500000000000005</v>
      </c>
      <c r="K1285" s="199" t="s">
        <v>417</v>
      </c>
      <c r="L1285" s="200"/>
      <c r="M1285" s="200"/>
      <c r="N1285" s="197"/>
    </row>
    <row r="1286" spans="1:14">
      <c r="A1286" s="262"/>
      <c r="B1286" s="262"/>
      <c r="C1286" s="197">
        <v>17</v>
      </c>
      <c r="D1286" s="261">
        <v>5</v>
      </c>
      <c r="E1286" s="198">
        <v>0</v>
      </c>
      <c r="F1286" s="197" t="s">
        <v>227</v>
      </c>
      <c r="G1286" s="199" t="s">
        <v>1271</v>
      </c>
      <c r="H1286" s="200">
        <v>0.42</v>
      </c>
      <c r="I1286" s="200">
        <v>0.94499999999999995</v>
      </c>
      <c r="J1286" s="200">
        <v>0.6</v>
      </c>
      <c r="K1286" s="199" t="s">
        <v>417</v>
      </c>
      <c r="L1286" s="200"/>
      <c r="M1286" s="200"/>
      <c r="N1286" s="197"/>
    </row>
    <row r="1287" spans="1:14">
      <c r="A1287" s="262"/>
      <c r="B1287" s="262"/>
      <c r="C1287" s="197">
        <v>18</v>
      </c>
      <c r="D1287" s="262"/>
      <c r="E1287" s="198">
        <v>0</v>
      </c>
      <c r="F1287" s="197" t="s">
        <v>227</v>
      </c>
      <c r="G1287" s="199" t="s">
        <v>1272</v>
      </c>
      <c r="H1287" s="200"/>
      <c r="I1287" s="200"/>
      <c r="J1287" s="200"/>
      <c r="K1287" s="199"/>
      <c r="L1287" s="200"/>
      <c r="M1287" s="200"/>
      <c r="N1287" s="197"/>
    </row>
    <row r="1288" spans="1:14">
      <c r="A1288" s="262"/>
      <c r="B1288" s="262"/>
      <c r="C1288" s="197">
        <v>19</v>
      </c>
      <c r="D1288" s="197">
        <v>6</v>
      </c>
      <c r="E1288" s="198">
        <v>182.071979</v>
      </c>
      <c r="F1288" s="197"/>
      <c r="G1288" s="199" t="s">
        <v>1273</v>
      </c>
      <c r="H1288" s="200">
        <v>0.44</v>
      </c>
      <c r="I1288" s="200">
        <v>0.96</v>
      </c>
      <c r="J1288" s="200">
        <v>0.57499999999999996</v>
      </c>
      <c r="K1288" s="199" t="s">
        <v>671</v>
      </c>
      <c r="L1288" s="200"/>
      <c r="M1288" s="200"/>
      <c r="N1288" s="197"/>
    </row>
    <row r="1289" spans="1:14">
      <c r="A1289" s="262"/>
      <c r="B1289" s="262"/>
      <c r="C1289" s="197">
        <v>20</v>
      </c>
      <c r="D1289" s="261">
        <v>7</v>
      </c>
      <c r="E1289" s="198">
        <v>322.924847</v>
      </c>
      <c r="F1289" s="197" t="s">
        <v>227</v>
      </c>
      <c r="G1289" s="199" t="s">
        <v>1274</v>
      </c>
      <c r="H1289" s="200">
        <v>0.47</v>
      </c>
      <c r="I1289" s="200">
        <v>1.04</v>
      </c>
      <c r="J1289" s="200">
        <v>0.56000000000000005</v>
      </c>
      <c r="K1289" s="199" t="s">
        <v>417</v>
      </c>
      <c r="L1289" s="200"/>
      <c r="M1289" s="200"/>
      <c r="N1289" s="197"/>
    </row>
    <row r="1290" spans="1:14">
      <c r="A1290" s="262"/>
      <c r="B1290" s="262"/>
      <c r="C1290" s="197">
        <v>21</v>
      </c>
      <c r="D1290" s="262"/>
      <c r="E1290" s="198">
        <v>239.20945399999999</v>
      </c>
      <c r="F1290" s="197"/>
      <c r="G1290" s="199" t="s">
        <v>1275</v>
      </c>
      <c r="H1290" s="200"/>
      <c r="I1290" s="200"/>
      <c r="J1290" s="200"/>
      <c r="K1290" s="199"/>
      <c r="L1290" s="200"/>
      <c r="M1290" s="200"/>
      <c r="N1290" s="197"/>
    </row>
    <row r="1291" spans="1:14">
      <c r="A1291" s="262"/>
      <c r="B1291" s="262"/>
      <c r="C1291" s="197">
        <v>22</v>
      </c>
      <c r="D1291" s="261">
        <v>8</v>
      </c>
      <c r="E1291" s="198">
        <v>240.411832</v>
      </c>
      <c r="F1291" s="197" t="s">
        <v>227</v>
      </c>
      <c r="G1291" s="199" t="s">
        <v>1276</v>
      </c>
      <c r="H1291" s="200">
        <v>0.41499999999999998</v>
      </c>
      <c r="I1291" s="200">
        <v>1.0249999999999999</v>
      </c>
      <c r="J1291" s="200">
        <v>0.55000000000000004</v>
      </c>
      <c r="K1291" s="199" t="s">
        <v>229</v>
      </c>
      <c r="L1291" s="200"/>
      <c r="M1291" s="200"/>
      <c r="N1291" s="197"/>
    </row>
    <row r="1292" spans="1:14">
      <c r="A1292" s="262"/>
      <c r="B1292" s="262"/>
      <c r="C1292" s="197">
        <v>23</v>
      </c>
      <c r="D1292" s="262"/>
      <c r="E1292" s="198">
        <v>0</v>
      </c>
      <c r="F1292" s="197" t="s">
        <v>227</v>
      </c>
      <c r="G1292" s="199" t="s">
        <v>1277</v>
      </c>
      <c r="H1292" s="200"/>
      <c r="I1292" s="200"/>
      <c r="J1292" s="200"/>
      <c r="K1292" s="199"/>
      <c r="L1292" s="200"/>
      <c r="M1292" s="200"/>
      <c r="N1292" s="197"/>
    </row>
    <row r="1293" spans="1:14">
      <c r="A1293" s="262"/>
      <c r="B1293" s="262"/>
      <c r="C1293" s="197">
        <v>24</v>
      </c>
      <c r="D1293" s="262"/>
      <c r="E1293" s="198">
        <v>0</v>
      </c>
      <c r="F1293" s="197" t="s">
        <v>227</v>
      </c>
      <c r="G1293" s="199" t="s">
        <v>1278</v>
      </c>
      <c r="H1293" s="200"/>
      <c r="I1293" s="200"/>
      <c r="J1293" s="200"/>
      <c r="K1293" s="199"/>
      <c r="L1293" s="200"/>
      <c r="M1293" s="200"/>
      <c r="N1293" s="197"/>
    </row>
    <row r="1294" spans="1:14">
      <c r="A1294" s="262"/>
      <c r="B1294" s="262"/>
      <c r="C1294" s="197">
        <v>25</v>
      </c>
      <c r="D1294" s="262"/>
      <c r="E1294" s="198">
        <v>0</v>
      </c>
      <c r="F1294" s="197" t="s">
        <v>227</v>
      </c>
      <c r="G1294" s="199" t="s">
        <v>1052</v>
      </c>
      <c r="H1294" s="200"/>
      <c r="I1294" s="200"/>
      <c r="J1294" s="200"/>
      <c r="K1294" s="199"/>
      <c r="L1294" s="200"/>
      <c r="M1294" s="200"/>
      <c r="N1294" s="197"/>
    </row>
    <row r="1295" spans="1:14">
      <c r="A1295" s="262"/>
      <c r="B1295" s="262"/>
      <c r="C1295" s="197">
        <v>26</v>
      </c>
      <c r="D1295" s="262"/>
      <c r="E1295" s="198">
        <v>0</v>
      </c>
      <c r="F1295" s="197" t="s">
        <v>227</v>
      </c>
      <c r="G1295" s="199" t="s">
        <v>587</v>
      </c>
      <c r="H1295" s="200"/>
      <c r="I1295" s="200"/>
      <c r="J1295" s="200"/>
      <c r="K1295" s="199"/>
      <c r="L1295" s="200"/>
      <c r="M1295" s="200"/>
      <c r="N1295" s="197"/>
    </row>
    <row r="1296" spans="1:14">
      <c r="A1296" s="262"/>
      <c r="B1296" s="262"/>
      <c r="C1296" s="197">
        <v>27</v>
      </c>
      <c r="D1296" s="261">
        <v>9</v>
      </c>
      <c r="E1296" s="198">
        <v>0</v>
      </c>
      <c r="F1296" s="197" t="s">
        <v>227</v>
      </c>
      <c r="G1296" s="199" t="s">
        <v>1279</v>
      </c>
      <c r="H1296" s="200">
        <v>0.47</v>
      </c>
      <c r="I1296" s="200">
        <v>1.0149999999999999</v>
      </c>
      <c r="J1296" s="200">
        <v>0.54500000000000004</v>
      </c>
      <c r="K1296" s="199" t="s">
        <v>229</v>
      </c>
      <c r="L1296" s="200"/>
      <c r="M1296" s="200"/>
      <c r="N1296" s="197"/>
    </row>
    <row r="1297" spans="1:14">
      <c r="A1297" s="262"/>
      <c r="B1297" s="262"/>
      <c r="C1297" s="197">
        <v>28</v>
      </c>
      <c r="D1297" s="262"/>
      <c r="E1297" s="198">
        <v>323.25617899999997</v>
      </c>
      <c r="F1297" s="197"/>
      <c r="G1297" s="199" t="s">
        <v>1280</v>
      </c>
      <c r="H1297" s="200"/>
      <c r="I1297" s="200"/>
      <c r="J1297" s="200"/>
      <c r="K1297" s="199"/>
      <c r="L1297" s="200"/>
      <c r="M1297" s="200"/>
      <c r="N1297" s="197"/>
    </row>
    <row r="1298" spans="1:14">
      <c r="A1298" s="262"/>
      <c r="B1298" s="262"/>
      <c r="C1298" s="197">
        <v>29</v>
      </c>
      <c r="D1298" s="261">
        <v>10</v>
      </c>
      <c r="E1298" s="198">
        <v>327.25129700000002</v>
      </c>
      <c r="F1298" s="197" t="s">
        <v>227</v>
      </c>
      <c r="G1298" s="199" t="s">
        <v>1281</v>
      </c>
      <c r="H1298" s="200">
        <v>0.41</v>
      </c>
      <c r="I1298" s="200">
        <v>1.01</v>
      </c>
      <c r="J1298" s="200">
        <v>0.53500000000000003</v>
      </c>
      <c r="K1298" s="199" t="s">
        <v>229</v>
      </c>
      <c r="L1298" s="200"/>
      <c r="M1298" s="200"/>
      <c r="N1298" s="197"/>
    </row>
    <row r="1299" spans="1:14">
      <c r="A1299" s="262"/>
      <c r="B1299" s="262"/>
      <c r="C1299" s="197">
        <v>30</v>
      </c>
      <c r="D1299" s="262"/>
      <c r="E1299" s="198">
        <v>0</v>
      </c>
      <c r="F1299" s="197" t="s">
        <v>227</v>
      </c>
      <c r="G1299" s="199" t="s">
        <v>1282</v>
      </c>
      <c r="H1299" s="200"/>
      <c r="I1299" s="200"/>
      <c r="J1299" s="200"/>
      <c r="K1299" s="199"/>
      <c r="L1299" s="200"/>
      <c r="M1299" s="200"/>
      <c r="N1299" s="197"/>
    </row>
    <row r="1300" spans="1:14">
      <c r="A1300" s="262"/>
      <c r="B1300" s="262"/>
      <c r="C1300" s="197">
        <v>31</v>
      </c>
      <c r="D1300" s="261">
        <v>11</v>
      </c>
      <c r="E1300" s="198">
        <v>469.16349500000001</v>
      </c>
      <c r="F1300" s="197"/>
      <c r="G1300" s="199" t="s">
        <v>1283</v>
      </c>
      <c r="H1300" s="200">
        <v>0.44500000000000001</v>
      </c>
      <c r="I1300" s="200">
        <v>1.0049999999999999</v>
      </c>
      <c r="J1300" s="200">
        <v>0.53</v>
      </c>
      <c r="K1300" s="199" t="s">
        <v>417</v>
      </c>
      <c r="L1300" s="200"/>
      <c r="M1300" s="200"/>
      <c r="N1300" s="197"/>
    </row>
    <row r="1301" spans="1:14">
      <c r="A1301" s="262"/>
      <c r="B1301" s="262"/>
      <c r="C1301" s="197">
        <v>32</v>
      </c>
      <c r="D1301" s="262"/>
      <c r="E1301" s="198">
        <v>467.98156999999998</v>
      </c>
      <c r="F1301" s="197"/>
      <c r="G1301" s="199" t="s">
        <v>1284</v>
      </c>
      <c r="H1301" s="200"/>
      <c r="I1301" s="200"/>
      <c r="J1301" s="200"/>
      <c r="K1301" s="199"/>
      <c r="L1301" s="200"/>
      <c r="M1301" s="200"/>
      <c r="N1301" s="197"/>
    </row>
    <row r="1302" spans="1:14">
      <c r="A1302" s="262"/>
      <c r="B1302" s="262"/>
      <c r="C1302" s="197">
        <v>33</v>
      </c>
      <c r="D1302" s="261">
        <v>12</v>
      </c>
      <c r="E1302" s="198">
        <v>318.24743699999999</v>
      </c>
      <c r="F1302" s="197" t="s">
        <v>227</v>
      </c>
      <c r="G1302" s="199" t="s">
        <v>1285</v>
      </c>
      <c r="H1302" s="200">
        <v>0.43</v>
      </c>
      <c r="I1302" s="200">
        <v>1.0149999999999999</v>
      </c>
      <c r="J1302" s="200">
        <v>0.55000000000000004</v>
      </c>
      <c r="K1302" s="199" t="s">
        <v>671</v>
      </c>
      <c r="L1302" s="200"/>
      <c r="M1302" s="200"/>
      <c r="N1302" s="197"/>
    </row>
    <row r="1303" spans="1:14">
      <c r="A1303" s="262"/>
      <c r="B1303" s="262"/>
      <c r="C1303" s="197">
        <v>34</v>
      </c>
      <c r="D1303" s="262"/>
      <c r="E1303" s="198">
        <v>0</v>
      </c>
      <c r="F1303" s="197" t="s">
        <v>227</v>
      </c>
      <c r="G1303" s="199" t="s">
        <v>1286</v>
      </c>
      <c r="H1303" s="200"/>
      <c r="I1303" s="200"/>
      <c r="J1303" s="200"/>
      <c r="K1303" s="199"/>
      <c r="L1303" s="200"/>
      <c r="M1303" s="200"/>
      <c r="N1303" s="197"/>
    </row>
    <row r="1304" spans="1:14">
      <c r="A1304" s="262"/>
      <c r="B1304" s="262"/>
      <c r="C1304" s="197">
        <v>35</v>
      </c>
      <c r="D1304" s="262"/>
      <c r="E1304" s="198">
        <v>321.02749599999999</v>
      </c>
      <c r="F1304" s="197"/>
      <c r="G1304" s="199" t="s">
        <v>1287</v>
      </c>
      <c r="H1304" s="200"/>
      <c r="I1304" s="200"/>
      <c r="J1304" s="200"/>
      <c r="K1304" s="199"/>
      <c r="L1304" s="200"/>
      <c r="M1304" s="200"/>
      <c r="N1304" s="197"/>
    </row>
    <row r="1305" spans="1:14">
      <c r="A1305" s="262"/>
      <c r="B1305" s="262"/>
      <c r="C1305" s="197">
        <v>36</v>
      </c>
      <c r="D1305" s="262"/>
      <c r="E1305" s="198">
        <v>0</v>
      </c>
      <c r="F1305" s="197" t="s">
        <v>227</v>
      </c>
      <c r="G1305" s="199" t="s">
        <v>1288</v>
      </c>
      <c r="H1305" s="200"/>
      <c r="I1305" s="200"/>
      <c r="J1305" s="200"/>
      <c r="K1305" s="199"/>
      <c r="L1305" s="200"/>
      <c r="M1305" s="200"/>
      <c r="N1305" s="197"/>
    </row>
    <row r="1306" spans="1:14">
      <c r="A1306" s="262"/>
      <c r="B1306" s="262"/>
      <c r="C1306" s="197">
        <v>37</v>
      </c>
      <c r="D1306" s="262"/>
      <c r="E1306" s="198">
        <v>321.30438299999997</v>
      </c>
      <c r="F1306" s="197"/>
      <c r="G1306" s="199" t="s">
        <v>1289</v>
      </c>
      <c r="H1306" s="200"/>
      <c r="I1306" s="200"/>
      <c r="J1306" s="200"/>
      <c r="K1306" s="199"/>
      <c r="L1306" s="200"/>
      <c r="M1306" s="200"/>
      <c r="N1306" s="197"/>
    </row>
    <row r="1307" spans="1:14">
      <c r="A1307" s="262"/>
      <c r="B1307" s="262"/>
      <c r="C1307" s="197">
        <v>38</v>
      </c>
      <c r="D1307" s="262"/>
      <c r="E1307" s="198">
        <v>364.68592999999998</v>
      </c>
      <c r="F1307" s="197"/>
      <c r="G1307" s="199" t="s">
        <v>1290</v>
      </c>
      <c r="H1307" s="200"/>
      <c r="I1307" s="200"/>
      <c r="J1307" s="200"/>
      <c r="K1307" s="199"/>
      <c r="L1307" s="200"/>
      <c r="M1307" s="200"/>
      <c r="N1307" s="197"/>
    </row>
    <row r="1308" spans="1:14">
      <c r="A1308" s="262"/>
      <c r="B1308" s="262"/>
      <c r="C1308" s="197">
        <v>39</v>
      </c>
      <c r="D1308" s="197">
        <v>13</v>
      </c>
      <c r="E1308" s="198">
        <v>182.26817800000001</v>
      </c>
      <c r="F1308" s="197" t="s">
        <v>227</v>
      </c>
      <c r="G1308" s="199" t="s">
        <v>1291</v>
      </c>
      <c r="H1308" s="200">
        <v>0.45</v>
      </c>
      <c r="I1308" s="200">
        <v>0.995</v>
      </c>
      <c r="J1308" s="200">
        <v>0.55000000000000004</v>
      </c>
      <c r="K1308" s="199" t="s">
        <v>229</v>
      </c>
      <c r="L1308" s="200"/>
      <c r="M1308" s="200"/>
      <c r="N1308" s="197"/>
    </row>
    <row r="1309" spans="1:14">
      <c r="A1309" s="262"/>
      <c r="B1309" s="262"/>
      <c r="C1309" s="197">
        <v>40</v>
      </c>
      <c r="D1309" s="197">
        <v>14</v>
      </c>
      <c r="E1309" s="198">
        <v>318.87552099999999</v>
      </c>
      <c r="F1309" s="197" t="s">
        <v>227</v>
      </c>
      <c r="G1309" s="199" t="s">
        <v>1292</v>
      </c>
      <c r="H1309" s="200">
        <v>0.48499999999999999</v>
      </c>
      <c r="I1309" s="200">
        <v>0.995</v>
      </c>
      <c r="J1309" s="200">
        <v>0.54</v>
      </c>
      <c r="K1309" s="199" t="s">
        <v>229</v>
      </c>
      <c r="L1309" s="200"/>
      <c r="M1309" s="200"/>
      <c r="N1309" s="197"/>
    </row>
    <row r="1310" spans="1:14">
      <c r="A1310" s="262"/>
      <c r="B1310" s="262"/>
      <c r="C1310" s="197">
        <v>41</v>
      </c>
      <c r="D1310" s="261">
        <v>15</v>
      </c>
      <c r="E1310" s="198">
        <v>803.90625</v>
      </c>
      <c r="F1310" s="197" t="s">
        <v>281</v>
      </c>
      <c r="G1310" s="199" t="s">
        <v>1293</v>
      </c>
      <c r="H1310" s="200">
        <v>0.46</v>
      </c>
      <c r="I1310" s="200">
        <v>1</v>
      </c>
      <c r="J1310" s="200">
        <v>0.54</v>
      </c>
      <c r="K1310" s="199" t="s">
        <v>671</v>
      </c>
      <c r="L1310" s="200"/>
      <c r="M1310" s="200"/>
      <c r="N1310" s="197"/>
    </row>
    <row r="1311" spans="1:14">
      <c r="A1311" s="262"/>
      <c r="B1311" s="262"/>
      <c r="C1311" s="197">
        <v>42</v>
      </c>
      <c r="D1311" s="262"/>
      <c r="E1311" s="198">
        <v>245.68244899999999</v>
      </c>
      <c r="F1311" s="197"/>
      <c r="G1311" s="199" t="s">
        <v>1294</v>
      </c>
      <c r="H1311" s="200"/>
      <c r="I1311" s="200"/>
      <c r="J1311" s="200"/>
      <c r="K1311" s="199"/>
      <c r="L1311" s="200"/>
      <c r="M1311" s="200"/>
      <c r="N1311" s="197"/>
    </row>
    <row r="1312" spans="1:14">
      <c r="A1312" s="262"/>
      <c r="B1312" s="262"/>
      <c r="C1312" s="197">
        <v>43</v>
      </c>
      <c r="D1312" s="261">
        <v>16</v>
      </c>
      <c r="E1312" s="198">
        <v>218.858566</v>
      </c>
      <c r="F1312" s="197" t="s">
        <v>227</v>
      </c>
      <c r="G1312" s="199" t="s">
        <v>1295</v>
      </c>
      <c r="H1312" s="200">
        <v>0.46</v>
      </c>
      <c r="I1312" s="200">
        <v>1</v>
      </c>
      <c r="J1312" s="200">
        <v>0.54</v>
      </c>
      <c r="K1312" s="199" t="s">
        <v>671</v>
      </c>
      <c r="L1312" s="200"/>
      <c r="M1312" s="200"/>
      <c r="N1312" s="197"/>
    </row>
    <row r="1313" spans="1:14">
      <c r="A1313" s="262"/>
      <c r="B1313" s="262"/>
      <c r="C1313" s="197">
        <v>44</v>
      </c>
      <c r="D1313" s="262"/>
      <c r="E1313" s="198">
        <v>0</v>
      </c>
      <c r="F1313" s="197" t="s">
        <v>227</v>
      </c>
      <c r="G1313" s="199" t="s">
        <v>1296</v>
      </c>
      <c r="H1313" s="200"/>
      <c r="I1313" s="200"/>
      <c r="J1313" s="200"/>
      <c r="K1313" s="199"/>
      <c r="L1313" s="200"/>
      <c r="M1313" s="200"/>
      <c r="N1313" s="197"/>
    </row>
    <row r="1314" spans="1:14">
      <c r="A1314" s="262"/>
      <c r="B1314" s="262"/>
      <c r="C1314" s="197">
        <v>45</v>
      </c>
      <c r="D1314" s="262"/>
      <c r="E1314" s="198">
        <v>0</v>
      </c>
      <c r="F1314" s="197" t="s">
        <v>227</v>
      </c>
      <c r="G1314" s="199" t="s">
        <v>1297</v>
      </c>
      <c r="H1314" s="200"/>
      <c r="I1314" s="200"/>
      <c r="J1314" s="200"/>
      <c r="K1314" s="199"/>
      <c r="L1314" s="200"/>
      <c r="M1314" s="200"/>
      <c r="N1314" s="197"/>
    </row>
    <row r="1315" spans="1:14">
      <c r="A1315" s="262"/>
      <c r="B1315" s="262"/>
      <c r="C1315" s="197">
        <v>46</v>
      </c>
      <c r="D1315" s="262"/>
      <c r="E1315" s="198">
        <v>0</v>
      </c>
      <c r="F1315" s="197" t="s">
        <v>227</v>
      </c>
      <c r="G1315" s="199" t="s">
        <v>1298</v>
      </c>
      <c r="H1315" s="200"/>
      <c r="I1315" s="200"/>
      <c r="J1315" s="200"/>
      <c r="K1315" s="199"/>
      <c r="L1315" s="200"/>
      <c r="M1315" s="200"/>
      <c r="N1315" s="197"/>
    </row>
    <row r="1316" spans="1:14">
      <c r="A1316" s="262"/>
      <c r="B1316" s="262"/>
      <c r="C1316" s="197">
        <v>47</v>
      </c>
      <c r="D1316" s="262"/>
      <c r="E1316" s="198">
        <v>0</v>
      </c>
      <c r="F1316" s="197" t="s">
        <v>227</v>
      </c>
      <c r="G1316" s="199" t="s">
        <v>608</v>
      </c>
      <c r="H1316" s="200"/>
      <c r="I1316" s="200"/>
      <c r="J1316" s="200"/>
      <c r="K1316" s="199"/>
      <c r="L1316" s="200"/>
      <c r="M1316" s="200"/>
      <c r="N1316" s="197"/>
    </row>
    <row r="1317" spans="1:14">
      <c r="A1317" s="261" t="s">
        <v>1299</v>
      </c>
      <c r="B1317" s="261">
        <v>8</v>
      </c>
      <c r="C1317" s="197">
        <v>1</v>
      </c>
      <c r="D1317" s="261">
        <v>1</v>
      </c>
      <c r="E1317" s="198">
        <v>0</v>
      </c>
      <c r="F1317" s="197" t="s">
        <v>227</v>
      </c>
      <c r="G1317" s="199" t="s">
        <v>228</v>
      </c>
      <c r="H1317" s="200">
        <v>0.47</v>
      </c>
      <c r="I1317" s="200">
        <v>1</v>
      </c>
      <c r="J1317" s="200">
        <v>0.55500000000000005</v>
      </c>
      <c r="K1317" s="199" t="s">
        <v>229</v>
      </c>
      <c r="L1317" s="200">
        <v>2.6331718041176125E-2</v>
      </c>
      <c r="M1317" s="200"/>
      <c r="N1317" s="197"/>
    </row>
    <row r="1318" spans="1:14">
      <c r="A1318" s="262"/>
      <c r="B1318" s="262"/>
      <c r="C1318" s="197">
        <v>2</v>
      </c>
      <c r="D1318" s="262"/>
      <c r="E1318" s="198">
        <v>0</v>
      </c>
      <c r="F1318" s="197" t="s">
        <v>227</v>
      </c>
      <c r="G1318" s="199" t="s">
        <v>230</v>
      </c>
      <c r="H1318" s="200"/>
      <c r="I1318" s="200"/>
      <c r="J1318" s="200"/>
      <c r="K1318" s="199"/>
      <c r="L1318" s="200">
        <v>2.7469798756998575E-2</v>
      </c>
      <c r="M1318" s="200"/>
      <c r="N1318" s="197"/>
    </row>
    <row r="1319" spans="1:14">
      <c r="A1319" s="262"/>
      <c r="B1319" s="262"/>
      <c r="C1319" s="197">
        <v>3</v>
      </c>
      <c r="D1319" s="262"/>
      <c r="E1319" s="198">
        <v>0</v>
      </c>
      <c r="F1319" s="197" t="s">
        <v>227</v>
      </c>
      <c r="G1319" s="199" t="s">
        <v>324</v>
      </c>
      <c r="H1319" s="200"/>
      <c r="I1319" s="200"/>
      <c r="J1319" s="200"/>
      <c r="K1319" s="199"/>
      <c r="L1319" s="200">
        <v>2.0039024427351736E-2</v>
      </c>
      <c r="M1319" s="200"/>
      <c r="N1319" s="197"/>
    </row>
    <row r="1320" spans="1:14">
      <c r="A1320" s="262"/>
      <c r="B1320" s="262"/>
      <c r="C1320" s="197">
        <v>4</v>
      </c>
      <c r="D1320" s="262"/>
      <c r="E1320" s="198">
        <v>361.628489</v>
      </c>
      <c r="F1320" s="197"/>
      <c r="G1320" s="199" t="s">
        <v>1300</v>
      </c>
      <c r="H1320" s="200"/>
      <c r="I1320" s="200"/>
      <c r="J1320" s="200"/>
      <c r="K1320" s="199"/>
      <c r="L1320" s="200"/>
      <c r="M1320" s="200" t="s">
        <v>233</v>
      </c>
      <c r="N1320" s="197" t="s">
        <v>1301</v>
      </c>
    </row>
    <row r="1321" spans="1:14">
      <c r="A1321" s="262"/>
      <c r="B1321" s="262"/>
      <c r="C1321" s="197">
        <v>5</v>
      </c>
      <c r="D1321" s="262"/>
      <c r="E1321" s="198">
        <v>358.32845500000002</v>
      </c>
      <c r="F1321" s="197"/>
      <c r="G1321" s="199" t="s">
        <v>1302</v>
      </c>
      <c r="H1321" s="200"/>
      <c r="I1321" s="200"/>
      <c r="J1321" s="200"/>
      <c r="K1321" s="199"/>
      <c r="L1321" s="200"/>
      <c r="M1321" s="200"/>
      <c r="N1321" s="197"/>
    </row>
    <row r="1322" spans="1:14">
      <c r="A1322" s="262"/>
      <c r="B1322" s="262"/>
      <c r="C1322" s="197">
        <v>6</v>
      </c>
      <c r="D1322" s="261">
        <v>2</v>
      </c>
      <c r="E1322" s="198">
        <v>374.10177599999997</v>
      </c>
      <c r="F1322" s="197" t="s">
        <v>227</v>
      </c>
      <c r="G1322" s="199" t="s">
        <v>1303</v>
      </c>
      <c r="H1322" s="200">
        <v>0.47</v>
      </c>
      <c r="I1322" s="200">
        <v>1.0349999999999999</v>
      </c>
      <c r="J1322" s="200">
        <v>0.52500000000000002</v>
      </c>
      <c r="K1322" s="199" t="s">
        <v>229</v>
      </c>
      <c r="L1322" s="200"/>
      <c r="M1322" s="200"/>
      <c r="N1322" s="197"/>
    </row>
    <row r="1323" spans="1:14">
      <c r="A1323" s="262"/>
      <c r="B1323" s="262"/>
      <c r="C1323" s="197">
        <v>7</v>
      </c>
      <c r="D1323" s="262"/>
      <c r="E1323" s="198">
        <v>480.51119299999999</v>
      </c>
      <c r="F1323" s="197"/>
      <c r="G1323" s="199" t="s">
        <v>1304</v>
      </c>
      <c r="H1323" s="200"/>
      <c r="I1323" s="200"/>
      <c r="J1323" s="200"/>
      <c r="K1323" s="199"/>
      <c r="L1323" s="200"/>
      <c r="M1323" s="200"/>
      <c r="N1323" s="197"/>
    </row>
    <row r="1324" spans="1:14">
      <c r="A1324" s="262"/>
      <c r="B1324" s="262"/>
      <c r="C1324" s="197">
        <v>8</v>
      </c>
      <c r="D1324" s="261">
        <v>3</v>
      </c>
      <c r="E1324" s="198">
        <v>463.63054199999999</v>
      </c>
      <c r="F1324" s="197" t="s">
        <v>227</v>
      </c>
      <c r="G1324" s="199" t="s">
        <v>1305</v>
      </c>
      <c r="H1324" s="200">
        <v>0.47499999999999998</v>
      </c>
      <c r="I1324" s="200">
        <v>1.0249999999999999</v>
      </c>
      <c r="J1324" s="200">
        <v>0.53500000000000003</v>
      </c>
      <c r="K1324" s="199" t="s">
        <v>229</v>
      </c>
      <c r="L1324" s="200"/>
      <c r="M1324" s="200"/>
      <c r="N1324" s="197"/>
    </row>
    <row r="1325" spans="1:14">
      <c r="A1325" s="262"/>
      <c r="B1325" s="262"/>
      <c r="C1325" s="197">
        <v>9</v>
      </c>
      <c r="D1325" s="262"/>
      <c r="E1325" s="198">
        <v>367.54950300000002</v>
      </c>
      <c r="F1325" s="197"/>
      <c r="G1325" s="199" t="s">
        <v>1306</v>
      </c>
      <c r="H1325" s="200"/>
      <c r="I1325" s="200"/>
      <c r="J1325" s="200"/>
      <c r="K1325" s="199"/>
      <c r="L1325" s="200"/>
      <c r="M1325" s="200"/>
      <c r="N1325" s="197"/>
    </row>
    <row r="1326" spans="1:14">
      <c r="A1326" s="262"/>
      <c r="B1326" s="262"/>
      <c r="C1326" s="197">
        <v>10</v>
      </c>
      <c r="D1326" s="262"/>
      <c r="E1326" s="198">
        <v>363.36606499999999</v>
      </c>
      <c r="F1326" s="197"/>
      <c r="G1326" s="199" t="s">
        <v>1307</v>
      </c>
      <c r="H1326" s="200"/>
      <c r="I1326" s="200"/>
      <c r="J1326" s="200"/>
      <c r="K1326" s="199"/>
      <c r="L1326" s="200"/>
      <c r="M1326" s="200"/>
      <c r="N1326" s="197"/>
    </row>
    <row r="1327" spans="1:14">
      <c r="A1327" s="262"/>
      <c r="B1327" s="262"/>
      <c r="C1327" s="197">
        <v>11</v>
      </c>
      <c r="D1327" s="261">
        <v>4</v>
      </c>
      <c r="E1327" s="198">
        <v>0</v>
      </c>
      <c r="F1327" s="197" t="s">
        <v>227</v>
      </c>
      <c r="G1327" s="199" t="s">
        <v>572</v>
      </c>
      <c r="H1327" s="200">
        <v>0.47499999999999998</v>
      </c>
      <c r="I1327" s="200">
        <v>1.0249999999999999</v>
      </c>
      <c r="J1327" s="200">
        <v>0.53500000000000003</v>
      </c>
      <c r="K1327" s="199" t="s">
        <v>229</v>
      </c>
      <c r="L1327" s="200"/>
      <c r="M1327" s="200"/>
      <c r="N1327" s="197"/>
    </row>
    <row r="1328" spans="1:14">
      <c r="A1328" s="262"/>
      <c r="B1328" s="262"/>
      <c r="C1328" s="197">
        <v>12</v>
      </c>
      <c r="D1328" s="262"/>
      <c r="E1328" s="198">
        <v>0</v>
      </c>
      <c r="F1328" s="197" t="s">
        <v>227</v>
      </c>
      <c r="G1328" s="199" t="s">
        <v>624</v>
      </c>
      <c r="H1328" s="200"/>
      <c r="I1328" s="200"/>
      <c r="J1328" s="200"/>
      <c r="K1328" s="199"/>
      <c r="L1328" s="200"/>
      <c r="M1328" s="200"/>
      <c r="N1328" s="197"/>
    </row>
    <row r="1329" spans="1:14">
      <c r="A1329" s="262"/>
      <c r="B1329" s="262"/>
      <c r="C1329" s="197">
        <v>13</v>
      </c>
      <c r="D1329" s="262"/>
      <c r="E1329" s="198">
        <v>0</v>
      </c>
      <c r="F1329" s="197" t="s">
        <v>227</v>
      </c>
      <c r="G1329" s="199" t="s">
        <v>625</v>
      </c>
      <c r="H1329" s="200"/>
      <c r="I1329" s="200"/>
      <c r="J1329" s="200"/>
      <c r="K1329" s="199"/>
      <c r="L1329" s="200"/>
      <c r="M1329" s="200"/>
      <c r="N1329" s="197"/>
    </row>
    <row r="1330" spans="1:14">
      <c r="A1330" s="262"/>
      <c r="B1330" s="262"/>
      <c r="C1330" s="197">
        <v>14</v>
      </c>
      <c r="D1330" s="262"/>
      <c r="E1330" s="198">
        <v>366.80621200000002</v>
      </c>
      <c r="F1330" s="197"/>
      <c r="G1330" s="199" t="s">
        <v>1308</v>
      </c>
      <c r="H1330" s="200"/>
      <c r="I1330" s="200"/>
      <c r="J1330" s="200"/>
      <c r="K1330" s="199"/>
      <c r="L1330" s="200"/>
      <c r="M1330" s="200"/>
      <c r="N1330" s="197"/>
    </row>
    <row r="1331" spans="1:14">
      <c r="A1331" s="262"/>
      <c r="B1331" s="262"/>
      <c r="C1331" s="197">
        <v>15</v>
      </c>
      <c r="D1331" s="262"/>
      <c r="E1331" s="198">
        <v>364.81875500000001</v>
      </c>
      <c r="F1331" s="197"/>
      <c r="G1331" s="199" t="s">
        <v>1309</v>
      </c>
      <c r="H1331" s="200"/>
      <c r="I1331" s="200"/>
      <c r="J1331" s="200"/>
      <c r="K1331" s="199"/>
      <c r="L1331" s="200"/>
      <c r="M1331" s="200"/>
      <c r="N1331" s="197"/>
    </row>
    <row r="1332" spans="1:14">
      <c r="A1332" s="262"/>
      <c r="B1332" s="262"/>
      <c r="C1332" s="197">
        <v>16</v>
      </c>
      <c r="D1332" s="262"/>
      <c r="E1332" s="198">
        <v>367.146726</v>
      </c>
      <c r="F1332" s="197"/>
      <c r="G1332" s="199" t="s">
        <v>1310</v>
      </c>
      <c r="H1332" s="200"/>
      <c r="I1332" s="200"/>
      <c r="J1332" s="200"/>
      <c r="K1332" s="199"/>
      <c r="L1332" s="200"/>
      <c r="M1332" s="200"/>
      <c r="N1332" s="197"/>
    </row>
    <row r="1333" spans="1:14">
      <c r="A1333" s="262"/>
      <c r="B1333" s="262"/>
      <c r="C1333" s="197">
        <v>17</v>
      </c>
      <c r="D1333" s="197">
        <v>5</v>
      </c>
      <c r="E1333" s="198">
        <v>365.20643999999999</v>
      </c>
      <c r="F1333" s="197" t="s">
        <v>227</v>
      </c>
      <c r="G1333" s="199" t="s">
        <v>1311</v>
      </c>
      <c r="H1333" s="200">
        <v>0.45500000000000002</v>
      </c>
      <c r="I1333" s="200">
        <v>1.0249999999999999</v>
      </c>
      <c r="J1333" s="200">
        <v>0.52</v>
      </c>
      <c r="K1333" s="199" t="s">
        <v>229</v>
      </c>
      <c r="L1333" s="200"/>
      <c r="M1333" s="200"/>
      <c r="N1333" s="197"/>
    </row>
    <row r="1334" spans="1:14">
      <c r="A1334" s="262"/>
      <c r="B1334" s="262"/>
      <c r="C1334" s="197">
        <v>18</v>
      </c>
      <c r="D1334" s="261">
        <v>6</v>
      </c>
      <c r="E1334" s="198">
        <v>321.17572899999999</v>
      </c>
      <c r="F1334" s="197" t="s">
        <v>227</v>
      </c>
      <c r="G1334" s="199" t="s">
        <v>1312</v>
      </c>
      <c r="H1334" s="200">
        <v>0.44500000000000001</v>
      </c>
      <c r="I1334" s="200">
        <v>1.01</v>
      </c>
      <c r="J1334" s="200">
        <v>0.55000000000000004</v>
      </c>
      <c r="K1334" s="199" t="s">
        <v>229</v>
      </c>
      <c r="L1334" s="200"/>
      <c r="M1334" s="200"/>
      <c r="N1334" s="197"/>
    </row>
    <row r="1335" spans="1:14">
      <c r="A1335" s="262"/>
      <c r="B1335" s="262"/>
      <c r="C1335" s="197">
        <v>19</v>
      </c>
      <c r="D1335" s="262"/>
      <c r="E1335" s="198">
        <v>320.33191199999999</v>
      </c>
      <c r="F1335" s="197"/>
      <c r="G1335" s="199" t="s">
        <v>1313</v>
      </c>
      <c r="H1335" s="200"/>
      <c r="I1335" s="200"/>
      <c r="J1335" s="200"/>
      <c r="K1335" s="199"/>
      <c r="L1335" s="200"/>
      <c r="M1335" s="200"/>
      <c r="N1335" s="197"/>
    </row>
    <row r="1336" spans="1:14">
      <c r="A1336" s="262"/>
      <c r="B1336" s="262"/>
      <c r="C1336" s="197">
        <v>20</v>
      </c>
      <c r="D1336" s="261">
        <v>7</v>
      </c>
      <c r="E1336" s="198">
        <v>242.111064</v>
      </c>
      <c r="F1336" s="197" t="s">
        <v>227</v>
      </c>
      <c r="G1336" s="199" t="s">
        <v>1314</v>
      </c>
      <c r="H1336" s="200">
        <v>0.42</v>
      </c>
      <c r="I1336" s="200">
        <v>0.95499999999999996</v>
      </c>
      <c r="J1336" s="200">
        <v>0.56499999999999995</v>
      </c>
      <c r="K1336" s="199" t="s">
        <v>229</v>
      </c>
      <c r="L1336" s="200"/>
      <c r="M1336" s="200"/>
      <c r="N1336" s="197"/>
    </row>
    <row r="1337" spans="1:14">
      <c r="A1337" s="262"/>
      <c r="B1337" s="262"/>
      <c r="C1337" s="197">
        <v>21</v>
      </c>
      <c r="D1337" s="262"/>
      <c r="E1337" s="198">
        <v>244.095932</v>
      </c>
      <c r="F1337" s="197"/>
      <c r="G1337" s="199" t="s">
        <v>1315</v>
      </c>
      <c r="H1337" s="200"/>
      <c r="I1337" s="200"/>
      <c r="J1337" s="200"/>
      <c r="K1337" s="199"/>
      <c r="L1337" s="200"/>
      <c r="M1337" s="200"/>
      <c r="N1337" s="197"/>
    </row>
    <row r="1338" spans="1:14">
      <c r="A1338" s="262"/>
      <c r="B1338" s="262"/>
      <c r="C1338" s="197">
        <v>22</v>
      </c>
      <c r="D1338" s="261">
        <v>8</v>
      </c>
      <c r="E1338" s="198">
        <v>0</v>
      </c>
      <c r="F1338" s="197" t="s">
        <v>227</v>
      </c>
      <c r="G1338" s="199" t="s">
        <v>1316</v>
      </c>
      <c r="H1338" s="200">
        <v>0.46500000000000002</v>
      </c>
      <c r="I1338" s="200">
        <v>0.995</v>
      </c>
      <c r="J1338" s="200">
        <v>0.55000000000000004</v>
      </c>
      <c r="K1338" s="199" t="s">
        <v>229</v>
      </c>
      <c r="L1338" s="200"/>
      <c r="M1338" s="200"/>
      <c r="N1338" s="197"/>
    </row>
    <row r="1339" spans="1:14">
      <c r="A1339" s="262"/>
      <c r="B1339" s="262"/>
      <c r="C1339" s="197">
        <v>23</v>
      </c>
      <c r="D1339" s="262"/>
      <c r="E1339" s="198">
        <v>0</v>
      </c>
      <c r="F1339" s="197" t="s">
        <v>227</v>
      </c>
      <c r="G1339" s="199" t="s">
        <v>1277</v>
      </c>
      <c r="H1339" s="200"/>
      <c r="I1339" s="200"/>
      <c r="J1339" s="200"/>
      <c r="K1339" s="199"/>
      <c r="L1339" s="200"/>
      <c r="M1339" s="200"/>
      <c r="N1339" s="197"/>
    </row>
    <row r="1340" spans="1:14">
      <c r="A1340" s="262"/>
      <c r="B1340" s="262"/>
      <c r="C1340" s="197">
        <v>24</v>
      </c>
      <c r="D1340" s="262"/>
      <c r="E1340" s="198">
        <v>0</v>
      </c>
      <c r="F1340" s="197" t="s">
        <v>227</v>
      </c>
      <c r="G1340" s="199" t="s">
        <v>1278</v>
      </c>
      <c r="H1340" s="200"/>
      <c r="I1340" s="200"/>
      <c r="J1340" s="200"/>
      <c r="K1340" s="199"/>
      <c r="L1340" s="200"/>
      <c r="M1340" s="200"/>
      <c r="N1340" s="197"/>
    </row>
    <row r="1341" spans="1:14">
      <c r="A1341" s="262"/>
      <c r="B1341" s="262"/>
      <c r="C1341" s="197">
        <v>25</v>
      </c>
      <c r="D1341" s="262"/>
      <c r="E1341" s="198">
        <v>0</v>
      </c>
      <c r="F1341" s="197" t="s">
        <v>227</v>
      </c>
      <c r="G1341" s="199" t="s">
        <v>1052</v>
      </c>
      <c r="H1341" s="200"/>
      <c r="I1341" s="200"/>
      <c r="J1341" s="200"/>
      <c r="K1341" s="199"/>
      <c r="L1341" s="200"/>
      <c r="M1341" s="200"/>
      <c r="N1341" s="197"/>
    </row>
    <row r="1342" spans="1:14">
      <c r="A1342" s="262"/>
      <c r="B1342" s="262"/>
      <c r="C1342" s="197">
        <v>26</v>
      </c>
      <c r="D1342" s="262"/>
      <c r="E1342" s="198">
        <v>238.64062300000001</v>
      </c>
      <c r="F1342" s="197"/>
      <c r="G1342" s="199" t="s">
        <v>1317</v>
      </c>
      <c r="H1342" s="200"/>
      <c r="I1342" s="200"/>
      <c r="J1342" s="200"/>
      <c r="K1342" s="199"/>
      <c r="L1342" s="200"/>
      <c r="M1342" s="200"/>
      <c r="N1342" s="197"/>
    </row>
    <row r="1343" spans="1:14">
      <c r="A1343" s="262"/>
      <c r="B1343" s="262"/>
      <c r="C1343" s="197">
        <v>27</v>
      </c>
      <c r="D1343" s="261">
        <v>9</v>
      </c>
      <c r="E1343" s="198">
        <v>805.19665499999996</v>
      </c>
      <c r="F1343" s="197" t="s">
        <v>281</v>
      </c>
      <c r="G1343" s="199" t="s">
        <v>1318</v>
      </c>
      <c r="H1343" s="200">
        <v>0.47499999999999998</v>
      </c>
      <c r="I1343" s="200">
        <v>1.0049999999999999</v>
      </c>
      <c r="J1343" s="200">
        <v>0.55000000000000004</v>
      </c>
      <c r="K1343" s="199" t="s">
        <v>229</v>
      </c>
      <c r="L1343" s="200"/>
      <c r="M1343" s="200"/>
      <c r="N1343" s="197"/>
    </row>
    <row r="1344" spans="1:14">
      <c r="A1344" s="262"/>
      <c r="B1344" s="262"/>
      <c r="C1344" s="197">
        <v>28</v>
      </c>
      <c r="D1344" s="262"/>
      <c r="E1344" s="198">
        <v>320.86966899999999</v>
      </c>
      <c r="F1344" s="197"/>
      <c r="G1344" s="199" t="s">
        <v>1319</v>
      </c>
      <c r="H1344" s="200"/>
      <c r="I1344" s="200"/>
      <c r="J1344" s="200"/>
      <c r="K1344" s="199"/>
      <c r="L1344" s="200"/>
      <c r="M1344" s="200"/>
      <c r="N1344" s="197"/>
    </row>
    <row r="1345" spans="1:14">
      <c r="A1345" s="262"/>
      <c r="B1345" s="262"/>
      <c r="C1345" s="197">
        <v>29</v>
      </c>
      <c r="D1345" s="261">
        <v>10</v>
      </c>
      <c r="E1345" s="198">
        <v>239.13475299999999</v>
      </c>
      <c r="F1345" s="197" t="s">
        <v>227</v>
      </c>
      <c r="G1345" s="199" t="s">
        <v>1320</v>
      </c>
      <c r="H1345" s="200">
        <v>0.47</v>
      </c>
      <c r="I1345" s="200">
        <v>0.995</v>
      </c>
      <c r="J1345" s="200">
        <v>0.57499999999999996</v>
      </c>
      <c r="K1345" s="199" t="s">
        <v>229</v>
      </c>
      <c r="L1345" s="200"/>
      <c r="M1345" s="200"/>
      <c r="N1345" s="197"/>
    </row>
    <row r="1346" spans="1:14">
      <c r="A1346" s="262"/>
      <c r="B1346" s="262"/>
      <c r="C1346" s="197">
        <v>30</v>
      </c>
      <c r="D1346" s="262"/>
      <c r="E1346" s="198">
        <v>245.41499899999999</v>
      </c>
      <c r="F1346" s="197"/>
      <c r="G1346" s="199" t="s">
        <v>1321</v>
      </c>
      <c r="H1346" s="200"/>
      <c r="I1346" s="200"/>
      <c r="J1346" s="200"/>
      <c r="K1346" s="199"/>
      <c r="L1346" s="200"/>
      <c r="M1346" s="200"/>
      <c r="N1346" s="197"/>
    </row>
    <row r="1347" spans="1:14">
      <c r="A1347" s="262"/>
      <c r="B1347" s="262"/>
      <c r="C1347" s="197">
        <v>31</v>
      </c>
      <c r="D1347" s="261">
        <v>11</v>
      </c>
      <c r="E1347" s="198">
        <v>490.484849</v>
      </c>
      <c r="F1347" s="197" t="s">
        <v>227</v>
      </c>
      <c r="G1347" s="199" t="s">
        <v>1322</v>
      </c>
      <c r="H1347" s="200">
        <v>0.46</v>
      </c>
      <c r="I1347" s="200">
        <v>1</v>
      </c>
      <c r="J1347" s="200">
        <v>0.54500000000000004</v>
      </c>
      <c r="K1347" s="199" t="s">
        <v>229</v>
      </c>
      <c r="L1347" s="200"/>
      <c r="M1347" s="200"/>
      <c r="N1347" s="197"/>
    </row>
    <row r="1348" spans="1:14">
      <c r="A1348" s="262"/>
      <c r="B1348" s="262"/>
      <c r="C1348" s="197">
        <v>32</v>
      </c>
      <c r="D1348" s="262"/>
      <c r="E1348" s="198">
        <v>478.06576899999999</v>
      </c>
      <c r="F1348" s="197"/>
      <c r="G1348" s="199" t="s">
        <v>1323</v>
      </c>
      <c r="H1348" s="200"/>
      <c r="I1348" s="200"/>
      <c r="J1348" s="200"/>
      <c r="K1348" s="199"/>
      <c r="L1348" s="200"/>
      <c r="M1348" s="200"/>
      <c r="N1348" s="197"/>
    </row>
    <row r="1349" spans="1:14">
      <c r="A1349" s="262"/>
      <c r="B1349" s="262"/>
      <c r="C1349" s="197">
        <v>33</v>
      </c>
      <c r="D1349" s="261">
        <v>12</v>
      </c>
      <c r="E1349" s="198">
        <v>0</v>
      </c>
      <c r="F1349" s="197" t="s">
        <v>227</v>
      </c>
      <c r="G1349" s="199" t="s">
        <v>1324</v>
      </c>
      <c r="H1349" s="200">
        <v>0.44500000000000001</v>
      </c>
      <c r="I1349" s="200">
        <v>1.0049999999999999</v>
      </c>
      <c r="J1349" s="200">
        <v>0.56499999999999995</v>
      </c>
      <c r="K1349" s="199" t="s">
        <v>229</v>
      </c>
      <c r="L1349" s="200"/>
      <c r="M1349" s="200"/>
      <c r="N1349" s="197"/>
    </row>
    <row r="1350" spans="1:14">
      <c r="A1350" s="262"/>
      <c r="B1350" s="262"/>
      <c r="C1350" s="197">
        <v>34</v>
      </c>
      <c r="D1350" s="262"/>
      <c r="E1350" s="198">
        <v>0</v>
      </c>
      <c r="F1350" s="197" t="s">
        <v>227</v>
      </c>
      <c r="G1350" s="199" t="s">
        <v>1286</v>
      </c>
      <c r="H1350" s="200"/>
      <c r="I1350" s="200"/>
      <c r="J1350" s="200"/>
      <c r="K1350" s="199"/>
      <c r="L1350" s="200"/>
      <c r="M1350" s="200"/>
      <c r="N1350" s="197"/>
    </row>
    <row r="1351" spans="1:14">
      <c r="A1351" s="262"/>
      <c r="B1351" s="262"/>
      <c r="C1351" s="197">
        <v>35</v>
      </c>
      <c r="D1351" s="262"/>
      <c r="E1351" s="198">
        <v>320.01304399999998</v>
      </c>
      <c r="F1351" s="197"/>
      <c r="G1351" s="199" t="s">
        <v>1325</v>
      </c>
      <c r="H1351" s="200"/>
      <c r="I1351" s="200"/>
      <c r="J1351" s="200"/>
      <c r="K1351" s="199"/>
      <c r="L1351" s="200"/>
      <c r="M1351" s="200"/>
      <c r="N1351" s="197"/>
    </row>
    <row r="1352" spans="1:14">
      <c r="A1352" s="262"/>
      <c r="B1352" s="262"/>
      <c r="C1352" s="197">
        <v>36</v>
      </c>
      <c r="D1352" s="262"/>
      <c r="E1352" s="198">
        <v>318.79087199999998</v>
      </c>
      <c r="F1352" s="197"/>
      <c r="G1352" s="199" t="s">
        <v>1326</v>
      </c>
      <c r="H1352" s="200"/>
      <c r="I1352" s="200"/>
      <c r="J1352" s="200"/>
      <c r="K1352" s="199"/>
      <c r="L1352" s="200"/>
      <c r="M1352" s="200"/>
      <c r="N1352" s="197"/>
    </row>
    <row r="1353" spans="1:14">
      <c r="A1353" s="262"/>
      <c r="B1353" s="262"/>
      <c r="C1353" s="197">
        <v>37</v>
      </c>
      <c r="D1353" s="262"/>
      <c r="E1353" s="198">
        <v>317.02327000000002</v>
      </c>
      <c r="F1353" s="197"/>
      <c r="G1353" s="199" t="s">
        <v>1327</v>
      </c>
      <c r="H1353" s="200"/>
      <c r="I1353" s="200"/>
      <c r="J1353" s="200"/>
      <c r="K1353" s="199"/>
      <c r="L1353" s="200"/>
      <c r="M1353" s="200"/>
      <c r="N1353" s="197"/>
    </row>
    <row r="1354" spans="1:14">
      <c r="A1354" s="262"/>
      <c r="B1354" s="262"/>
      <c r="C1354" s="197">
        <v>38</v>
      </c>
      <c r="D1354" s="261">
        <v>13</v>
      </c>
      <c r="E1354" s="198">
        <v>366.38970899999998</v>
      </c>
      <c r="F1354" s="197" t="s">
        <v>227</v>
      </c>
      <c r="G1354" s="199" t="s">
        <v>1328</v>
      </c>
      <c r="H1354" s="200">
        <v>0.45500000000000002</v>
      </c>
      <c r="I1354" s="200">
        <v>1.0049999999999999</v>
      </c>
      <c r="J1354" s="200">
        <v>0.54</v>
      </c>
      <c r="K1354" s="199" t="s">
        <v>229</v>
      </c>
      <c r="L1354" s="200"/>
      <c r="M1354" s="200"/>
      <c r="N1354" s="197"/>
    </row>
    <row r="1355" spans="1:14">
      <c r="A1355" s="262"/>
      <c r="B1355" s="262"/>
      <c r="C1355" s="197">
        <v>39</v>
      </c>
      <c r="D1355" s="262"/>
      <c r="E1355" s="198">
        <v>363.05699800000002</v>
      </c>
      <c r="F1355" s="197"/>
      <c r="G1355" s="199" t="s">
        <v>1329</v>
      </c>
      <c r="H1355" s="200"/>
      <c r="I1355" s="200"/>
      <c r="J1355" s="200"/>
      <c r="K1355" s="199"/>
      <c r="L1355" s="200"/>
      <c r="M1355" s="200"/>
      <c r="N1355" s="197"/>
    </row>
    <row r="1356" spans="1:14">
      <c r="A1356" s="262"/>
      <c r="B1356" s="262"/>
      <c r="C1356" s="197">
        <v>40</v>
      </c>
      <c r="D1356" s="261">
        <v>14</v>
      </c>
      <c r="E1356" s="198">
        <v>320.49431399999997</v>
      </c>
      <c r="F1356" s="197" t="s">
        <v>227</v>
      </c>
      <c r="G1356" s="199" t="s">
        <v>1330</v>
      </c>
      <c r="H1356" s="200">
        <v>0.43</v>
      </c>
      <c r="I1356" s="200">
        <v>1.0900000000000001</v>
      </c>
      <c r="J1356" s="200">
        <v>0.49</v>
      </c>
      <c r="K1356" s="199" t="s">
        <v>229</v>
      </c>
      <c r="L1356" s="200"/>
      <c r="M1356" s="200"/>
      <c r="N1356" s="197"/>
    </row>
    <row r="1357" spans="1:14">
      <c r="A1357" s="262"/>
      <c r="B1357" s="262"/>
      <c r="C1357" s="197">
        <v>41</v>
      </c>
      <c r="D1357" s="262"/>
      <c r="E1357" s="198">
        <v>323.58729299999999</v>
      </c>
      <c r="F1357" s="197"/>
      <c r="G1357" s="199" t="s">
        <v>1331</v>
      </c>
      <c r="H1357" s="200"/>
      <c r="I1357" s="200"/>
      <c r="J1357" s="200"/>
      <c r="K1357" s="199"/>
      <c r="L1357" s="200"/>
      <c r="M1357" s="200"/>
      <c r="N1357" s="197"/>
    </row>
    <row r="1358" spans="1:14">
      <c r="A1358" s="262"/>
      <c r="B1358" s="262"/>
      <c r="C1358" s="197">
        <v>42</v>
      </c>
      <c r="D1358" s="261">
        <v>15</v>
      </c>
      <c r="E1358" s="198">
        <v>244.095932</v>
      </c>
      <c r="F1358" s="197" t="s">
        <v>227</v>
      </c>
      <c r="G1358" s="199" t="s">
        <v>1332</v>
      </c>
      <c r="H1358" s="200">
        <v>0.45500000000000002</v>
      </c>
      <c r="I1358" s="200">
        <v>0.99</v>
      </c>
      <c r="J1358" s="200">
        <v>0.52500000000000002</v>
      </c>
      <c r="K1358" s="199" t="s">
        <v>229</v>
      </c>
      <c r="L1358" s="200"/>
      <c r="M1358" s="200"/>
      <c r="N1358" s="197"/>
    </row>
    <row r="1359" spans="1:14">
      <c r="A1359" s="262"/>
      <c r="B1359" s="262"/>
      <c r="C1359" s="197">
        <v>43</v>
      </c>
      <c r="D1359" s="262"/>
      <c r="E1359" s="198">
        <v>242.97520399999999</v>
      </c>
      <c r="F1359" s="197"/>
      <c r="G1359" s="199" t="s">
        <v>1333</v>
      </c>
      <c r="H1359" s="200"/>
      <c r="I1359" s="200"/>
      <c r="J1359" s="200"/>
      <c r="K1359" s="199"/>
      <c r="L1359" s="200"/>
      <c r="M1359" s="200"/>
      <c r="N1359" s="197"/>
    </row>
    <row r="1360" spans="1:14">
      <c r="A1360" s="262"/>
      <c r="B1360" s="262"/>
      <c r="C1360" s="197">
        <v>44</v>
      </c>
      <c r="D1360" s="261">
        <v>16</v>
      </c>
      <c r="E1360" s="198">
        <v>0</v>
      </c>
      <c r="F1360" s="197" t="s">
        <v>227</v>
      </c>
      <c r="G1360" s="199" t="s">
        <v>1296</v>
      </c>
      <c r="H1360" s="200">
        <v>0.54500000000000004</v>
      </c>
      <c r="I1360" s="200">
        <v>0.995</v>
      </c>
      <c r="J1360" s="200">
        <v>0.53500000000000003</v>
      </c>
      <c r="K1360" s="199" t="s">
        <v>229</v>
      </c>
      <c r="L1360" s="200"/>
      <c r="M1360" s="200"/>
      <c r="N1360" s="197"/>
    </row>
    <row r="1361" spans="1:14">
      <c r="A1361" s="262"/>
      <c r="B1361" s="262"/>
      <c r="C1361" s="197">
        <v>45</v>
      </c>
      <c r="D1361" s="262"/>
      <c r="E1361" s="198">
        <v>0</v>
      </c>
      <c r="F1361" s="197" t="s">
        <v>227</v>
      </c>
      <c r="G1361" s="199" t="s">
        <v>1297</v>
      </c>
      <c r="H1361" s="200"/>
      <c r="I1361" s="200"/>
      <c r="J1361" s="200"/>
      <c r="K1361" s="199"/>
      <c r="L1361" s="200"/>
      <c r="M1361" s="200"/>
      <c r="N1361" s="197"/>
    </row>
    <row r="1362" spans="1:14">
      <c r="A1362" s="262"/>
      <c r="B1362" s="262"/>
      <c r="C1362" s="197">
        <v>46</v>
      </c>
      <c r="D1362" s="262"/>
      <c r="E1362" s="198">
        <v>0</v>
      </c>
      <c r="F1362" s="197" t="s">
        <v>227</v>
      </c>
      <c r="G1362" s="199" t="s">
        <v>1298</v>
      </c>
      <c r="H1362" s="200"/>
      <c r="I1362" s="200"/>
      <c r="J1362" s="200"/>
      <c r="K1362" s="199"/>
      <c r="L1362" s="200"/>
      <c r="M1362" s="200"/>
      <c r="N1362" s="197"/>
    </row>
    <row r="1363" spans="1:14">
      <c r="A1363" s="262"/>
      <c r="B1363" s="262"/>
      <c r="C1363" s="197">
        <v>47</v>
      </c>
      <c r="D1363" s="262"/>
      <c r="E1363" s="198">
        <v>0</v>
      </c>
      <c r="F1363" s="197" t="s">
        <v>227</v>
      </c>
      <c r="G1363" s="199" t="s">
        <v>608</v>
      </c>
      <c r="H1363" s="200"/>
      <c r="I1363" s="200"/>
      <c r="J1363" s="200"/>
      <c r="K1363" s="199"/>
      <c r="L1363" s="200"/>
      <c r="M1363" s="200"/>
      <c r="N1363" s="197"/>
    </row>
    <row r="1364" spans="1:14">
      <c r="A1364" s="262"/>
      <c r="B1364" s="262"/>
      <c r="C1364" s="197">
        <v>48</v>
      </c>
      <c r="D1364" s="262"/>
      <c r="E1364" s="198">
        <v>0</v>
      </c>
      <c r="F1364" s="197" t="s">
        <v>227</v>
      </c>
      <c r="G1364" s="199" t="s">
        <v>1334</v>
      </c>
      <c r="H1364" s="200"/>
      <c r="I1364" s="200"/>
      <c r="J1364" s="200"/>
      <c r="K1364" s="199"/>
      <c r="L1364" s="200"/>
      <c r="M1364" s="200"/>
      <c r="N1364" s="197"/>
    </row>
    <row r="1365" spans="1:14">
      <c r="A1365" s="262"/>
      <c r="B1365" s="262"/>
      <c r="C1365" s="197">
        <v>49</v>
      </c>
      <c r="D1365" s="262"/>
      <c r="E1365" s="198">
        <v>0</v>
      </c>
      <c r="F1365" s="197" t="s">
        <v>227</v>
      </c>
      <c r="G1365" s="199" t="s">
        <v>1335</v>
      </c>
      <c r="H1365" s="200"/>
      <c r="I1365" s="200"/>
      <c r="J1365" s="200"/>
      <c r="K1365" s="199"/>
      <c r="L1365" s="200"/>
      <c r="M1365" s="200"/>
      <c r="N1365" s="197"/>
    </row>
    <row r="1366" spans="1:14">
      <c r="A1366" s="262"/>
      <c r="B1366" s="262"/>
      <c r="C1366" s="197">
        <v>50</v>
      </c>
      <c r="D1366" s="262"/>
      <c r="E1366" s="198">
        <v>0</v>
      </c>
      <c r="F1366" s="197" t="s">
        <v>227</v>
      </c>
      <c r="G1366" s="199" t="s">
        <v>611</v>
      </c>
      <c r="H1366" s="200"/>
      <c r="I1366" s="200"/>
      <c r="J1366" s="200"/>
      <c r="K1366" s="199"/>
      <c r="L1366" s="200"/>
      <c r="M1366" s="200"/>
      <c r="N1366" s="197"/>
    </row>
    <row r="1367" spans="1:14">
      <c r="A1367" s="262"/>
      <c r="B1367" s="262"/>
      <c r="C1367" s="197">
        <v>51</v>
      </c>
      <c r="D1367" s="262"/>
      <c r="E1367" s="198">
        <v>0</v>
      </c>
      <c r="F1367" s="197" t="s">
        <v>227</v>
      </c>
      <c r="G1367" s="199" t="s">
        <v>612</v>
      </c>
      <c r="H1367" s="200"/>
      <c r="I1367" s="200"/>
      <c r="J1367" s="200"/>
      <c r="K1367" s="199"/>
      <c r="L1367" s="200"/>
      <c r="M1367" s="200"/>
      <c r="N1367" s="197"/>
    </row>
    <row r="1368" spans="1:14">
      <c r="A1368" s="261" t="s">
        <v>1336</v>
      </c>
      <c r="B1368" s="261">
        <v>4</v>
      </c>
      <c r="C1368" s="197">
        <v>1</v>
      </c>
      <c r="D1368" s="261">
        <v>1</v>
      </c>
      <c r="E1368" s="198">
        <v>0</v>
      </c>
      <c r="F1368" s="197" t="s">
        <v>227</v>
      </c>
      <c r="G1368" s="199" t="s">
        <v>228</v>
      </c>
      <c r="H1368" s="200">
        <v>0.60499999999999998</v>
      </c>
      <c r="I1368" s="200">
        <v>1.02</v>
      </c>
      <c r="J1368" s="200">
        <v>0.505</v>
      </c>
      <c r="K1368" s="199" t="s">
        <v>229</v>
      </c>
      <c r="L1368" s="200">
        <v>5.1169906927802801E-2</v>
      </c>
      <c r="M1368" s="200"/>
      <c r="N1368" s="197"/>
    </row>
    <row r="1369" spans="1:14">
      <c r="A1369" s="262"/>
      <c r="B1369" s="262"/>
      <c r="C1369" s="197">
        <v>2</v>
      </c>
      <c r="D1369" s="262"/>
      <c r="E1369" s="198">
        <v>373.72882099999998</v>
      </c>
      <c r="F1369" s="197"/>
      <c r="G1369" s="199" t="s">
        <v>1337</v>
      </c>
      <c r="H1369" s="200"/>
      <c r="I1369" s="200"/>
      <c r="J1369" s="200"/>
      <c r="K1369" s="199"/>
      <c r="L1369" s="200">
        <v>3.9745282738961607E-2</v>
      </c>
      <c r="M1369" s="200"/>
      <c r="N1369" s="197"/>
    </row>
    <row r="1370" spans="1:14">
      <c r="A1370" s="262"/>
      <c r="B1370" s="262"/>
      <c r="C1370" s="197">
        <v>3</v>
      </c>
      <c r="D1370" s="261">
        <v>2</v>
      </c>
      <c r="E1370" s="198">
        <v>406.18420400000002</v>
      </c>
      <c r="F1370" s="197" t="s">
        <v>227</v>
      </c>
      <c r="G1370" s="199" t="s">
        <v>1338</v>
      </c>
      <c r="H1370" s="200">
        <v>0.755</v>
      </c>
      <c r="I1370" s="200">
        <v>0.89500000000000002</v>
      </c>
      <c r="J1370" s="200">
        <v>0.51500000000000001</v>
      </c>
      <c r="K1370" s="199" t="s">
        <v>229</v>
      </c>
      <c r="L1370" s="200">
        <v>3.9989012162717906E-2</v>
      </c>
      <c r="M1370" s="200"/>
      <c r="N1370" s="197"/>
    </row>
    <row r="1371" spans="1:14">
      <c r="A1371" s="262"/>
      <c r="B1371" s="262"/>
      <c r="C1371" s="197">
        <v>4</v>
      </c>
      <c r="D1371" s="262"/>
      <c r="E1371" s="198">
        <v>406.92064599999998</v>
      </c>
      <c r="F1371" s="197"/>
      <c r="G1371" s="199" t="s">
        <v>1339</v>
      </c>
      <c r="H1371" s="200"/>
      <c r="I1371" s="200"/>
      <c r="J1371" s="200"/>
      <c r="K1371" s="199"/>
      <c r="L1371" s="200"/>
      <c r="M1371" s="200" t="s">
        <v>233</v>
      </c>
      <c r="N1371" s="197" t="s">
        <v>1340</v>
      </c>
    </row>
    <row r="1372" spans="1:14">
      <c r="A1372" s="262"/>
      <c r="B1372" s="262"/>
      <c r="C1372" s="197">
        <v>5</v>
      </c>
      <c r="D1372" s="261">
        <v>3</v>
      </c>
      <c r="E1372" s="198">
        <v>352.23397699999998</v>
      </c>
      <c r="F1372" s="197" t="s">
        <v>227</v>
      </c>
      <c r="G1372" s="199" t="s">
        <v>1341</v>
      </c>
      <c r="H1372" s="200">
        <v>0.64</v>
      </c>
      <c r="I1372" s="200">
        <v>1</v>
      </c>
      <c r="J1372" s="200">
        <v>0.435</v>
      </c>
      <c r="K1372" s="199" t="s">
        <v>229</v>
      </c>
      <c r="L1372" s="200"/>
      <c r="M1372" s="200"/>
      <c r="N1372" s="197"/>
    </row>
    <row r="1373" spans="1:14">
      <c r="A1373" s="262"/>
      <c r="B1373" s="262"/>
      <c r="C1373" s="197">
        <v>6</v>
      </c>
      <c r="D1373" s="262"/>
      <c r="E1373" s="198">
        <v>357.70544799999999</v>
      </c>
      <c r="F1373" s="197"/>
      <c r="G1373" s="199" t="s">
        <v>1342</v>
      </c>
      <c r="H1373" s="200"/>
      <c r="I1373" s="200"/>
      <c r="J1373" s="200"/>
      <c r="K1373" s="199"/>
      <c r="L1373" s="200"/>
      <c r="M1373" s="200"/>
      <c r="N1373" s="197"/>
    </row>
    <row r="1374" spans="1:14">
      <c r="A1374" s="262"/>
      <c r="B1374" s="262"/>
      <c r="C1374" s="197">
        <v>7</v>
      </c>
      <c r="D1374" s="261">
        <v>4</v>
      </c>
      <c r="E1374" s="198">
        <v>359.07268199999999</v>
      </c>
      <c r="F1374" s="197" t="s">
        <v>227</v>
      </c>
      <c r="G1374" s="199" t="s">
        <v>1343</v>
      </c>
      <c r="H1374" s="200">
        <v>0.53500000000000003</v>
      </c>
      <c r="I1374" s="200">
        <v>0.99</v>
      </c>
      <c r="J1374" s="200">
        <v>0.44</v>
      </c>
      <c r="K1374" s="199" t="s">
        <v>229</v>
      </c>
      <c r="L1374" s="200"/>
      <c r="M1374" s="200"/>
      <c r="N1374" s="197"/>
    </row>
    <row r="1375" spans="1:14">
      <c r="A1375" s="262"/>
      <c r="B1375" s="262"/>
      <c r="C1375" s="197">
        <v>8</v>
      </c>
      <c r="D1375" s="262"/>
      <c r="E1375" s="198">
        <v>0</v>
      </c>
      <c r="F1375" s="197" t="s">
        <v>227</v>
      </c>
      <c r="G1375" s="199" t="s">
        <v>1344</v>
      </c>
      <c r="H1375" s="200"/>
      <c r="I1375" s="200"/>
      <c r="J1375" s="200"/>
      <c r="K1375" s="199"/>
      <c r="L1375" s="200"/>
      <c r="M1375" s="200"/>
      <c r="N1375" s="197"/>
    </row>
    <row r="1376" spans="1:14">
      <c r="A1376" s="262"/>
      <c r="B1376" s="262"/>
      <c r="C1376" s="197">
        <v>9</v>
      </c>
      <c r="D1376" s="262"/>
      <c r="E1376" s="198">
        <v>0</v>
      </c>
      <c r="F1376" s="197" t="s">
        <v>227</v>
      </c>
      <c r="G1376" s="199" t="s">
        <v>622</v>
      </c>
      <c r="H1376" s="200"/>
      <c r="I1376" s="200"/>
      <c r="J1376" s="200"/>
      <c r="K1376" s="199"/>
      <c r="L1376" s="200"/>
      <c r="M1376" s="200"/>
      <c r="N1376" s="197"/>
    </row>
    <row r="1377" spans="1:14">
      <c r="A1377" s="262"/>
      <c r="B1377" s="262"/>
      <c r="C1377" s="197">
        <v>10</v>
      </c>
      <c r="D1377" s="262"/>
      <c r="E1377" s="198">
        <v>0</v>
      </c>
      <c r="F1377" s="197" t="s">
        <v>227</v>
      </c>
      <c r="G1377" s="199" t="s">
        <v>623</v>
      </c>
      <c r="H1377" s="200"/>
      <c r="I1377" s="200"/>
      <c r="J1377" s="200"/>
      <c r="K1377" s="199"/>
      <c r="L1377" s="200"/>
      <c r="M1377" s="200"/>
      <c r="N1377" s="197"/>
    </row>
    <row r="1378" spans="1:14">
      <c r="A1378" s="262"/>
      <c r="B1378" s="262"/>
      <c r="C1378" s="197">
        <v>11</v>
      </c>
      <c r="D1378" s="262"/>
      <c r="E1378" s="198">
        <v>0</v>
      </c>
      <c r="F1378" s="197" t="s">
        <v>227</v>
      </c>
      <c r="G1378" s="199" t="s">
        <v>572</v>
      </c>
      <c r="H1378" s="200"/>
      <c r="I1378" s="200"/>
      <c r="J1378" s="200"/>
      <c r="K1378" s="199"/>
      <c r="L1378" s="200"/>
      <c r="M1378" s="200"/>
      <c r="N1378" s="197"/>
    </row>
    <row r="1379" spans="1:14">
      <c r="A1379" s="262"/>
      <c r="B1379" s="262"/>
      <c r="C1379" s="197">
        <v>12</v>
      </c>
      <c r="D1379" s="262"/>
      <c r="E1379" s="198">
        <v>360.17372399999999</v>
      </c>
      <c r="F1379" s="197"/>
      <c r="G1379" s="199" t="s">
        <v>1345</v>
      </c>
      <c r="H1379" s="200"/>
      <c r="I1379" s="200"/>
      <c r="J1379" s="200"/>
      <c r="K1379" s="199"/>
      <c r="L1379" s="200"/>
      <c r="M1379" s="200"/>
      <c r="N1379" s="197"/>
    </row>
    <row r="1380" spans="1:14">
      <c r="A1380" s="262"/>
      <c r="B1380" s="262"/>
      <c r="C1380" s="197">
        <v>13</v>
      </c>
      <c r="D1380" s="262"/>
      <c r="E1380" s="198">
        <v>362.05980399999999</v>
      </c>
      <c r="F1380" s="197"/>
      <c r="G1380" s="199" t="s">
        <v>1346</v>
      </c>
      <c r="H1380" s="200"/>
      <c r="I1380" s="200"/>
      <c r="J1380" s="200"/>
      <c r="K1380" s="199"/>
      <c r="L1380" s="200"/>
      <c r="M1380" s="200"/>
      <c r="N1380" s="197"/>
    </row>
    <row r="1381" spans="1:14">
      <c r="A1381" s="262"/>
      <c r="B1381" s="262"/>
      <c r="C1381" s="197">
        <v>14</v>
      </c>
      <c r="D1381" s="261">
        <v>5</v>
      </c>
      <c r="E1381" s="198">
        <v>361.73753499999998</v>
      </c>
      <c r="F1381" s="197" t="s">
        <v>227</v>
      </c>
      <c r="G1381" s="199" t="s">
        <v>1347</v>
      </c>
      <c r="H1381" s="200">
        <v>0.66</v>
      </c>
      <c r="I1381" s="200">
        <v>1.085</v>
      </c>
      <c r="J1381" s="200">
        <v>0.46</v>
      </c>
      <c r="K1381" s="199" t="s">
        <v>229</v>
      </c>
      <c r="L1381" s="200"/>
      <c r="M1381" s="200"/>
      <c r="N1381" s="197"/>
    </row>
    <row r="1382" spans="1:14">
      <c r="A1382" s="262"/>
      <c r="B1382" s="262"/>
      <c r="C1382" s="197">
        <v>15</v>
      </c>
      <c r="D1382" s="262"/>
      <c r="E1382" s="198">
        <v>361.85686099999998</v>
      </c>
      <c r="F1382" s="197"/>
      <c r="G1382" s="199" t="s">
        <v>1348</v>
      </c>
      <c r="H1382" s="200"/>
      <c r="I1382" s="200"/>
      <c r="J1382" s="200"/>
      <c r="K1382" s="199"/>
      <c r="L1382" s="200"/>
      <c r="M1382" s="200"/>
      <c r="N1382" s="197"/>
    </row>
    <row r="1383" spans="1:14">
      <c r="A1383" s="262"/>
      <c r="B1383" s="262"/>
      <c r="C1383" s="197">
        <v>16</v>
      </c>
      <c r="D1383" s="262"/>
      <c r="E1383" s="198">
        <v>0</v>
      </c>
      <c r="F1383" s="197" t="s">
        <v>227</v>
      </c>
      <c r="G1383" s="199" t="s">
        <v>1349</v>
      </c>
      <c r="H1383" s="200"/>
      <c r="I1383" s="200"/>
      <c r="J1383" s="200"/>
      <c r="K1383" s="199"/>
      <c r="L1383" s="200"/>
      <c r="M1383" s="200"/>
      <c r="N1383" s="197"/>
    </row>
    <row r="1384" spans="1:14">
      <c r="A1384" s="262"/>
      <c r="B1384" s="262"/>
      <c r="C1384" s="197">
        <v>17</v>
      </c>
      <c r="D1384" s="261">
        <v>6</v>
      </c>
      <c r="E1384" s="198">
        <v>314.99262099999999</v>
      </c>
      <c r="F1384" s="197"/>
      <c r="G1384" s="199" t="s">
        <v>1350</v>
      </c>
      <c r="H1384" s="200">
        <v>0.56499999999999995</v>
      </c>
      <c r="I1384" s="200">
        <v>1.07</v>
      </c>
      <c r="J1384" s="200">
        <v>0.41499999999999998</v>
      </c>
      <c r="K1384" s="199" t="s">
        <v>229</v>
      </c>
      <c r="L1384" s="200"/>
      <c r="M1384" s="200"/>
      <c r="N1384" s="197"/>
    </row>
    <row r="1385" spans="1:14">
      <c r="A1385" s="262"/>
      <c r="B1385" s="262"/>
      <c r="C1385" s="197">
        <v>18</v>
      </c>
      <c r="D1385" s="262"/>
      <c r="E1385" s="198">
        <v>320.886124</v>
      </c>
      <c r="F1385" s="197"/>
      <c r="G1385" s="199" t="s">
        <v>1351</v>
      </c>
      <c r="H1385" s="200"/>
      <c r="I1385" s="200"/>
      <c r="J1385" s="200"/>
      <c r="K1385" s="199"/>
      <c r="L1385" s="200"/>
      <c r="M1385" s="200"/>
      <c r="N1385" s="197"/>
    </row>
    <row r="1386" spans="1:14">
      <c r="A1386" s="262"/>
      <c r="B1386" s="262"/>
      <c r="C1386" s="197">
        <v>19</v>
      </c>
      <c r="D1386" s="261">
        <v>7</v>
      </c>
      <c r="E1386" s="198">
        <v>319.758714</v>
      </c>
      <c r="F1386" s="197" t="s">
        <v>227</v>
      </c>
      <c r="G1386" s="199" t="s">
        <v>1352</v>
      </c>
      <c r="H1386" s="200">
        <v>0.57499999999999996</v>
      </c>
      <c r="I1386" s="200">
        <v>1.0249999999999999</v>
      </c>
      <c r="J1386" s="200">
        <v>0.37</v>
      </c>
      <c r="K1386" s="199" t="s">
        <v>229</v>
      </c>
      <c r="L1386" s="200"/>
      <c r="M1386" s="200"/>
      <c r="N1386" s="197"/>
    </row>
    <row r="1387" spans="1:14">
      <c r="A1387" s="262"/>
      <c r="B1387" s="262"/>
      <c r="C1387" s="197">
        <v>20</v>
      </c>
      <c r="D1387" s="262"/>
      <c r="E1387" s="198">
        <v>241.45949100000001</v>
      </c>
      <c r="F1387" s="197"/>
      <c r="G1387" s="199" t="s">
        <v>1353</v>
      </c>
      <c r="H1387" s="200"/>
      <c r="I1387" s="200"/>
      <c r="J1387" s="200"/>
      <c r="K1387" s="199"/>
      <c r="L1387" s="200"/>
      <c r="M1387" s="200"/>
      <c r="N1387" s="197"/>
    </row>
    <row r="1388" spans="1:14">
      <c r="A1388" s="262"/>
      <c r="B1388" s="262"/>
      <c r="C1388" s="197">
        <v>21</v>
      </c>
      <c r="D1388" s="262"/>
      <c r="E1388" s="198">
        <v>240.99705399999999</v>
      </c>
      <c r="F1388" s="197"/>
      <c r="G1388" s="199" t="s">
        <v>1354</v>
      </c>
      <c r="H1388" s="200"/>
      <c r="I1388" s="200"/>
      <c r="J1388" s="200"/>
      <c r="K1388" s="199"/>
      <c r="L1388" s="200"/>
      <c r="M1388" s="200"/>
      <c r="N1388" s="197"/>
    </row>
    <row r="1389" spans="1:14">
      <c r="A1389" s="262"/>
      <c r="B1389" s="262"/>
      <c r="C1389" s="197">
        <v>22</v>
      </c>
      <c r="D1389" s="261">
        <v>8</v>
      </c>
      <c r="E1389" s="198">
        <v>0</v>
      </c>
      <c r="F1389" s="197" t="s">
        <v>227</v>
      </c>
      <c r="G1389" s="199" t="s">
        <v>1316</v>
      </c>
      <c r="H1389" s="200">
        <v>0.59499999999999997</v>
      </c>
      <c r="I1389" s="200">
        <v>1.0149999999999999</v>
      </c>
      <c r="J1389" s="200">
        <v>0.41499999999999998</v>
      </c>
      <c r="K1389" s="199" t="s">
        <v>229</v>
      </c>
      <c r="L1389" s="200"/>
      <c r="M1389" s="200"/>
      <c r="N1389" s="197"/>
    </row>
    <row r="1390" spans="1:14">
      <c r="A1390" s="262"/>
      <c r="B1390" s="262"/>
      <c r="C1390" s="197">
        <v>23</v>
      </c>
      <c r="D1390" s="262"/>
      <c r="E1390" s="198">
        <v>240.075378</v>
      </c>
      <c r="F1390" s="197"/>
      <c r="G1390" s="199" t="s">
        <v>1355</v>
      </c>
      <c r="H1390" s="200"/>
      <c r="I1390" s="200"/>
      <c r="J1390" s="200"/>
      <c r="K1390" s="199"/>
      <c r="L1390" s="200"/>
      <c r="M1390" s="200"/>
      <c r="N1390" s="197"/>
    </row>
    <row r="1391" spans="1:14">
      <c r="A1391" s="262"/>
      <c r="B1391" s="262"/>
      <c r="C1391" s="197">
        <v>24</v>
      </c>
      <c r="D1391" s="262"/>
      <c r="E1391" s="198">
        <v>0</v>
      </c>
      <c r="F1391" s="197" t="s">
        <v>227</v>
      </c>
      <c r="G1391" s="199" t="s">
        <v>1278</v>
      </c>
      <c r="H1391" s="200"/>
      <c r="I1391" s="200"/>
      <c r="J1391" s="200"/>
      <c r="K1391" s="199"/>
      <c r="L1391" s="200"/>
      <c r="M1391" s="200"/>
      <c r="N1391" s="197"/>
    </row>
    <row r="1392" spans="1:14">
      <c r="A1392" s="262"/>
      <c r="B1392" s="262"/>
      <c r="C1392" s="197">
        <v>25</v>
      </c>
      <c r="D1392" s="262"/>
      <c r="E1392" s="198">
        <v>0</v>
      </c>
      <c r="F1392" s="197" t="s">
        <v>227</v>
      </c>
      <c r="G1392" s="199" t="s">
        <v>1052</v>
      </c>
      <c r="H1392" s="200"/>
      <c r="I1392" s="200"/>
      <c r="J1392" s="200"/>
      <c r="K1392" s="199"/>
      <c r="L1392" s="200"/>
      <c r="M1392" s="200"/>
      <c r="N1392" s="197"/>
    </row>
    <row r="1393" spans="1:14">
      <c r="A1393" s="262"/>
      <c r="B1393" s="262"/>
      <c r="C1393" s="197">
        <v>26</v>
      </c>
      <c r="D1393" s="262"/>
      <c r="E1393" s="198">
        <v>0</v>
      </c>
      <c r="F1393" s="197" t="s">
        <v>227</v>
      </c>
      <c r="G1393" s="199" t="s">
        <v>587</v>
      </c>
      <c r="H1393" s="200"/>
      <c r="I1393" s="200"/>
      <c r="J1393" s="200"/>
      <c r="K1393" s="199"/>
      <c r="L1393" s="200"/>
      <c r="M1393" s="200"/>
      <c r="N1393" s="197"/>
    </row>
    <row r="1394" spans="1:14">
      <c r="A1394" s="262"/>
      <c r="B1394" s="262"/>
      <c r="C1394" s="197">
        <v>27</v>
      </c>
      <c r="D1394" s="262"/>
      <c r="E1394" s="198">
        <v>0</v>
      </c>
      <c r="F1394" s="197" t="s">
        <v>227</v>
      </c>
      <c r="G1394" s="199" t="s">
        <v>1356</v>
      </c>
      <c r="H1394" s="200"/>
      <c r="I1394" s="200"/>
      <c r="J1394" s="200"/>
      <c r="K1394" s="199"/>
      <c r="L1394" s="200"/>
      <c r="M1394" s="200"/>
      <c r="N1394" s="197"/>
    </row>
    <row r="1395" spans="1:14">
      <c r="A1395" s="262"/>
      <c r="B1395" s="262"/>
      <c r="C1395" s="197">
        <v>28</v>
      </c>
      <c r="D1395" s="262"/>
      <c r="E1395" s="198">
        <v>0</v>
      </c>
      <c r="F1395" s="197" t="s">
        <v>227</v>
      </c>
      <c r="G1395" s="199" t="s">
        <v>1357</v>
      </c>
      <c r="H1395" s="200"/>
      <c r="I1395" s="200"/>
      <c r="J1395" s="200"/>
      <c r="K1395" s="199"/>
      <c r="L1395" s="200"/>
      <c r="M1395" s="200"/>
      <c r="N1395" s="197"/>
    </row>
    <row r="1396" spans="1:14">
      <c r="A1396" s="262"/>
      <c r="B1396" s="262"/>
      <c r="C1396" s="197">
        <v>29</v>
      </c>
      <c r="D1396" s="262"/>
      <c r="E1396" s="198">
        <v>0</v>
      </c>
      <c r="F1396" s="197" t="s">
        <v>227</v>
      </c>
      <c r="G1396" s="199" t="s">
        <v>1358</v>
      </c>
      <c r="H1396" s="200"/>
      <c r="I1396" s="200"/>
      <c r="J1396" s="200"/>
      <c r="K1396" s="199"/>
      <c r="L1396" s="200"/>
      <c r="M1396" s="200"/>
      <c r="N1396" s="197"/>
    </row>
    <row r="1397" spans="1:14">
      <c r="A1397" s="262"/>
      <c r="B1397" s="262"/>
      <c r="C1397" s="197">
        <v>30</v>
      </c>
      <c r="D1397" s="261">
        <v>9</v>
      </c>
      <c r="E1397" s="198">
        <v>313.61428599999999</v>
      </c>
      <c r="F1397" s="197"/>
      <c r="G1397" s="199" t="s">
        <v>1359</v>
      </c>
      <c r="H1397" s="200">
        <v>0.57499999999999996</v>
      </c>
      <c r="I1397" s="200">
        <v>1.0149999999999999</v>
      </c>
      <c r="J1397" s="200">
        <v>0.39500000000000002</v>
      </c>
      <c r="K1397" s="199" t="s">
        <v>229</v>
      </c>
      <c r="L1397" s="200"/>
      <c r="M1397" s="200"/>
      <c r="N1397" s="197"/>
    </row>
    <row r="1398" spans="1:14">
      <c r="A1398" s="262"/>
      <c r="B1398" s="262"/>
      <c r="C1398" s="197">
        <v>31</v>
      </c>
      <c r="D1398" s="262"/>
      <c r="E1398" s="198">
        <v>317.18575700000002</v>
      </c>
      <c r="F1398" s="197"/>
      <c r="G1398" s="199" t="s">
        <v>1360</v>
      </c>
      <c r="H1398" s="200"/>
      <c r="I1398" s="200"/>
      <c r="J1398" s="200"/>
      <c r="K1398" s="199"/>
      <c r="L1398" s="200"/>
      <c r="M1398" s="200"/>
      <c r="N1398" s="197"/>
    </row>
    <row r="1399" spans="1:14">
      <c r="A1399" s="262"/>
      <c r="B1399" s="262"/>
      <c r="C1399" s="197">
        <v>32</v>
      </c>
      <c r="D1399" s="261">
        <v>10</v>
      </c>
      <c r="E1399" s="198">
        <v>239.73994300000001</v>
      </c>
      <c r="F1399" s="197" t="s">
        <v>227</v>
      </c>
      <c r="G1399" s="199" t="s">
        <v>1361</v>
      </c>
      <c r="H1399" s="200">
        <v>0.58499999999999996</v>
      </c>
      <c r="I1399" s="200">
        <v>1.01</v>
      </c>
      <c r="J1399" s="200">
        <v>0.39</v>
      </c>
      <c r="K1399" s="199" t="s">
        <v>229</v>
      </c>
      <c r="L1399" s="200"/>
      <c r="M1399" s="200"/>
      <c r="N1399" s="197"/>
    </row>
    <row r="1400" spans="1:14">
      <c r="A1400" s="262"/>
      <c r="B1400" s="262"/>
      <c r="C1400" s="197">
        <v>33</v>
      </c>
      <c r="D1400" s="262"/>
      <c r="E1400" s="198">
        <v>238.27301299999999</v>
      </c>
      <c r="F1400" s="197"/>
      <c r="G1400" s="199" t="s">
        <v>1362</v>
      </c>
      <c r="H1400" s="200"/>
      <c r="I1400" s="200"/>
      <c r="J1400" s="200"/>
      <c r="K1400" s="199"/>
      <c r="L1400" s="200"/>
      <c r="M1400" s="200"/>
      <c r="N1400" s="197"/>
    </row>
    <row r="1401" spans="1:14">
      <c r="A1401" s="262"/>
      <c r="B1401" s="262"/>
      <c r="C1401" s="197">
        <v>34</v>
      </c>
      <c r="D1401" s="261">
        <v>11</v>
      </c>
      <c r="E1401" s="198">
        <v>0</v>
      </c>
      <c r="F1401" s="197" t="s">
        <v>227</v>
      </c>
      <c r="G1401" s="199" t="s">
        <v>1363</v>
      </c>
      <c r="H1401" s="200">
        <v>0.56499999999999995</v>
      </c>
      <c r="I1401" s="200">
        <v>1</v>
      </c>
      <c r="J1401" s="200">
        <v>0.43</v>
      </c>
      <c r="K1401" s="199" t="s">
        <v>229</v>
      </c>
      <c r="L1401" s="200"/>
      <c r="M1401" s="200"/>
      <c r="N1401" s="197"/>
    </row>
    <row r="1402" spans="1:14">
      <c r="A1402" s="262"/>
      <c r="B1402" s="262"/>
      <c r="C1402" s="197">
        <v>35</v>
      </c>
      <c r="D1402" s="262"/>
      <c r="E1402" s="198">
        <v>409.54681399999998</v>
      </c>
      <c r="F1402" s="197"/>
      <c r="G1402" s="199" t="s">
        <v>1364</v>
      </c>
      <c r="H1402" s="200"/>
      <c r="I1402" s="200"/>
      <c r="J1402" s="200"/>
      <c r="K1402" s="199"/>
      <c r="L1402" s="200"/>
      <c r="M1402" s="200"/>
      <c r="N1402" s="197"/>
    </row>
    <row r="1403" spans="1:14">
      <c r="A1403" s="262"/>
      <c r="B1403" s="262"/>
      <c r="C1403" s="197">
        <v>36</v>
      </c>
      <c r="D1403" s="262"/>
      <c r="E1403" s="198">
        <v>410.614532</v>
      </c>
      <c r="F1403" s="197"/>
      <c r="G1403" s="199" t="s">
        <v>1365</v>
      </c>
      <c r="H1403" s="200"/>
      <c r="I1403" s="200"/>
      <c r="J1403" s="200"/>
      <c r="K1403" s="199"/>
      <c r="L1403" s="200"/>
      <c r="M1403" s="200"/>
      <c r="N1403" s="197"/>
    </row>
    <row r="1404" spans="1:14">
      <c r="A1404" s="262"/>
      <c r="B1404" s="262"/>
      <c r="C1404" s="197">
        <v>37</v>
      </c>
      <c r="D1404" s="261">
        <v>12</v>
      </c>
      <c r="E1404" s="198">
        <v>316.95606600000002</v>
      </c>
      <c r="F1404" s="197" t="s">
        <v>227</v>
      </c>
      <c r="G1404" s="199" t="s">
        <v>1366</v>
      </c>
      <c r="H1404" s="200">
        <v>0.625</v>
      </c>
      <c r="I1404" s="200">
        <v>1.0149999999999999</v>
      </c>
      <c r="J1404" s="200">
        <v>0.43</v>
      </c>
      <c r="K1404" s="199" t="s">
        <v>229</v>
      </c>
      <c r="L1404" s="200"/>
      <c r="M1404" s="200"/>
      <c r="N1404" s="197"/>
    </row>
    <row r="1405" spans="1:14">
      <c r="A1405" s="262"/>
      <c r="B1405" s="262"/>
      <c r="C1405" s="197">
        <v>38</v>
      </c>
      <c r="D1405" s="262"/>
      <c r="E1405" s="198">
        <v>317.53128500000003</v>
      </c>
      <c r="F1405" s="197"/>
      <c r="G1405" s="199" t="s">
        <v>1367</v>
      </c>
      <c r="H1405" s="200"/>
      <c r="I1405" s="200"/>
      <c r="J1405" s="200"/>
      <c r="K1405" s="199"/>
      <c r="L1405" s="200"/>
      <c r="M1405" s="200"/>
      <c r="N1405" s="197"/>
    </row>
    <row r="1406" spans="1:14">
      <c r="A1406" s="262"/>
      <c r="B1406" s="262"/>
      <c r="C1406" s="197">
        <v>39</v>
      </c>
      <c r="D1406" s="262"/>
      <c r="E1406" s="198">
        <v>0</v>
      </c>
      <c r="F1406" s="197" t="s">
        <v>227</v>
      </c>
      <c r="G1406" s="199" t="s">
        <v>1368</v>
      </c>
      <c r="H1406" s="200"/>
      <c r="I1406" s="200"/>
      <c r="J1406" s="200"/>
      <c r="K1406" s="199"/>
      <c r="L1406" s="200"/>
      <c r="M1406" s="200"/>
      <c r="N1406" s="197"/>
    </row>
    <row r="1407" spans="1:14">
      <c r="A1407" s="262"/>
      <c r="B1407" s="262"/>
      <c r="C1407" s="197">
        <v>40</v>
      </c>
      <c r="D1407" s="262"/>
      <c r="E1407" s="198">
        <v>0</v>
      </c>
      <c r="F1407" s="197" t="s">
        <v>227</v>
      </c>
      <c r="G1407" s="199" t="s">
        <v>1369</v>
      </c>
      <c r="H1407" s="200"/>
      <c r="I1407" s="200"/>
      <c r="J1407" s="200"/>
      <c r="K1407" s="199"/>
      <c r="L1407" s="200"/>
      <c r="M1407" s="200"/>
      <c r="N1407" s="197"/>
    </row>
    <row r="1408" spans="1:14">
      <c r="A1408" s="262"/>
      <c r="B1408" s="262"/>
      <c r="C1408" s="197">
        <v>41</v>
      </c>
      <c r="D1408" s="262"/>
      <c r="E1408" s="198">
        <v>317.11593900000003</v>
      </c>
      <c r="F1408" s="197"/>
      <c r="G1408" s="199" t="s">
        <v>1370</v>
      </c>
      <c r="H1408" s="200"/>
      <c r="I1408" s="200"/>
      <c r="J1408" s="200"/>
      <c r="K1408" s="199"/>
      <c r="L1408" s="200"/>
      <c r="M1408" s="200"/>
      <c r="N1408" s="197"/>
    </row>
    <row r="1409" spans="1:14">
      <c r="A1409" s="262"/>
      <c r="B1409" s="262"/>
      <c r="C1409" s="197">
        <v>42</v>
      </c>
      <c r="D1409" s="262"/>
      <c r="E1409" s="198">
        <v>316.984331</v>
      </c>
      <c r="F1409" s="197"/>
      <c r="G1409" s="199" t="s">
        <v>1371</v>
      </c>
      <c r="H1409" s="200"/>
      <c r="I1409" s="200"/>
      <c r="J1409" s="200"/>
      <c r="K1409" s="199"/>
      <c r="L1409" s="200"/>
      <c r="M1409" s="200"/>
      <c r="N1409" s="197"/>
    </row>
    <row r="1410" spans="1:14">
      <c r="A1410" s="262"/>
      <c r="B1410" s="262"/>
      <c r="C1410" s="197">
        <v>43</v>
      </c>
      <c r="D1410" s="261">
        <v>13</v>
      </c>
      <c r="E1410" s="198">
        <v>317.63425999999998</v>
      </c>
      <c r="F1410" s="197" t="s">
        <v>227</v>
      </c>
      <c r="G1410" s="199" t="s">
        <v>1372</v>
      </c>
      <c r="H1410" s="200">
        <v>0.64</v>
      </c>
      <c r="I1410" s="200">
        <v>1.0549999999999999</v>
      </c>
      <c r="J1410" s="200">
        <v>0.44500000000000001</v>
      </c>
      <c r="K1410" s="199" t="s">
        <v>229</v>
      </c>
      <c r="L1410" s="200"/>
      <c r="M1410" s="200"/>
      <c r="N1410" s="197"/>
    </row>
    <row r="1411" spans="1:14">
      <c r="A1411" s="262"/>
      <c r="B1411" s="262"/>
      <c r="C1411" s="197">
        <v>44</v>
      </c>
      <c r="D1411" s="262"/>
      <c r="E1411" s="198">
        <v>356.76325700000001</v>
      </c>
      <c r="F1411" s="197"/>
      <c r="G1411" s="199" t="s">
        <v>1373</v>
      </c>
      <c r="H1411" s="200"/>
      <c r="I1411" s="200"/>
      <c r="J1411" s="200"/>
      <c r="K1411" s="199"/>
      <c r="L1411" s="200"/>
      <c r="M1411" s="200"/>
      <c r="N1411" s="197"/>
    </row>
    <row r="1412" spans="1:14">
      <c r="A1412" s="262"/>
      <c r="B1412" s="262"/>
      <c r="C1412" s="197">
        <v>45</v>
      </c>
      <c r="D1412" s="262"/>
      <c r="E1412" s="198">
        <v>0</v>
      </c>
      <c r="F1412" s="197" t="s">
        <v>227</v>
      </c>
      <c r="G1412" s="199" t="s">
        <v>1374</v>
      </c>
      <c r="H1412" s="200"/>
      <c r="I1412" s="200"/>
      <c r="J1412" s="200"/>
      <c r="K1412" s="199"/>
      <c r="L1412" s="200"/>
      <c r="M1412" s="200"/>
      <c r="N1412" s="197"/>
    </row>
    <row r="1413" spans="1:14">
      <c r="A1413" s="262"/>
      <c r="B1413" s="262"/>
      <c r="C1413" s="197">
        <v>46</v>
      </c>
      <c r="D1413" s="261">
        <v>14</v>
      </c>
      <c r="E1413" s="198">
        <v>315.47165799999999</v>
      </c>
      <c r="F1413" s="197"/>
      <c r="G1413" s="199" t="s">
        <v>1375</v>
      </c>
      <c r="H1413" s="200">
        <v>0.55000000000000004</v>
      </c>
      <c r="I1413" s="200">
        <v>1.01</v>
      </c>
      <c r="J1413" s="200">
        <v>0.435</v>
      </c>
      <c r="K1413" s="199" t="s">
        <v>229</v>
      </c>
      <c r="L1413" s="200"/>
      <c r="M1413" s="200"/>
      <c r="N1413" s="197"/>
    </row>
    <row r="1414" spans="1:14">
      <c r="A1414" s="262"/>
      <c r="B1414" s="262"/>
      <c r="C1414" s="197">
        <v>47</v>
      </c>
      <c r="D1414" s="262"/>
      <c r="E1414" s="198">
        <v>316.12347799999998</v>
      </c>
      <c r="F1414" s="197"/>
      <c r="G1414" s="199" t="s">
        <v>1376</v>
      </c>
      <c r="H1414" s="200"/>
      <c r="I1414" s="200"/>
      <c r="J1414" s="200"/>
      <c r="K1414" s="199"/>
      <c r="L1414" s="200"/>
      <c r="M1414" s="200"/>
      <c r="N1414" s="197"/>
    </row>
    <row r="1415" spans="1:14">
      <c r="A1415" s="262"/>
      <c r="B1415" s="262"/>
      <c r="C1415" s="197">
        <v>48</v>
      </c>
      <c r="D1415" s="261">
        <v>15</v>
      </c>
      <c r="E1415" s="198">
        <v>321.93260299999997</v>
      </c>
      <c r="F1415" s="197" t="s">
        <v>227</v>
      </c>
      <c r="G1415" s="199" t="s">
        <v>1377</v>
      </c>
      <c r="H1415" s="200">
        <v>0.61499999999999999</v>
      </c>
      <c r="I1415" s="200">
        <v>1.01</v>
      </c>
      <c r="J1415" s="200">
        <v>0.36499999999999999</v>
      </c>
      <c r="K1415" s="199" t="s">
        <v>229</v>
      </c>
      <c r="L1415" s="200"/>
      <c r="M1415" s="200"/>
      <c r="N1415" s="197"/>
    </row>
    <row r="1416" spans="1:14">
      <c r="A1416" s="262"/>
      <c r="B1416" s="262"/>
      <c r="C1416" s="197">
        <v>49</v>
      </c>
      <c r="D1416" s="262"/>
      <c r="E1416" s="198">
        <v>237.647119</v>
      </c>
      <c r="F1416" s="197"/>
      <c r="G1416" s="199" t="s">
        <v>1378</v>
      </c>
      <c r="H1416" s="200"/>
      <c r="I1416" s="200"/>
      <c r="J1416" s="200"/>
      <c r="K1416" s="199"/>
      <c r="L1416" s="200"/>
      <c r="M1416" s="200"/>
      <c r="N1416" s="197"/>
    </row>
    <row r="1417" spans="1:14">
      <c r="A1417" s="262"/>
      <c r="B1417" s="262"/>
      <c r="C1417" s="197">
        <v>50</v>
      </c>
      <c r="D1417" s="262"/>
      <c r="E1417" s="198">
        <v>236.059078</v>
      </c>
      <c r="F1417" s="197"/>
      <c r="G1417" s="199" t="s">
        <v>1379</v>
      </c>
      <c r="H1417" s="200"/>
      <c r="I1417" s="200"/>
      <c r="J1417" s="200"/>
      <c r="K1417" s="199"/>
      <c r="L1417" s="200"/>
      <c r="M1417" s="200"/>
      <c r="N1417" s="197"/>
    </row>
    <row r="1418" spans="1:14">
      <c r="A1418" s="262"/>
      <c r="B1418" s="262"/>
      <c r="C1418" s="197">
        <v>51</v>
      </c>
      <c r="D1418" s="261">
        <v>16</v>
      </c>
      <c r="E1418" s="198">
        <v>0</v>
      </c>
      <c r="F1418" s="197" t="s">
        <v>227</v>
      </c>
      <c r="G1418" s="199" t="s">
        <v>612</v>
      </c>
      <c r="H1418" s="200">
        <v>0.60499999999999998</v>
      </c>
      <c r="I1418" s="200">
        <v>1.0049999999999999</v>
      </c>
      <c r="J1418" s="200">
        <v>0.41</v>
      </c>
      <c r="K1418" s="199" t="s">
        <v>229</v>
      </c>
      <c r="L1418" s="200"/>
      <c r="M1418" s="200"/>
      <c r="N1418" s="197"/>
    </row>
    <row r="1419" spans="1:14">
      <c r="A1419" s="262"/>
      <c r="B1419" s="262"/>
      <c r="C1419" s="197">
        <v>52</v>
      </c>
      <c r="D1419" s="262"/>
      <c r="E1419" s="198">
        <v>0</v>
      </c>
      <c r="F1419" s="197" t="s">
        <v>227</v>
      </c>
      <c r="G1419" s="199" t="s">
        <v>613</v>
      </c>
      <c r="H1419" s="200"/>
      <c r="I1419" s="200"/>
      <c r="J1419" s="200"/>
      <c r="K1419" s="199"/>
      <c r="L1419" s="200"/>
      <c r="M1419" s="200"/>
      <c r="N1419" s="197"/>
    </row>
    <row r="1420" spans="1:14">
      <c r="A1420" s="262"/>
      <c r="B1420" s="262"/>
      <c r="C1420" s="197">
        <v>53</v>
      </c>
      <c r="D1420" s="262"/>
      <c r="E1420" s="198">
        <v>0</v>
      </c>
      <c r="F1420" s="197" t="s">
        <v>227</v>
      </c>
      <c r="G1420" s="199" t="s">
        <v>614</v>
      </c>
      <c r="H1420" s="200"/>
      <c r="I1420" s="200"/>
      <c r="J1420" s="200"/>
      <c r="K1420" s="199"/>
      <c r="L1420" s="200"/>
      <c r="M1420" s="200"/>
      <c r="N1420" s="197"/>
    </row>
    <row r="1421" spans="1:14">
      <c r="A1421" s="262"/>
      <c r="B1421" s="262"/>
      <c r="C1421" s="197">
        <v>54</v>
      </c>
      <c r="D1421" s="262"/>
      <c r="E1421" s="198">
        <v>0</v>
      </c>
      <c r="F1421" s="197" t="s">
        <v>227</v>
      </c>
      <c r="G1421" s="199" t="s">
        <v>615</v>
      </c>
      <c r="H1421" s="200"/>
      <c r="I1421" s="200"/>
      <c r="J1421" s="200"/>
      <c r="K1421" s="199"/>
      <c r="L1421" s="200"/>
      <c r="M1421" s="200"/>
      <c r="N1421" s="197"/>
    </row>
    <row r="1422" spans="1:14">
      <c r="A1422" s="262"/>
      <c r="B1422" s="262"/>
      <c r="C1422" s="197">
        <v>55</v>
      </c>
      <c r="D1422" s="262"/>
      <c r="E1422" s="198">
        <v>0</v>
      </c>
      <c r="F1422" s="197" t="s">
        <v>227</v>
      </c>
      <c r="G1422" s="199" t="s">
        <v>616</v>
      </c>
      <c r="H1422" s="200"/>
      <c r="I1422" s="200"/>
      <c r="J1422" s="200"/>
      <c r="K1422" s="199"/>
      <c r="L1422" s="200"/>
      <c r="M1422" s="200"/>
      <c r="N1422" s="197"/>
    </row>
    <row r="1423" spans="1:14">
      <c r="A1423" s="262"/>
      <c r="B1423" s="262"/>
      <c r="C1423" s="197">
        <v>56</v>
      </c>
      <c r="D1423" s="262"/>
      <c r="E1423" s="198">
        <v>335.05827099999999</v>
      </c>
      <c r="F1423" s="197"/>
      <c r="G1423" s="199" t="s">
        <v>1380</v>
      </c>
      <c r="H1423" s="200"/>
      <c r="I1423" s="200"/>
      <c r="J1423" s="200"/>
      <c r="K1423" s="199"/>
      <c r="L1423" s="200"/>
      <c r="M1423" s="200"/>
      <c r="N1423" s="197"/>
    </row>
    <row r="1424" spans="1:14">
      <c r="A1424" s="262"/>
      <c r="B1424" s="262"/>
      <c r="C1424" s="197">
        <v>57</v>
      </c>
      <c r="D1424" s="262"/>
      <c r="E1424" s="198">
        <v>0</v>
      </c>
      <c r="F1424" s="197" t="s">
        <v>227</v>
      </c>
      <c r="G1424" s="199" t="s">
        <v>618</v>
      </c>
      <c r="H1424" s="200"/>
      <c r="I1424" s="200"/>
      <c r="J1424" s="200"/>
      <c r="K1424" s="199"/>
      <c r="L1424" s="200"/>
      <c r="M1424" s="200"/>
      <c r="N1424" s="197"/>
    </row>
    <row r="1425" spans="1:14">
      <c r="A1425" s="262"/>
      <c r="B1425" s="262"/>
      <c r="C1425" s="197">
        <v>58</v>
      </c>
      <c r="D1425" s="262"/>
      <c r="E1425" s="198">
        <v>0</v>
      </c>
      <c r="F1425" s="197" t="s">
        <v>227</v>
      </c>
      <c r="G1425" s="199" t="s">
        <v>1381</v>
      </c>
      <c r="H1425" s="200"/>
      <c r="I1425" s="200"/>
      <c r="J1425" s="200"/>
      <c r="K1425" s="199"/>
      <c r="L1425" s="200"/>
      <c r="M1425" s="200"/>
      <c r="N1425" s="197"/>
    </row>
    <row r="1426" spans="1:14">
      <c r="A1426" s="261" t="s">
        <v>1382</v>
      </c>
      <c r="B1426" s="261">
        <v>5</v>
      </c>
      <c r="C1426" s="197">
        <v>1</v>
      </c>
      <c r="D1426" s="197">
        <v>1</v>
      </c>
      <c r="E1426" s="198">
        <v>0</v>
      </c>
      <c r="F1426" s="197" t="s">
        <v>227</v>
      </c>
      <c r="G1426" s="199" t="s">
        <v>228</v>
      </c>
      <c r="H1426" s="200">
        <v>0.56499999999999995</v>
      </c>
      <c r="I1426" s="200">
        <v>1.01</v>
      </c>
      <c r="J1426" s="200">
        <v>0.435</v>
      </c>
      <c r="K1426" s="199" t="s">
        <v>229</v>
      </c>
      <c r="L1426" s="200">
        <v>5.743797605896294E-2</v>
      </c>
      <c r="M1426" s="200"/>
      <c r="N1426" s="197"/>
    </row>
    <row r="1427" spans="1:14">
      <c r="A1427" s="262"/>
      <c r="B1427" s="262"/>
      <c r="C1427" s="197">
        <v>2</v>
      </c>
      <c r="D1427" s="261">
        <v>2</v>
      </c>
      <c r="E1427" s="198">
        <v>394.21348599999999</v>
      </c>
      <c r="F1427" s="197"/>
      <c r="G1427" s="199" t="s">
        <v>1383</v>
      </c>
      <c r="H1427" s="200">
        <v>0.64500000000000002</v>
      </c>
      <c r="I1427" s="200">
        <v>0.99</v>
      </c>
      <c r="J1427" s="200">
        <v>0.43</v>
      </c>
      <c r="K1427" s="199" t="s">
        <v>671</v>
      </c>
      <c r="L1427" s="200">
        <v>3.2390138834991145E-2</v>
      </c>
      <c r="M1427" s="200"/>
      <c r="N1427" s="197"/>
    </row>
    <row r="1428" spans="1:14">
      <c r="A1428" s="262"/>
      <c r="B1428" s="262"/>
      <c r="C1428" s="197">
        <v>3</v>
      </c>
      <c r="D1428" s="262"/>
      <c r="E1428" s="198">
        <v>397.297302</v>
      </c>
      <c r="F1428" s="197"/>
      <c r="G1428" s="199" t="s">
        <v>1384</v>
      </c>
      <c r="H1428" s="200"/>
      <c r="I1428" s="200"/>
      <c r="J1428" s="200"/>
      <c r="K1428" s="199"/>
      <c r="L1428" s="200">
        <v>3.1349840509961133E-2</v>
      </c>
      <c r="M1428" s="200"/>
      <c r="N1428" s="197"/>
    </row>
    <row r="1429" spans="1:14">
      <c r="A1429" s="262"/>
      <c r="B1429" s="262"/>
      <c r="C1429" s="197">
        <v>4</v>
      </c>
      <c r="D1429" s="262"/>
      <c r="E1429" s="198">
        <v>396.66329200000001</v>
      </c>
      <c r="F1429" s="197"/>
      <c r="G1429" s="199" t="s">
        <v>1385</v>
      </c>
      <c r="H1429" s="200"/>
      <c r="I1429" s="200"/>
      <c r="J1429" s="200"/>
      <c r="K1429" s="199"/>
      <c r="L1429" s="200"/>
      <c r="M1429" s="200" t="s">
        <v>1386</v>
      </c>
      <c r="N1429" s="197" t="s">
        <v>1387</v>
      </c>
    </row>
    <row r="1430" spans="1:14">
      <c r="A1430" s="262"/>
      <c r="B1430" s="262"/>
      <c r="C1430" s="197">
        <v>5</v>
      </c>
      <c r="D1430" s="261">
        <v>3</v>
      </c>
      <c r="E1430" s="198">
        <v>356.52102000000002</v>
      </c>
      <c r="F1430" s="197" t="s">
        <v>227</v>
      </c>
      <c r="G1430" s="199" t="s">
        <v>1388</v>
      </c>
      <c r="H1430" s="200">
        <v>0.59</v>
      </c>
      <c r="I1430" s="200">
        <v>1</v>
      </c>
      <c r="J1430" s="200">
        <v>0.42499999999999999</v>
      </c>
      <c r="K1430" s="199" t="s">
        <v>408</v>
      </c>
      <c r="L1430" s="200"/>
      <c r="M1430" s="200"/>
      <c r="N1430" s="197"/>
    </row>
    <row r="1431" spans="1:14">
      <c r="A1431" s="262"/>
      <c r="B1431" s="262"/>
      <c r="C1431" s="197">
        <v>6</v>
      </c>
      <c r="D1431" s="262"/>
      <c r="E1431" s="198">
        <v>357.36533100000003</v>
      </c>
      <c r="F1431" s="197"/>
      <c r="G1431" s="199" t="s">
        <v>1389</v>
      </c>
      <c r="H1431" s="200"/>
      <c r="I1431" s="200"/>
      <c r="J1431" s="200"/>
      <c r="K1431" s="199"/>
      <c r="L1431" s="200"/>
      <c r="M1431" s="200"/>
      <c r="N1431" s="197"/>
    </row>
    <row r="1432" spans="1:14">
      <c r="A1432" s="262"/>
      <c r="B1432" s="262"/>
      <c r="C1432" s="197">
        <v>7</v>
      </c>
      <c r="D1432" s="261">
        <v>4</v>
      </c>
      <c r="E1432" s="198">
        <v>356.14634100000001</v>
      </c>
      <c r="F1432" s="197" t="s">
        <v>227</v>
      </c>
      <c r="G1432" s="199" t="s">
        <v>1390</v>
      </c>
      <c r="H1432" s="200">
        <v>0.56999999999999995</v>
      </c>
      <c r="I1432" s="200">
        <v>1.0449999999999999</v>
      </c>
      <c r="J1432" s="200">
        <v>0.46500000000000002</v>
      </c>
      <c r="K1432" s="199" t="s">
        <v>417</v>
      </c>
      <c r="L1432" s="200"/>
      <c r="M1432" s="200"/>
      <c r="N1432" s="197"/>
    </row>
    <row r="1433" spans="1:14">
      <c r="A1433" s="262"/>
      <c r="B1433" s="262"/>
      <c r="C1433" s="197">
        <v>8</v>
      </c>
      <c r="D1433" s="262"/>
      <c r="E1433" s="198">
        <v>0</v>
      </c>
      <c r="F1433" s="197" t="s">
        <v>227</v>
      </c>
      <c r="G1433" s="199" t="s">
        <v>1344</v>
      </c>
      <c r="H1433" s="200"/>
      <c r="I1433" s="200"/>
      <c r="J1433" s="200"/>
      <c r="K1433" s="199"/>
      <c r="L1433" s="200"/>
      <c r="M1433" s="200"/>
      <c r="N1433" s="197"/>
    </row>
    <row r="1434" spans="1:14">
      <c r="A1434" s="262"/>
      <c r="B1434" s="262"/>
      <c r="C1434" s="197">
        <v>9</v>
      </c>
      <c r="D1434" s="262"/>
      <c r="E1434" s="198">
        <v>0</v>
      </c>
      <c r="F1434" s="197" t="s">
        <v>227</v>
      </c>
      <c r="G1434" s="199" t="s">
        <v>622</v>
      </c>
      <c r="H1434" s="200"/>
      <c r="I1434" s="200"/>
      <c r="J1434" s="200"/>
      <c r="K1434" s="199"/>
      <c r="L1434" s="200"/>
      <c r="M1434" s="200"/>
      <c r="N1434" s="197"/>
    </row>
    <row r="1435" spans="1:14">
      <c r="A1435" s="262"/>
      <c r="B1435" s="262"/>
      <c r="C1435" s="197">
        <v>10</v>
      </c>
      <c r="D1435" s="262"/>
      <c r="E1435" s="198">
        <v>0</v>
      </c>
      <c r="F1435" s="197" t="s">
        <v>227</v>
      </c>
      <c r="G1435" s="199" t="s">
        <v>623</v>
      </c>
      <c r="H1435" s="200"/>
      <c r="I1435" s="200"/>
      <c r="J1435" s="200"/>
      <c r="K1435" s="199"/>
      <c r="L1435" s="200"/>
      <c r="M1435" s="200"/>
      <c r="N1435" s="197"/>
    </row>
    <row r="1436" spans="1:14">
      <c r="A1436" s="262"/>
      <c r="B1436" s="262"/>
      <c r="C1436" s="197">
        <v>11</v>
      </c>
      <c r="D1436" s="262"/>
      <c r="E1436" s="198">
        <v>355.80283500000002</v>
      </c>
      <c r="F1436" s="197"/>
      <c r="G1436" s="199" t="s">
        <v>1391</v>
      </c>
      <c r="H1436" s="200"/>
      <c r="I1436" s="200"/>
      <c r="J1436" s="200"/>
      <c r="K1436" s="199"/>
      <c r="L1436" s="200"/>
      <c r="M1436" s="200"/>
      <c r="N1436" s="197"/>
    </row>
    <row r="1437" spans="1:14">
      <c r="A1437" s="262"/>
      <c r="B1437" s="262"/>
      <c r="C1437" s="197">
        <v>12</v>
      </c>
      <c r="D1437" s="262"/>
      <c r="E1437" s="198">
        <v>356.06014800000003</v>
      </c>
      <c r="F1437" s="197"/>
      <c r="G1437" s="199" t="s">
        <v>1392</v>
      </c>
      <c r="H1437" s="200"/>
      <c r="I1437" s="200"/>
      <c r="J1437" s="200"/>
      <c r="K1437" s="199"/>
      <c r="L1437" s="200"/>
      <c r="M1437" s="200"/>
      <c r="N1437" s="197"/>
    </row>
    <row r="1438" spans="1:14">
      <c r="A1438" s="262"/>
      <c r="B1438" s="262"/>
      <c r="C1438" s="197">
        <v>13</v>
      </c>
      <c r="D1438" s="261">
        <v>5</v>
      </c>
      <c r="E1438" s="198">
        <v>356.84991000000002</v>
      </c>
      <c r="F1438" s="197" t="s">
        <v>227</v>
      </c>
      <c r="G1438" s="199" t="s">
        <v>1393</v>
      </c>
      <c r="H1438" s="200">
        <v>0.61499999999999999</v>
      </c>
      <c r="I1438" s="200">
        <v>1.0149999999999999</v>
      </c>
      <c r="J1438" s="200">
        <v>0.42499999999999999</v>
      </c>
      <c r="K1438" s="199" t="s">
        <v>408</v>
      </c>
      <c r="L1438" s="200"/>
      <c r="M1438" s="200"/>
      <c r="N1438" s="197"/>
    </row>
    <row r="1439" spans="1:14">
      <c r="A1439" s="262"/>
      <c r="B1439" s="262"/>
      <c r="C1439" s="197">
        <v>14</v>
      </c>
      <c r="D1439" s="262"/>
      <c r="E1439" s="198">
        <v>0</v>
      </c>
      <c r="F1439" s="197" t="s">
        <v>227</v>
      </c>
      <c r="G1439" s="199" t="s">
        <v>1394</v>
      </c>
      <c r="H1439" s="200"/>
      <c r="I1439" s="200"/>
      <c r="J1439" s="200"/>
      <c r="K1439" s="199"/>
      <c r="L1439" s="200"/>
      <c r="M1439" s="200"/>
      <c r="N1439" s="197"/>
    </row>
    <row r="1440" spans="1:14">
      <c r="A1440" s="262"/>
      <c r="B1440" s="262"/>
      <c r="C1440" s="197">
        <v>15</v>
      </c>
      <c r="D1440" s="262"/>
      <c r="E1440" s="198">
        <v>358.95258699999999</v>
      </c>
      <c r="F1440" s="197"/>
      <c r="G1440" s="199" t="s">
        <v>1395</v>
      </c>
      <c r="H1440" s="200"/>
      <c r="I1440" s="200"/>
      <c r="J1440" s="200"/>
      <c r="K1440" s="199"/>
      <c r="L1440" s="200"/>
      <c r="M1440" s="200"/>
      <c r="N1440" s="197"/>
    </row>
    <row r="1441" spans="1:14">
      <c r="A1441" s="262"/>
      <c r="B1441" s="262"/>
      <c r="C1441" s="197">
        <v>16</v>
      </c>
      <c r="D1441" s="261">
        <v>6</v>
      </c>
      <c r="E1441" s="198">
        <v>315.47584599999999</v>
      </c>
      <c r="F1441" s="197" t="s">
        <v>227</v>
      </c>
      <c r="G1441" s="199" t="s">
        <v>1396</v>
      </c>
      <c r="H1441" s="200">
        <v>0.57999999999999996</v>
      </c>
      <c r="I1441" s="200">
        <v>1.0349999999999999</v>
      </c>
      <c r="J1441" s="200">
        <v>0.42</v>
      </c>
      <c r="K1441" s="199" t="s">
        <v>408</v>
      </c>
      <c r="L1441" s="200"/>
      <c r="M1441" s="200"/>
      <c r="N1441" s="197"/>
    </row>
    <row r="1442" spans="1:14">
      <c r="A1442" s="262"/>
      <c r="B1442" s="262"/>
      <c r="C1442" s="197">
        <v>17</v>
      </c>
      <c r="D1442" s="262"/>
      <c r="E1442" s="198">
        <v>317.49303500000002</v>
      </c>
      <c r="F1442" s="197"/>
      <c r="G1442" s="199" t="s">
        <v>1397</v>
      </c>
      <c r="H1442" s="200"/>
      <c r="I1442" s="200"/>
      <c r="J1442" s="200"/>
      <c r="K1442" s="199"/>
      <c r="L1442" s="200"/>
      <c r="M1442" s="200"/>
      <c r="N1442" s="197"/>
    </row>
    <row r="1443" spans="1:14">
      <c r="A1443" s="262"/>
      <c r="B1443" s="262"/>
      <c r="C1443" s="197">
        <v>18</v>
      </c>
      <c r="D1443" s="261">
        <v>7</v>
      </c>
      <c r="E1443" s="198">
        <v>236.04332600000001</v>
      </c>
      <c r="F1443" s="197" t="s">
        <v>227</v>
      </c>
      <c r="G1443" s="199" t="s">
        <v>1398</v>
      </c>
      <c r="H1443" s="200">
        <v>0.53500000000000003</v>
      </c>
      <c r="I1443" s="200">
        <v>1.06</v>
      </c>
      <c r="J1443" s="200">
        <v>0.47499999999999998</v>
      </c>
      <c r="K1443" s="199" t="s">
        <v>229</v>
      </c>
      <c r="L1443" s="200"/>
      <c r="M1443" s="200"/>
      <c r="N1443" s="197"/>
    </row>
    <row r="1444" spans="1:14">
      <c r="A1444" s="262"/>
      <c r="B1444" s="262"/>
      <c r="C1444" s="197">
        <v>19</v>
      </c>
      <c r="D1444" s="262"/>
      <c r="E1444" s="198">
        <v>0</v>
      </c>
      <c r="F1444" s="197" t="s">
        <v>227</v>
      </c>
      <c r="G1444" s="199" t="s">
        <v>1399</v>
      </c>
      <c r="H1444" s="200"/>
      <c r="I1444" s="200"/>
      <c r="J1444" s="200"/>
      <c r="K1444" s="199"/>
      <c r="L1444" s="200"/>
      <c r="M1444" s="200"/>
      <c r="N1444" s="197"/>
    </row>
    <row r="1445" spans="1:14">
      <c r="A1445" s="262"/>
      <c r="B1445" s="262"/>
      <c r="C1445" s="197">
        <v>20</v>
      </c>
      <c r="D1445" s="261">
        <v>8</v>
      </c>
      <c r="E1445" s="198">
        <v>0</v>
      </c>
      <c r="F1445" s="197" t="s">
        <v>227</v>
      </c>
      <c r="G1445" s="199" t="s">
        <v>1400</v>
      </c>
      <c r="H1445" s="200">
        <v>0.45</v>
      </c>
      <c r="I1445" s="200">
        <v>1.0549999999999999</v>
      </c>
      <c r="J1445" s="200">
        <v>0.39500000000000002</v>
      </c>
      <c r="K1445" s="199" t="s">
        <v>417</v>
      </c>
      <c r="L1445" s="200"/>
      <c r="M1445" s="200"/>
      <c r="N1445" s="197"/>
    </row>
    <row r="1446" spans="1:14">
      <c r="A1446" s="262"/>
      <c r="B1446" s="262"/>
      <c r="C1446" s="197">
        <v>21</v>
      </c>
      <c r="D1446" s="262"/>
      <c r="E1446" s="198">
        <v>0</v>
      </c>
      <c r="F1446" s="197" t="s">
        <v>227</v>
      </c>
      <c r="G1446" s="199" t="s">
        <v>1401</v>
      </c>
      <c r="H1446" s="200"/>
      <c r="I1446" s="200"/>
      <c r="J1446" s="200"/>
      <c r="K1446" s="199"/>
      <c r="L1446" s="200"/>
      <c r="M1446" s="200"/>
      <c r="N1446" s="197"/>
    </row>
    <row r="1447" spans="1:14">
      <c r="A1447" s="262"/>
      <c r="B1447" s="262"/>
      <c r="C1447" s="197">
        <v>22</v>
      </c>
      <c r="D1447" s="262"/>
      <c r="E1447" s="198">
        <v>0</v>
      </c>
      <c r="F1447" s="197" t="s">
        <v>227</v>
      </c>
      <c r="G1447" s="199" t="s">
        <v>1316</v>
      </c>
      <c r="H1447" s="200"/>
      <c r="I1447" s="200"/>
      <c r="J1447" s="200"/>
      <c r="K1447" s="199"/>
      <c r="L1447" s="200"/>
      <c r="M1447" s="200"/>
      <c r="N1447" s="197"/>
    </row>
    <row r="1448" spans="1:14">
      <c r="A1448" s="262"/>
      <c r="B1448" s="262"/>
      <c r="C1448" s="197">
        <v>23</v>
      </c>
      <c r="D1448" s="262"/>
      <c r="E1448" s="198">
        <v>0</v>
      </c>
      <c r="F1448" s="197" t="s">
        <v>227</v>
      </c>
      <c r="G1448" s="199" t="s">
        <v>1277</v>
      </c>
      <c r="H1448" s="200"/>
      <c r="I1448" s="200"/>
      <c r="J1448" s="200"/>
      <c r="K1448" s="199"/>
      <c r="L1448" s="200"/>
      <c r="M1448" s="200"/>
      <c r="N1448" s="197"/>
    </row>
    <row r="1449" spans="1:14">
      <c r="A1449" s="262"/>
      <c r="B1449" s="262"/>
      <c r="C1449" s="197">
        <v>24</v>
      </c>
      <c r="D1449" s="262"/>
      <c r="E1449" s="198">
        <v>0</v>
      </c>
      <c r="F1449" s="197" t="s">
        <v>227</v>
      </c>
      <c r="G1449" s="199" t="s">
        <v>1278</v>
      </c>
      <c r="H1449" s="200"/>
      <c r="I1449" s="200"/>
      <c r="J1449" s="200"/>
      <c r="K1449" s="199"/>
      <c r="L1449" s="200"/>
      <c r="M1449" s="200"/>
      <c r="N1449" s="197"/>
    </row>
    <row r="1450" spans="1:14">
      <c r="A1450" s="262"/>
      <c r="B1450" s="262"/>
      <c r="C1450" s="197">
        <v>25</v>
      </c>
      <c r="D1450" s="262"/>
      <c r="E1450" s="198">
        <v>0</v>
      </c>
      <c r="F1450" s="197" t="s">
        <v>227</v>
      </c>
      <c r="G1450" s="199" t="s">
        <v>1052</v>
      </c>
      <c r="H1450" s="200"/>
      <c r="I1450" s="200"/>
      <c r="J1450" s="200"/>
      <c r="K1450" s="199"/>
      <c r="L1450" s="200"/>
      <c r="M1450" s="200"/>
      <c r="N1450" s="197"/>
    </row>
    <row r="1451" spans="1:14">
      <c r="A1451" s="262"/>
      <c r="B1451" s="262"/>
      <c r="C1451" s="197">
        <v>26</v>
      </c>
      <c r="D1451" s="262"/>
      <c r="E1451" s="198">
        <v>238.817983</v>
      </c>
      <c r="F1451" s="197"/>
      <c r="G1451" s="199" t="s">
        <v>1402</v>
      </c>
      <c r="H1451" s="200"/>
      <c r="I1451" s="200"/>
      <c r="J1451" s="200"/>
      <c r="K1451" s="199"/>
      <c r="L1451" s="200"/>
      <c r="M1451" s="200"/>
      <c r="N1451" s="197"/>
    </row>
    <row r="1452" spans="1:14">
      <c r="A1452" s="262"/>
      <c r="B1452" s="262"/>
      <c r="C1452" s="197">
        <v>27</v>
      </c>
      <c r="D1452" s="261">
        <v>9</v>
      </c>
      <c r="E1452" s="198">
        <v>0</v>
      </c>
      <c r="F1452" s="197" t="s">
        <v>227</v>
      </c>
      <c r="G1452" s="199" t="s">
        <v>1279</v>
      </c>
      <c r="H1452" s="200">
        <v>0.57499999999999996</v>
      </c>
      <c r="I1452" s="200">
        <v>1.01</v>
      </c>
      <c r="J1452" s="200">
        <v>0.36</v>
      </c>
      <c r="K1452" s="199" t="s">
        <v>408</v>
      </c>
      <c r="L1452" s="200"/>
      <c r="M1452" s="200"/>
      <c r="N1452" s="197"/>
    </row>
    <row r="1453" spans="1:14">
      <c r="A1453" s="262"/>
      <c r="B1453" s="262"/>
      <c r="C1453" s="197">
        <v>28</v>
      </c>
      <c r="D1453" s="262"/>
      <c r="E1453" s="198">
        <v>314.97185999999999</v>
      </c>
      <c r="F1453" s="197"/>
      <c r="G1453" s="199" t="s">
        <v>1403</v>
      </c>
      <c r="H1453" s="200"/>
      <c r="I1453" s="200"/>
      <c r="J1453" s="200"/>
      <c r="K1453" s="199"/>
      <c r="L1453" s="200"/>
      <c r="M1453" s="200"/>
      <c r="N1453" s="197"/>
    </row>
    <row r="1454" spans="1:14">
      <c r="A1454" s="262"/>
      <c r="B1454" s="262"/>
      <c r="C1454" s="197">
        <v>29</v>
      </c>
      <c r="D1454" s="261">
        <v>10</v>
      </c>
      <c r="E1454" s="198">
        <v>316.41811899999999</v>
      </c>
      <c r="F1454" s="197" t="s">
        <v>227</v>
      </c>
      <c r="G1454" s="199" t="s">
        <v>1404</v>
      </c>
      <c r="H1454" s="200">
        <v>0.45500000000000002</v>
      </c>
      <c r="I1454" s="200">
        <v>1.06</v>
      </c>
      <c r="J1454" s="200">
        <v>0.42499999999999999</v>
      </c>
      <c r="K1454" s="199" t="s">
        <v>417</v>
      </c>
      <c r="L1454" s="200"/>
      <c r="M1454" s="200"/>
      <c r="N1454" s="197"/>
    </row>
    <row r="1455" spans="1:14">
      <c r="A1455" s="262"/>
      <c r="B1455" s="262"/>
      <c r="C1455" s="197">
        <v>30</v>
      </c>
      <c r="D1455" s="262"/>
      <c r="E1455" s="198">
        <v>235.54575500000001</v>
      </c>
      <c r="F1455" s="197"/>
      <c r="G1455" s="199" t="s">
        <v>1405</v>
      </c>
      <c r="H1455" s="200"/>
      <c r="I1455" s="200"/>
      <c r="J1455" s="200"/>
      <c r="K1455" s="199"/>
      <c r="L1455" s="200"/>
      <c r="M1455" s="200"/>
      <c r="N1455" s="197"/>
    </row>
    <row r="1456" spans="1:14">
      <c r="A1456" s="262"/>
      <c r="B1456" s="262"/>
      <c r="C1456" s="197">
        <v>31</v>
      </c>
      <c r="D1456" s="262"/>
      <c r="E1456" s="198">
        <v>236.393248</v>
      </c>
      <c r="F1456" s="197"/>
      <c r="G1456" s="199" t="s">
        <v>1406</v>
      </c>
      <c r="H1456" s="200"/>
      <c r="I1456" s="200"/>
      <c r="J1456" s="200"/>
      <c r="K1456" s="199"/>
      <c r="L1456" s="200"/>
      <c r="M1456" s="200"/>
      <c r="N1456" s="197"/>
    </row>
    <row r="1457" spans="1:14">
      <c r="A1457" s="262"/>
      <c r="B1457" s="262"/>
      <c r="C1457" s="197">
        <v>32</v>
      </c>
      <c r="D1457" s="261">
        <v>11</v>
      </c>
      <c r="E1457" s="198">
        <v>407.53890999999999</v>
      </c>
      <c r="F1457" s="197" t="s">
        <v>227</v>
      </c>
      <c r="G1457" s="199" t="s">
        <v>1407</v>
      </c>
      <c r="H1457" s="200">
        <v>0.55000000000000004</v>
      </c>
      <c r="I1457" s="200">
        <v>1.0900000000000001</v>
      </c>
      <c r="J1457" s="200">
        <v>0.36</v>
      </c>
      <c r="K1457" s="199" t="s">
        <v>671</v>
      </c>
      <c r="L1457" s="200"/>
      <c r="M1457" s="200"/>
      <c r="N1457" s="197"/>
    </row>
    <row r="1458" spans="1:14">
      <c r="A1458" s="262"/>
      <c r="B1458" s="262"/>
      <c r="C1458" s="197">
        <v>33</v>
      </c>
      <c r="D1458" s="262"/>
      <c r="E1458" s="198">
        <v>407.79391500000003</v>
      </c>
      <c r="F1458" s="197"/>
      <c r="G1458" s="199" t="s">
        <v>1408</v>
      </c>
      <c r="H1458" s="200"/>
      <c r="I1458" s="200"/>
      <c r="J1458" s="200"/>
      <c r="K1458" s="199"/>
      <c r="L1458" s="200"/>
      <c r="M1458" s="200"/>
      <c r="N1458" s="197"/>
    </row>
    <row r="1459" spans="1:14">
      <c r="A1459" s="262"/>
      <c r="B1459" s="262"/>
      <c r="C1459" s="197">
        <v>34</v>
      </c>
      <c r="D1459" s="261">
        <v>12</v>
      </c>
      <c r="E1459" s="198">
        <v>385.69161400000002</v>
      </c>
      <c r="F1459" s="197" t="s">
        <v>227</v>
      </c>
      <c r="G1459" s="199" t="s">
        <v>1409</v>
      </c>
      <c r="H1459" s="200">
        <v>0.58499999999999996</v>
      </c>
      <c r="I1459" s="200">
        <v>0.98499999999999999</v>
      </c>
      <c r="J1459" s="200">
        <v>0.43</v>
      </c>
      <c r="K1459" s="199" t="s">
        <v>417</v>
      </c>
      <c r="L1459" s="200"/>
      <c r="M1459" s="200"/>
      <c r="N1459" s="197"/>
    </row>
    <row r="1460" spans="1:14">
      <c r="A1460" s="262"/>
      <c r="B1460" s="262"/>
      <c r="C1460" s="197">
        <v>35</v>
      </c>
      <c r="D1460" s="262"/>
      <c r="E1460" s="198">
        <v>0</v>
      </c>
      <c r="F1460" s="197" t="s">
        <v>227</v>
      </c>
      <c r="G1460" s="199" t="s">
        <v>1410</v>
      </c>
      <c r="H1460" s="200"/>
      <c r="I1460" s="200"/>
      <c r="J1460" s="200"/>
      <c r="K1460" s="199"/>
      <c r="L1460" s="200"/>
      <c r="M1460" s="200"/>
      <c r="N1460" s="197"/>
    </row>
    <row r="1461" spans="1:14">
      <c r="A1461" s="262"/>
      <c r="B1461" s="262"/>
      <c r="C1461" s="197">
        <v>36</v>
      </c>
      <c r="D1461" s="262"/>
      <c r="E1461" s="198">
        <v>0</v>
      </c>
      <c r="F1461" s="197" t="s">
        <v>227</v>
      </c>
      <c r="G1461" s="199" t="s">
        <v>1288</v>
      </c>
      <c r="H1461" s="200"/>
      <c r="I1461" s="200"/>
      <c r="J1461" s="200"/>
      <c r="K1461" s="199"/>
      <c r="L1461" s="200"/>
      <c r="M1461" s="200"/>
      <c r="N1461" s="197"/>
    </row>
    <row r="1462" spans="1:14">
      <c r="A1462" s="262"/>
      <c r="B1462" s="262"/>
      <c r="C1462" s="197">
        <v>37</v>
      </c>
      <c r="D1462" s="262"/>
      <c r="E1462" s="198">
        <v>0</v>
      </c>
      <c r="F1462" s="197" t="s">
        <v>227</v>
      </c>
      <c r="G1462" s="199" t="s">
        <v>1411</v>
      </c>
      <c r="H1462" s="200"/>
      <c r="I1462" s="200"/>
      <c r="J1462" s="200"/>
      <c r="K1462" s="199"/>
      <c r="L1462" s="200"/>
      <c r="M1462" s="200"/>
      <c r="N1462" s="197"/>
    </row>
    <row r="1463" spans="1:14">
      <c r="A1463" s="262"/>
      <c r="B1463" s="262"/>
      <c r="C1463" s="197">
        <v>38</v>
      </c>
      <c r="D1463" s="262"/>
      <c r="E1463" s="198">
        <v>0</v>
      </c>
      <c r="F1463" s="197" t="s">
        <v>227</v>
      </c>
      <c r="G1463" s="199" t="s">
        <v>1412</v>
      </c>
      <c r="H1463" s="200"/>
      <c r="I1463" s="200"/>
      <c r="J1463" s="200"/>
      <c r="K1463" s="199"/>
      <c r="L1463" s="200"/>
      <c r="M1463" s="200"/>
      <c r="N1463" s="197"/>
    </row>
    <row r="1464" spans="1:14">
      <c r="A1464" s="262"/>
      <c r="B1464" s="262"/>
      <c r="C1464" s="197">
        <v>39</v>
      </c>
      <c r="D1464" s="262"/>
      <c r="E1464" s="198">
        <v>315.76922400000001</v>
      </c>
      <c r="F1464" s="197"/>
      <c r="G1464" s="199" t="s">
        <v>1413</v>
      </c>
      <c r="H1464" s="200"/>
      <c r="I1464" s="200"/>
      <c r="J1464" s="200"/>
      <c r="K1464" s="199"/>
      <c r="L1464" s="200"/>
      <c r="M1464" s="200"/>
      <c r="N1464" s="197"/>
    </row>
    <row r="1465" spans="1:14">
      <c r="A1465" s="262"/>
      <c r="B1465" s="262"/>
      <c r="C1465" s="197">
        <v>40</v>
      </c>
      <c r="D1465" s="262"/>
      <c r="E1465" s="198">
        <v>317.20916499999998</v>
      </c>
      <c r="F1465" s="197"/>
      <c r="G1465" s="199" t="s">
        <v>1414</v>
      </c>
      <c r="H1465" s="200"/>
      <c r="I1465" s="200"/>
      <c r="J1465" s="200"/>
      <c r="K1465" s="199"/>
      <c r="L1465" s="200"/>
      <c r="M1465" s="200"/>
      <c r="N1465" s="197"/>
    </row>
    <row r="1466" spans="1:14">
      <c r="A1466" s="262"/>
      <c r="B1466" s="262"/>
      <c r="C1466" s="197">
        <v>41</v>
      </c>
      <c r="D1466" s="261">
        <v>13</v>
      </c>
      <c r="E1466" s="198">
        <v>0</v>
      </c>
      <c r="F1466" s="197" t="s">
        <v>227</v>
      </c>
      <c r="G1466" s="199" t="s">
        <v>1415</v>
      </c>
      <c r="H1466" s="200">
        <v>0.53500000000000003</v>
      </c>
      <c r="I1466" s="200">
        <v>1.0049999999999999</v>
      </c>
      <c r="J1466" s="200">
        <v>0.40500000000000003</v>
      </c>
      <c r="K1466" s="199" t="s">
        <v>671</v>
      </c>
      <c r="L1466" s="200"/>
      <c r="M1466" s="200"/>
      <c r="N1466" s="197"/>
    </row>
    <row r="1467" spans="1:14">
      <c r="A1467" s="262"/>
      <c r="B1467" s="262"/>
      <c r="C1467" s="197">
        <v>42</v>
      </c>
      <c r="D1467" s="262"/>
      <c r="E1467" s="198">
        <v>0</v>
      </c>
      <c r="F1467" s="197" t="s">
        <v>227</v>
      </c>
      <c r="G1467" s="199" t="s">
        <v>1416</v>
      </c>
      <c r="H1467" s="200"/>
      <c r="I1467" s="200"/>
      <c r="J1467" s="200"/>
      <c r="K1467" s="199"/>
      <c r="L1467" s="200"/>
      <c r="M1467" s="200"/>
      <c r="N1467" s="197"/>
    </row>
    <row r="1468" spans="1:14">
      <c r="A1468" s="262"/>
      <c r="B1468" s="262"/>
      <c r="C1468" s="197">
        <v>43</v>
      </c>
      <c r="D1468" s="262"/>
      <c r="E1468" s="198">
        <v>0</v>
      </c>
      <c r="F1468" s="197" t="s">
        <v>227</v>
      </c>
      <c r="G1468" s="199" t="s">
        <v>1417</v>
      </c>
      <c r="H1468" s="200"/>
      <c r="I1468" s="200"/>
      <c r="J1468" s="200"/>
      <c r="K1468" s="199"/>
      <c r="L1468" s="200"/>
      <c r="M1468" s="200"/>
      <c r="N1468" s="197"/>
    </row>
    <row r="1469" spans="1:14">
      <c r="A1469" s="262"/>
      <c r="B1469" s="262"/>
      <c r="C1469" s="197">
        <v>44</v>
      </c>
      <c r="D1469" s="261">
        <v>14</v>
      </c>
      <c r="E1469" s="198">
        <v>315.63600100000002</v>
      </c>
      <c r="F1469" s="197"/>
      <c r="G1469" s="199" t="s">
        <v>1418</v>
      </c>
      <c r="H1469" s="200">
        <v>0.62</v>
      </c>
      <c r="I1469" s="200">
        <v>0.97</v>
      </c>
      <c r="J1469" s="200">
        <v>0.40500000000000003</v>
      </c>
      <c r="K1469" s="199" t="s">
        <v>417</v>
      </c>
      <c r="L1469" s="200"/>
      <c r="M1469" s="200"/>
      <c r="N1469" s="197"/>
    </row>
    <row r="1470" spans="1:14">
      <c r="A1470" s="262"/>
      <c r="B1470" s="262"/>
      <c r="C1470" s="197">
        <v>45</v>
      </c>
      <c r="D1470" s="262"/>
      <c r="E1470" s="198">
        <v>316.172011</v>
      </c>
      <c r="F1470" s="197"/>
      <c r="G1470" s="199" t="s">
        <v>1419</v>
      </c>
      <c r="H1470" s="200"/>
      <c r="I1470" s="200"/>
      <c r="J1470" s="200"/>
      <c r="K1470" s="199"/>
      <c r="L1470" s="200"/>
      <c r="M1470" s="200"/>
      <c r="N1470" s="197"/>
    </row>
    <row r="1471" spans="1:14">
      <c r="A1471" s="262"/>
      <c r="B1471" s="262"/>
      <c r="C1471" s="197">
        <v>46</v>
      </c>
      <c r="D1471" s="261">
        <v>15</v>
      </c>
      <c r="E1471" s="198">
        <v>0</v>
      </c>
      <c r="F1471" s="197" t="s">
        <v>227</v>
      </c>
      <c r="G1471" s="199" t="s">
        <v>607</v>
      </c>
      <c r="H1471" s="200">
        <v>0.67500000000000004</v>
      </c>
      <c r="I1471" s="200">
        <v>1.0349999999999999</v>
      </c>
      <c r="J1471" s="200">
        <v>0.43</v>
      </c>
      <c r="K1471" s="199" t="s">
        <v>408</v>
      </c>
      <c r="L1471" s="200"/>
      <c r="M1471" s="200"/>
      <c r="N1471" s="197"/>
    </row>
    <row r="1472" spans="1:14">
      <c r="A1472" s="262"/>
      <c r="B1472" s="262"/>
      <c r="C1472" s="197">
        <v>47</v>
      </c>
      <c r="D1472" s="262"/>
      <c r="E1472" s="198">
        <v>237.81661399999999</v>
      </c>
      <c r="F1472" s="197"/>
      <c r="G1472" s="199" t="s">
        <v>1420</v>
      </c>
      <c r="H1472" s="200"/>
      <c r="I1472" s="200"/>
      <c r="J1472" s="200"/>
      <c r="K1472" s="199"/>
      <c r="L1472" s="200"/>
      <c r="M1472" s="200"/>
      <c r="N1472" s="197"/>
    </row>
    <row r="1473" spans="1:14">
      <c r="A1473" s="262"/>
      <c r="B1473" s="262"/>
      <c r="C1473" s="197">
        <v>48</v>
      </c>
      <c r="D1473" s="261">
        <v>16</v>
      </c>
      <c r="E1473" s="198">
        <v>239.390759</v>
      </c>
      <c r="F1473" s="197" t="s">
        <v>227</v>
      </c>
      <c r="G1473" s="199" t="s">
        <v>1421</v>
      </c>
      <c r="H1473" s="200">
        <v>0.55000000000000004</v>
      </c>
      <c r="I1473" s="200">
        <v>1.06</v>
      </c>
      <c r="J1473" s="200">
        <v>0.375</v>
      </c>
      <c r="K1473" s="199" t="s">
        <v>229</v>
      </c>
      <c r="L1473" s="200"/>
      <c r="M1473" s="200"/>
      <c r="N1473" s="197"/>
    </row>
    <row r="1474" spans="1:14">
      <c r="A1474" s="262"/>
      <c r="B1474" s="262"/>
      <c r="C1474" s="197">
        <v>49</v>
      </c>
      <c r="D1474" s="262"/>
      <c r="E1474" s="198">
        <v>238.90500599999999</v>
      </c>
      <c r="F1474" s="197"/>
      <c r="G1474" s="199" t="s">
        <v>1422</v>
      </c>
      <c r="H1474" s="200"/>
      <c r="I1474" s="200"/>
      <c r="J1474" s="200"/>
      <c r="K1474" s="199"/>
      <c r="L1474" s="200"/>
      <c r="M1474" s="200"/>
      <c r="N1474" s="197"/>
    </row>
    <row r="1475" spans="1:14">
      <c r="A1475" s="262"/>
      <c r="B1475" s="262"/>
      <c r="C1475" s="197">
        <v>50</v>
      </c>
      <c r="D1475" s="262"/>
      <c r="E1475" s="198">
        <v>0</v>
      </c>
      <c r="F1475" s="197" t="s">
        <v>227</v>
      </c>
      <c r="G1475" s="199" t="s">
        <v>611</v>
      </c>
      <c r="H1475" s="200"/>
      <c r="I1475" s="200"/>
      <c r="J1475" s="200"/>
      <c r="K1475" s="199"/>
      <c r="L1475" s="200"/>
      <c r="M1475" s="200"/>
      <c r="N1475" s="197"/>
    </row>
    <row r="1476" spans="1:14">
      <c r="A1476" s="262"/>
      <c r="B1476" s="262"/>
      <c r="C1476" s="197">
        <v>51</v>
      </c>
      <c r="D1476" s="262"/>
      <c r="E1476" s="198">
        <v>0</v>
      </c>
      <c r="F1476" s="197" t="s">
        <v>227</v>
      </c>
      <c r="G1476" s="199" t="s">
        <v>612</v>
      </c>
      <c r="H1476" s="200"/>
      <c r="I1476" s="200"/>
      <c r="J1476" s="200"/>
      <c r="K1476" s="199"/>
      <c r="L1476" s="200"/>
      <c r="M1476" s="200"/>
      <c r="N1476" s="197"/>
    </row>
    <row r="1477" spans="1:14">
      <c r="A1477" s="262"/>
      <c r="B1477" s="262"/>
      <c r="C1477" s="197">
        <v>52</v>
      </c>
      <c r="D1477" s="262"/>
      <c r="E1477" s="198">
        <v>0</v>
      </c>
      <c r="F1477" s="197" t="s">
        <v>227</v>
      </c>
      <c r="G1477" s="199" t="s">
        <v>613</v>
      </c>
      <c r="H1477" s="200"/>
      <c r="I1477" s="200"/>
      <c r="J1477" s="200"/>
      <c r="K1477" s="199"/>
      <c r="L1477" s="200"/>
      <c r="M1477" s="200"/>
      <c r="N1477" s="197"/>
    </row>
    <row r="1478" spans="1:14">
      <c r="A1478" s="262"/>
      <c r="B1478" s="262"/>
      <c r="C1478" s="197">
        <v>53</v>
      </c>
      <c r="D1478" s="262"/>
      <c r="E1478" s="198">
        <v>0</v>
      </c>
      <c r="F1478" s="197" t="s">
        <v>227</v>
      </c>
      <c r="G1478" s="199" t="s">
        <v>614</v>
      </c>
      <c r="H1478" s="200"/>
      <c r="I1478" s="200"/>
      <c r="J1478" s="200"/>
      <c r="K1478" s="199"/>
      <c r="L1478" s="200"/>
      <c r="M1478" s="200"/>
      <c r="N1478" s="197"/>
    </row>
    <row r="1479" spans="1:14">
      <c r="A1479" s="262"/>
      <c r="B1479" s="262"/>
      <c r="C1479" s="197">
        <v>54</v>
      </c>
      <c r="D1479" s="262"/>
      <c r="E1479" s="198">
        <v>0</v>
      </c>
      <c r="F1479" s="197" t="s">
        <v>227</v>
      </c>
      <c r="G1479" s="199" t="s">
        <v>615</v>
      </c>
      <c r="H1479" s="200"/>
      <c r="I1479" s="200"/>
      <c r="J1479" s="200"/>
      <c r="K1479" s="199"/>
      <c r="L1479" s="200"/>
      <c r="M1479" s="200"/>
      <c r="N1479" s="197"/>
    </row>
    <row r="1480" spans="1:14">
      <c r="A1480" s="261" t="s">
        <v>1423</v>
      </c>
      <c r="B1480" s="261">
        <v>8</v>
      </c>
      <c r="C1480" s="197">
        <v>1</v>
      </c>
      <c r="D1480" s="261">
        <v>1</v>
      </c>
      <c r="E1480" s="198">
        <v>0</v>
      </c>
      <c r="F1480" s="197" t="s">
        <v>227</v>
      </c>
      <c r="G1480" s="199" t="s">
        <v>228</v>
      </c>
      <c r="H1480" s="200">
        <v>0.57999999999999996</v>
      </c>
      <c r="I1480" s="200">
        <v>1.02</v>
      </c>
      <c r="J1480" s="200">
        <v>0.42499999999999999</v>
      </c>
      <c r="K1480" s="199" t="s">
        <v>417</v>
      </c>
      <c r="L1480" s="200">
        <v>7.7247572777401879E-2</v>
      </c>
      <c r="M1480" s="200"/>
      <c r="N1480" s="197"/>
    </row>
    <row r="1481" spans="1:14">
      <c r="A1481" s="262"/>
      <c r="B1481" s="262"/>
      <c r="C1481" s="197">
        <v>2</v>
      </c>
      <c r="D1481" s="262"/>
      <c r="E1481" s="198">
        <v>357.88700799999998</v>
      </c>
      <c r="F1481" s="197"/>
      <c r="G1481" s="199" t="s">
        <v>1424</v>
      </c>
      <c r="H1481" s="200"/>
      <c r="I1481" s="200"/>
      <c r="J1481" s="200"/>
      <c r="K1481" s="199"/>
      <c r="L1481" s="200">
        <v>4.1420103814452242E-2</v>
      </c>
      <c r="M1481" s="200"/>
      <c r="N1481" s="197"/>
    </row>
    <row r="1482" spans="1:14">
      <c r="A1482" s="262"/>
      <c r="B1482" s="262"/>
      <c r="C1482" s="197">
        <v>3</v>
      </c>
      <c r="D1482" s="262"/>
      <c r="E1482" s="198">
        <v>357.18647600000003</v>
      </c>
      <c r="F1482" s="197"/>
      <c r="G1482" s="199" t="s">
        <v>1425</v>
      </c>
      <c r="H1482" s="200"/>
      <c r="I1482" s="200"/>
      <c r="J1482" s="200"/>
      <c r="K1482" s="199"/>
      <c r="L1482" s="200">
        <v>4.242180306163329E-2</v>
      </c>
      <c r="M1482" s="200"/>
      <c r="N1482" s="197"/>
    </row>
    <row r="1483" spans="1:14">
      <c r="A1483" s="262"/>
      <c r="B1483" s="262"/>
      <c r="C1483" s="197">
        <v>4</v>
      </c>
      <c r="D1483" s="262"/>
      <c r="E1483" s="198">
        <v>364.21554400000002</v>
      </c>
      <c r="F1483" s="197"/>
      <c r="G1483" s="199" t="s">
        <v>1426</v>
      </c>
      <c r="H1483" s="200"/>
      <c r="I1483" s="200"/>
      <c r="J1483" s="200"/>
      <c r="K1483" s="199"/>
      <c r="L1483" s="200"/>
      <c r="M1483" s="200" t="s">
        <v>1427</v>
      </c>
      <c r="N1483" s="197" t="s">
        <v>1427</v>
      </c>
    </row>
    <row r="1484" spans="1:14">
      <c r="A1484" s="262"/>
      <c r="B1484" s="262"/>
      <c r="C1484" s="197">
        <v>5</v>
      </c>
      <c r="D1484" s="261">
        <v>2</v>
      </c>
      <c r="E1484" s="198">
        <v>489.05496199999999</v>
      </c>
      <c r="F1484" s="197" t="s">
        <v>227</v>
      </c>
      <c r="G1484" s="199" t="s">
        <v>1428</v>
      </c>
      <c r="H1484" s="200">
        <v>0.57999999999999996</v>
      </c>
      <c r="I1484" s="200">
        <v>1.0149999999999999</v>
      </c>
      <c r="J1484" s="200">
        <v>0.38500000000000001</v>
      </c>
      <c r="K1484" s="199" t="s">
        <v>417</v>
      </c>
      <c r="L1484" s="200"/>
      <c r="M1484" s="200"/>
      <c r="N1484" s="197"/>
    </row>
    <row r="1485" spans="1:14">
      <c r="A1485" s="262"/>
      <c r="B1485" s="262"/>
      <c r="C1485" s="197">
        <v>6</v>
      </c>
      <c r="D1485" s="262"/>
      <c r="E1485" s="198">
        <v>482.28236199999998</v>
      </c>
      <c r="F1485" s="197"/>
      <c r="G1485" s="199" t="s">
        <v>1429</v>
      </c>
      <c r="H1485" s="200"/>
      <c r="I1485" s="200"/>
      <c r="J1485" s="200"/>
      <c r="K1485" s="199"/>
      <c r="L1485" s="200"/>
      <c r="M1485" s="200"/>
      <c r="N1485" s="197"/>
    </row>
    <row r="1486" spans="1:14">
      <c r="A1486" s="262"/>
      <c r="B1486" s="262"/>
      <c r="C1486" s="197">
        <v>7</v>
      </c>
      <c r="D1486" s="261">
        <v>3</v>
      </c>
      <c r="E1486" s="198">
        <v>363.11746299999999</v>
      </c>
      <c r="F1486" s="197" t="s">
        <v>227</v>
      </c>
      <c r="G1486" s="199" t="s">
        <v>1430</v>
      </c>
      <c r="H1486" s="200">
        <v>0.40500000000000003</v>
      </c>
      <c r="I1486" s="200">
        <v>1.1100000000000001</v>
      </c>
      <c r="J1486" s="200">
        <v>0.35</v>
      </c>
      <c r="K1486" s="199" t="s">
        <v>417</v>
      </c>
      <c r="L1486" s="200"/>
      <c r="M1486" s="200"/>
      <c r="N1486" s="197"/>
    </row>
    <row r="1487" spans="1:14">
      <c r="A1487" s="262"/>
      <c r="B1487" s="262"/>
      <c r="C1487" s="197">
        <v>8</v>
      </c>
      <c r="D1487" s="262"/>
      <c r="E1487" s="198">
        <v>365.00509799999998</v>
      </c>
      <c r="F1487" s="197"/>
      <c r="G1487" s="199" t="s">
        <v>1431</v>
      </c>
      <c r="H1487" s="200"/>
      <c r="I1487" s="200"/>
      <c r="J1487" s="200"/>
      <c r="K1487" s="199"/>
      <c r="L1487" s="200"/>
      <c r="M1487" s="200"/>
      <c r="N1487" s="197"/>
    </row>
    <row r="1488" spans="1:14">
      <c r="A1488" s="262"/>
      <c r="B1488" s="262"/>
      <c r="C1488" s="197">
        <v>9</v>
      </c>
      <c r="D1488" s="261">
        <v>4</v>
      </c>
      <c r="E1488" s="198">
        <v>364.37514800000002</v>
      </c>
      <c r="F1488" s="197" t="s">
        <v>227</v>
      </c>
      <c r="G1488" s="199" t="s">
        <v>1432</v>
      </c>
      <c r="H1488" s="200">
        <v>0.56999999999999995</v>
      </c>
      <c r="I1488" s="200">
        <v>1.01</v>
      </c>
      <c r="J1488" s="200">
        <v>0.43</v>
      </c>
      <c r="K1488" s="199" t="s">
        <v>417</v>
      </c>
      <c r="L1488" s="200"/>
      <c r="M1488" s="200"/>
      <c r="N1488" s="197"/>
    </row>
    <row r="1489" spans="1:14">
      <c r="A1489" s="262"/>
      <c r="B1489" s="262"/>
      <c r="C1489" s="197">
        <v>10</v>
      </c>
      <c r="D1489" s="262"/>
      <c r="E1489" s="198">
        <v>0</v>
      </c>
      <c r="F1489" s="197" t="s">
        <v>227</v>
      </c>
      <c r="G1489" s="199" t="s">
        <v>623</v>
      </c>
      <c r="H1489" s="200"/>
      <c r="I1489" s="200"/>
      <c r="J1489" s="200"/>
      <c r="K1489" s="199"/>
      <c r="L1489" s="200"/>
      <c r="M1489" s="200"/>
      <c r="N1489" s="197"/>
    </row>
    <row r="1490" spans="1:14">
      <c r="A1490" s="262"/>
      <c r="B1490" s="262"/>
      <c r="C1490" s="197">
        <v>11</v>
      </c>
      <c r="D1490" s="262"/>
      <c r="E1490" s="198">
        <v>0</v>
      </c>
      <c r="F1490" s="197" t="s">
        <v>227</v>
      </c>
      <c r="G1490" s="199" t="s">
        <v>572</v>
      </c>
      <c r="H1490" s="200"/>
      <c r="I1490" s="200"/>
      <c r="J1490" s="200"/>
      <c r="K1490" s="199"/>
      <c r="L1490" s="200"/>
      <c r="M1490" s="200"/>
      <c r="N1490" s="197"/>
    </row>
    <row r="1491" spans="1:14">
      <c r="A1491" s="262"/>
      <c r="B1491" s="262"/>
      <c r="C1491" s="197">
        <v>12</v>
      </c>
      <c r="D1491" s="262"/>
      <c r="E1491" s="198">
        <v>0</v>
      </c>
      <c r="F1491" s="197" t="s">
        <v>227</v>
      </c>
      <c r="G1491" s="199" t="s">
        <v>624</v>
      </c>
      <c r="H1491" s="200"/>
      <c r="I1491" s="200"/>
      <c r="J1491" s="200"/>
      <c r="K1491" s="199"/>
      <c r="L1491" s="200"/>
      <c r="M1491" s="200"/>
      <c r="N1491" s="197"/>
    </row>
    <row r="1492" spans="1:14">
      <c r="A1492" s="262"/>
      <c r="B1492" s="262"/>
      <c r="C1492" s="197">
        <v>13</v>
      </c>
      <c r="D1492" s="262"/>
      <c r="E1492" s="198">
        <v>0</v>
      </c>
      <c r="F1492" s="197" t="s">
        <v>227</v>
      </c>
      <c r="G1492" s="199" t="s">
        <v>625</v>
      </c>
      <c r="H1492" s="200"/>
      <c r="I1492" s="200"/>
      <c r="J1492" s="200"/>
      <c r="K1492" s="199"/>
      <c r="L1492" s="200"/>
      <c r="M1492" s="200"/>
      <c r="N1492" s="197"/>
    </row>
    <row r="1493" spans="1:14">
      <c r="A1493" s="262"/>
      <c r="B1493" s="262"/>
      <c r="C1493" s="197">
        <v>14</v>
      </c>
      <c r="D1493" s="262"/>
      <c r="E1493" s="198">
        <v>363.01298400000002</v>
      </c>
      <c r="F1493" s="197"/>
      <c r="G1493" s="199" t="s">
        <v>1433</v>
      </c>
      <c r="H1493" s="200"/>
      <c r="I1493" s="200"/>
      <c r="J1493" s="200"/>
      <c r="K1493" s="199"/>
      <c r="L1493" s="200"/>
      <c r="M1493" s="200"/>
      <c r="N1493" s="197"/>
    </row>
    <row r="1494" spans="1:14">
      <c r="A1494" s="262"/>
      <c r="B1494" s="262"/>
      <c r="C1494" s="197">
        <v>15</v>
      </c>
      <c r="D1494" s="262"/>
      <c r="E1494" s="198">
        <v>364.772828</v>
      </c>
      <c r="F1494" s="197"/>
      <c r="G1494" s="199" t="s">
        <v>1434</v>
      </c>
      <c r="H1494" s="200"/>
      <c r="I1494" s="200"/>
      <c r="J1494" s="200"/>
      <c r="K1494" s="199"/>
      <c r="L1494" s="200"/>
      <c r="M1494" s="200"/>
      <c r="N1494" s="197"/>
    </row>
    <row r="1495" spans="1:14">
      <c r="A1495" s="262"/>
      <c r="B1495" s="262"/>
      <c r="C1495" s="197">
        <v>16</v>
      </c>
      <c r="D1495" s="261">
        <v>5</v>
      </c>
      <c r="E1495" s="198">
        <v>365.64769699999999</v>
      </c>
      <c r="F1495" s="197" t="s">
        <v>227</v>
      </c>
      <c r="G1495" s="199" t="s">
        <v>1435</v>
      </c>
      <c r="H1495" s="200">
        <v>0.55500000000000005</v>
      </c>
      <c r="I1495" s="200">
        <v>1.01</v>
      </c>
      <c r="J1495" s="200">
        <v>0.435</v>
      </c>
      <c r="K1495" s="199" t="s">
        <v>417</v>
      </c>
      <c r="L1495" s="200"/>
      <c r="M1495" s="200"/>
      <c r="N1495" s="197"/>
    </row>
    <row r="1496" spans="1:14">
      <c r="A1496" s="262"/>
      <c r="B1496" s="262"/>
      <c r="C1496" s="197">
        <v>17</v>
      </c>
      <c r="D1496" s="262"/>
      <c r="E1496" s="198">
        <v>364.930521</v>
      </c>
      <c r="F1496" s="197"/>
      <c r="G1496" s="199" t="s">
        <v>1436</v>
      </c>
      <c r="H1496" s="200"/>
      <c r="I1496" s="200"/>
      <c r="J1496" s="200"/>
      <c r="K1496" s="199"/>
      <c r="L1496" s="200"/>
      <c r="M1496" s="200"/>
      <c r="N1496" s="197"/>
    </row>
    <row r="1497" spans="1:14">
      <c r="A1497" s="262"/>
      <c r="B1497" s="262"/>
      <c r="C1497" s="197">
        <v>18</v>
      </c>
      <c r="D1497" s="262"/>
      <c r="E1497" s="198">
        <v>363.95175799999998</v>
      </c>
      <c r="F1497" s="197"/>
      <c r="G1497" s="199" t="s">
        <v>1437</v>
      </c>
      <c r="H1497" s="200"/>
      <c r="I1497" s="200"/>
      <c r="J1497" s="200"/>
      <c r="K1497" s="199"/>
      <c r="L1497" s="200"/>
      <c r="M1497" s="200"/>
      <c r="N1497" s="197"/>
    </row>
    <row r="1498" spans="1:14">
      <c r="A1498" s="262"/>
      <c r="B1498" s="262"/>
      <c r="C1498" s="197">
        <v>19</v>
      </c>
      <c r="D1498" s="261">
        <v>6</v>
      </c>
      <c r="E1498" s="198">
        <v>364.14859899999999</v>
      </c>
      <c r="F1498" s="197" t="s">
        <v>227</v>
      </c>
      <c r="G1498" s="199" t="s">
        <v>1438</v>
      </c>
      <c r="H1498" s="200">
        <v>0.48</v>
      </c>
      <c r="I1498" s="200">
        <v>1.0549999999999999</v>
      </c>
      <c r="J1498" s="200">
        <v>0.38500000000000001</v>
      </c>
      <c r="K1498" s="199" t="s">
        <v>417</v>
      </c>
      <c r="L1498" s="200"/>
      <c r="M1498" s="200"/>
      <c r="N1498" s="197"/>
    </row>
    <row r="1499" spans="1:14">
      <c r="A1499" s="262"/>
      <c r="B1499" s="262"/>
      <c r="C1499" s="197">
        <v>20</v>
      </c>
      <c r="D1499" s="262"/>
      <c r="E1499" s="198">
        <v>319.03663699999998</v>
      </c>
      <c r="F1499" s="197"/>
      <c r="G1499" s="199" t="s">
        <v>1439</v>
      </c>
      <c r="H1499" s="200"/>
      <c r="I1499" s="200"/>
      <c r="J1499" s="200"/>
      <c r="K1499" s="199"/>
      <c r="L1499" s="200"/>
      <c r="M1499" s="200"/>
      <c r="N1499" s="197"/>
    </row>
    <row r="1500" spans="1:14">
      <c r="A1500" s="262"/>
      <c r="B1500" s="262"/>
      <c r="C1500" s="197">
        <v>21</v>
      </c>
      <c r="D1500" s="262"/>
      <c r="E1500" s="198">
        <v>321.32007299999998</v>
      </c>
      <c r="F1500" s="197"/>
      <c r="G1500" s="199" t="s">
        <v>1440</v>
      </c>
      <c r="H1500" s="200"/>
      <c r="I1500" s="200"/>
      <c r="J1500" s="200"/>
      <c r="K1500" s="199"/>
      <c r="L1500" s="200"/>
      <c r="M1500" s="200"/>
      <c r="N1500" s="197"/>
    </row>
    <row r="1501" spans="1:14">
      <c r="A1501" s="262"/>
      <c r="B1501" s="262"/>
      <c r="C1501" s="197">
        <v>22</v>
      </c>
      <c r="D1501" s="261">
        <v>7</v>
      </c>
      <c r="E1501" s="198">
        <v>0</v>
      </c>
      <c r="F1501" s="197" t="s">
        <v>227</v>
      </c>
      <c r="G1501" s="199" t="s">
        <v>583</v>
      </c>
      <c r="H1501" s="200">
        <v>0.66500000000000004</v>
      </c>
      <c r="I1501" s="200">
        <v>1.0049999999999999</v>
      </c>
      <c r="J1501" s="200">
        <v>0.435</v>
      </c>
      <c r="K1501" s="199" t="s">
        <v>417</v>
      </c>
      <c r="L1501" s="200"/>
      <c r="M1501" s="200"/>
      <c r="N1501" s="197"/>
    </row>
    <row r="1502" spans="1:14">
      <c r="A1502" s="262"/>
      <c r="B1502" s="262"/>
      <c r="C1502" s="197">
        <v>23</v>
      </c>
      <c r="D1502" s="262"/>
      <c r="E1502" s="198">
        <v>239.54238699999999</v>
      </c>
      <c r="F1502" s="197"/>
      <c r="G1502" s="199" t="s">
        <v>1441</v>
      </c>
      <c r="H1502" s="200"/>
      <c r="I1502" s="200"/>
      <c r="J1502" s="200"/>
      <c r="K1502" s="199"/>
      <c r="L1502" s="200"/>
      <c r="M1502" s="200"/>
      <c r="N1502" s="197"/>
    </row>
    <row r="1503" spans="1:14">
      <c r="A1503" s="262"/>
      <c r="B1503" s="262"/>
      <c r="C1503" s="197">
        <v>24</v>
      </c>
      <c r="D1503" s="261">
        <v>8</v>
      </c>
      <c r="E1503" s="198">
        <v>239.39204799999999</v>
      </c>
      <c r="F1503" s="197" t="s">
        <v>227</v>
      </c>
      <c r="G1503" s="199" t="s">
        <v>1442</v>
      </c>
      <c r="H1503" s="200">
        <v>0.59</v>
      </c>
      <c r="I1503" s="200">
        <v>1.0449999999999999</v>
      </c>
      <c r="J1503" s="200">
        <v>0.47499999999999998</v>
      </c>
      <c r="K1503" s="199" t="s">
        <v>417</v>
      </c>
      <c r="L1503" s="200"/>
      <c r="M1503" s="200"/>
      <c r="N1503" s="197"/>
    </row>
    <row r="1504" spans="1:14">
      <c r="A1504" s="262"/>
      <c r="B1504" s="262"/>
      <c r="C1504" s="197">
        <v>25</v>
      </c>
      <c r="D1504" s="262"/>
      <c r="E1504" s="198">
        <v>238.928112</v>
      </c>
      <c r="F1504" s="197"/>
      <c r="G1504" s="199" t="s">
        <v>1443</v>
      </c>
      <c r="H1504" s="200"/>
      <c r="I1504" s="200"/>
      <c r="J1504" s="200"/>
      <c r="K1504" s="199"/>
      <c r="L1504" s="200"/>
      <c r="M1504" s="200"/>
      <c r="N1504" s="197"/>
    </row>
    <row r="1505" spans="1:14">
      <c r="A1505" s="262"/>
      <c r="B1505" s="262"/>
      <c r="C1505" s="197">
        <v>26</v>
      </c>
      <c r="D1505" s="262"/>
      <c r="E1505" s="198">
        <v>0</v>
      </c>
      <c r="F1505" s="197" t="s">
        <v>227</v>
      </c>
      <c r="G1505" s="199" t="s">
        <v>587</v>
      </c>
      <c r="H1505" s="200"/>
      <c r="I1505" s="200"/>
      <c r="J1505" s="200"/>
      <c r="K1505" s="199"/>
      <c r="L1505" s="200"/>
      <c r="M1505" s="200"/>
      <c r="N1505" s="197"/>
    </row>
    <row r="1506" spans="1:14">
      <c r="A1506" s="262"/>
      <c r="B1506" s="262"/>
      <c r="C1506" s="197">
        <v>27</v>
      </c>
      <c r="D1506" s="262"/>
      <c r="E1506" s="198">
        <v>0</v>
      </c>
      <c r="F1506" s="197" t="s">
        <v>227</v>
      </c>
      <c r="G1506" s="199" t="s">
        <v>1356</v>
      </c>
      <c r="H1506" s="200"/>
      <c r="I1506" s="200"/>
      <c r="J1506" s="200"/>
      <c r="K1506" s="199"/>
      <c r="L1506" s="200"/>
      <c r="M1506" s="200"/>
      <c r="N1506" s="197"/>
    </row>
    <row r="1507" spans="1:14">
      <c r="A1507" s="262"/>
      <c r="B1507" s="262"/>
      <c r="C1507" s="197">
        <v>28</v>
      </c>
      <c r="D1507" s="262"/>
      <c r="E1507" s="198">
        <v>0</v>
      </c>
      <c r="F1507" s="197" t="s">
        <v>227</v>
      </c>
      <c r="G1507" s="199" t="s">
        <v>1357</v>
      </c>
      <c r="H1507" s="200"/>
      <c r="I1507" s="200"/>
      <c r="J1507" s="200"/>
      <c r="K1507" s="199"/>
      <c r="L1507" s="200"/>
      <c r="M1507" s="200"/>
      <c r="N1507" s="197"/>
    </row>
    <row r="1508" spans="1:14">
      <c r="A1508" s="262"/>
      <c r="B1508" s="262"/>
      <c r="C1508" s="197">
        <v>29</v>
      </c>
      <c r="D1508" s="262"/>
      <c r="E1508" s="198">
        <v>0</v>
      </c>
      <c r="F1508" s="197" t="s">
        <v>227</v>
      </c>
      <c r="G1508" s="199" t="s">
        <v>1358</v>
      </c>
      <c r="H1508" s="200"/>
      <c r="I1508" s="200"/>
      <c r="J1508" s="200"/>
      <c r="K1508" s="199"/>
      <c r="L1508" s="200"/>
      <c r="M1508" s="200"/>
      <c r="N1508" s="197"/>
    </row>
    <row r="1509" spans="1:14">
      <c r="A1509" s="262"/>
      <c r="B1509" s="262"/>
      <c r="C1509" s="197">
        <v>30</v>
      </c>
      <c r="D1509" s="262"/>
      <c r="E1509" s="198">
        <v>240.00646399999999</v>
      </c>
      <c r="F1509" s="197"/>
      <c r="G1509" s="199" t="s">
        <v>1444</v>
      </c>
      <c r="H1509" s="200"/>
      <c r="I1509" s="200"/>
      <c r="J1509" s="200"/>
      <c r="K1509" s="199"/>
      <c r="L1509" s="200"/>
      <c r="M1509" s="200"/>
      <c r="N1509" s="197"/>
    </row>
    <row r="1510" spans="1:14">
      <c r="A1510" s="262"/>
      <c r="B1510" s="262"/>
      <c r="C1510" s="197">
        <v>31</v>
      </c>
      <c r="D1510" s="262"/>
      <c r="E1510" s="198">
        <v>0</v>
      </c>
      <c r="F1510" s="197" t="s">
        <v>227</v>
      </c>
      <c r="G1510" s="199" t="s">
        <v>1246</v>
      </c>
      <c r="H1510" s="200"/>
      <c r="I1510" s="200"/>
      <c r="J1510" s="200"/>
      <c r="K1510" s="199"/>
      <c r="L1510" s="200"/>
      <c r="M1510" s="200"/>
      <c r="N1510" s="197"/>
    </row>
    <row r="1511" spans="1:14">
      <c r="A1511" s="262"/>
      <c r="B1511" s="262"/>
      <c r="C1511" s="197">
        <v>32</v>
      </c>
      <c r="D1511" s="261">
        <v>9</v>
      </c>
      <c r="E1511" s="198">
        <v>0</v>
      </c>
      <c r="F1511" s="197" t="s">
        <v>227</v>
      </c>
      <c r="G1511" s="199" t="s">
        <v>1445</v>
      </c>
      <c r="H1511" s="200">
        <v>0.57499999999999996</v>
      </c>
      <c r="I1511" s="200">
        <v>1.0149999999999999</v>
      </c>
      <c r="J1511" s="200">
        <v>0.4</v>
      </c>
      <c r="K1511" s="199" t="s">
        <v>417</v>
      </c>
      <c r="L1511" s="200"/>
      <c r="M1511" s="200"/>
      <c r="N1511" s="197"/>
    </row>
    <row r="1512" spans="1:14">
      <c r="A1512" s="262"/>
      <c r="B1512" s="262"/>
      <c r="C1512" s="197">
        <v>33</v>
      </c>
      <c r="D1512" s="262"/>
      <c r="E1512" s="198">
        <v>321.48546700000003</v>
      </c>
      <c r="F1512" s="197"/>
      <c r="G1512" s="199" t="s">
        <v>1446</v>
      </c>
      <c r="H1512" s="200"/>
      <c r="I1512" s="200"/>
      <c r="J1512" s="200"/>
      <c r="K1512" s="199"/>
      <c r="L1512" s="200"/>
      <c r="M1512" s="200"/>
      <c r="N1512" s="197"/>
    </row>
    <row r="1513" spans="1:14">
      <c r="A1513" s="262"/>
      <c r="B1513" s="262"/>
      <c r="C1513" s="197">
        <v>34</v>
      </c>
      <c r="D1513" s="262"/>
      <c r="E1513" s="198">
        <v>323.41087299999998</v>
      </c>
      <c r="F1513" s="197"/>
      <c r="G1513" s="199" t="s">
        <v>1447</v>
      </c>
      <c r="H1513" s="200"/>
      <c r="I1513" s="200"/>
      <c r="J1513" s="200"/>
      <c r="K1513" s="199"/>
      <c r="L1513" s="200"/>
      <c r="M1513" s="200"/>
      <c r="N1513" s="197"/>
    </row>
    <row r="1514" spans="1:14">
      <c r="A1514" s="262"/>
      <c r="B1514" s="262"/>
      <c r="C1514" s="197">
        <v>35</v>
      </c>
      <c r="D1514" s="261">
        <v>10</v>
      </c>
      <c r="E1514" s="198">
        <v>240.19607500000001</v>
      </c>
      <c r="F1514" s="197" t="s">
        <v>227</v>
      </c>
      <c r="G1514" s="199" t="s">
        <v>1448</v>
      </c>
      <c r="H1514" s="200">
        <v>0.755</v>
      </c>
      <c r="I1514" s="200">
        <v>0.98</v>
      </c>
      <c r="J1514" s="200">
        <v>0.34</v>
      </c>
      <c r="K1514" s="199" t="s">
        <v>417</v>
      </c>
      <c r="L1514" s="200"/>
      <c r="M1514" s="200"/>
      <c r="N1514" s="197"/>
    </row>
    <row r="1515" spans="1:14">
      <c r="A1515" s="262"/>
      <c r="B1515" s="262"/>
      <c r="C1515" s="197">
        <v>36</v>
      </c>
      <c r="D1515" s="262"/>
      <c r="E1515" s="198">
        <v>239.119992</v>
      </c>
      <c r="F1515" s="197"/>
      <c r="G1515" s="199" t="s">
        <v>1449</v>
      </c>
      <c r="H1515" s="200"/>
      <c r="I1515" s="200"/>
      <c r="J1515" s="200"/>
      <c r="K1515" s="199"/>
      <c r="L1515" s="200"/>
      <c r="M1515" s="200"/>
      <c r="N1515" s="197"/>
    </row>
    <row r="1516" spans="1:14">
      <c r="A1516" s="262"/>
      <c r="B1516" s="262"/>
      <c r="C1516" s="197">
        <v>37</v>
      </c>
      <c r="D1516" s="262"/>
      <c r="E1516" s="198">
        <v>238.06498999999999</v>
      </c>
      <c r="F1516" s="197"/>
      <c r="G1516" s="199" t="s">
        <v>1450</v>
      </c>
      <c r="H1516" s="200"/>
      <c r="I1516" s="200"/>
      <c r="J1516" s="200"/>
      <c r="K1516" s="199"/>
      <c r="L1516" s="200"/>
      <c r="M1516" s="200"/>
      <c r="N1516" s="197"/>
    </row>
    <row r="1517" spans="1:14">
      <c r="A1517" s="262"/>
      <c r="B1517" s="262"/>
      <c r="C1517" s="197">
        <v>38</v>
      </c>
      <c r="D1517" s="261">
        <v>11</v>
      </c>
      <c r="E1517" s="198">
        <v>492.13304199999999</v>
      </c>
      <c r="F1517" s="197" t="s">
        <v>227</v>
      </c>
      <c r="G1517" s="199" t="s">
        <v>1451</v>
      </c>
      <c r="H1517" s="200">
        <v>0.64</v>
      </c>
      <c r="I1517" s="200">
        <v>0.93</v>
      </c>
      <c r="J1517" s="200">
        <v>0.43</v>
      </c>
      <c r="K1517" s="199" t="s">
        <v>417</v>
      </c>
      <c r="L1517" s="200"/>
      <c r="M1517" s="200"/>
      <c r="N1517" s="197"/>
    </row>
    <row r="1518" spans="1:14">
      <c r="A1518" s="262"/>
      <c r="B1518" s="262"/>
      <c r="C1518" s="197">
        <v>39</v>
      </c>
      <c r="D1518" s="262"/>
      <c r="E1518" s="198">
        <v>481.16696200000001</v>
      </c>
      <c r="F1518" s="197"/>
      <c r="G1518" s="199" t="s">
        <v>1452</v>
      </c>
      <c r="H1518" s="200"/>
      <c r="I1518" s="200"/>
      <c r="J1518" s="200"/>
      <c r="K1518" s="199"/>
      <c r="L1518" s="200"/>
      <c r="M1518" s="200"/>
      <c r="N1518" s="197"/>
    </row>
    <row r="1519" spans="1:14">
      <c r="A1519" s="262"/>
      <c r="B1519" s="262"/>
      <c r="C1519" s="197">
        <v>40</v>
      </c>
      <c r="D1519" s="261">
        <v>12</v>
      </c>
      <c r="E1519" s="198">
        <v>468.83392900000001</v>
      </c>
      <c r="F1519" s="197" t="s">
        <v>227</v>
      </c>
      <c r="G1519" s="199" t="s">
        <v>1453</v>
      </c>
      <c r="H1519" s="200">
        <v>0.6</v>
      </c>
      <c r="I1519" s="200">
        <v>1.03</v>
      </c>
      <c r="J1519" s="200">
        <v>0.315</v>
      </c>
      <c r="K1519" s="199" t="s">
        <v>417</v>
      </c>
      <c r="L1519" s="200"/>
      <c r="M1519" s="200"/>
      <c r="N1519" s="197"/>
    </row>
    <row r="1520" spans="1:14">
      <c r="A1520" s="262"/>
      <c r="B1520" s="262"/>
      <c r="C1520" s="197">
        <v>41</v>
      </c>
      <c r="D1520" s="262"/>
      <c r="E1520" s="198">
        <v>320.95042799999999</v>
      </c>
      <c r="F1520" s="197"/>
      <c r="G1520" s="199" t="s">
        <v>1454</v>
      </c>
      <c r="H1520" s="200"/>
      <c r="I1520" s="200"/>
      <c r="J1520" s="200"/>
      <c r="K1520" s="199"/>
      <c r="L1520" s="200"/>
      <c r="M1520" s="200"/>
      <c r="N1520" s="197"/>
    </row>
    <row r="1521" spans="1:14">
      <c r="A1521" s="262"/>
      <c r="B1521" s="262"/>
      <c r="C1521" s="197">
        <v>42</v>
      </c>
      <c r="D1521" s="262"/>
      <c r="E1521" s="198">
        <v>323.20917800000001</v>
      </c>
      <c r="F1521" s="197"/>
      <c r="G1521" s="199" t="s">
        <v>1455</v>
      </c>
      <c r="H1521" s="200"/>
      <c r="I1521" s="200"/>
      <c r="J1521" s="200"/>
      <c r="K1521" s="199"/>
      <c r="L1521" s="200"/>
      <c r="M1521" s="200"/>
      <c r="N1521" s="197"/>
    </row>
    <row r="1522" spans="1:14">
      <c r="A1522" s="262"/>
      <c r="B1522" s="262"/>
      <c r="C1522" s="197">
        <v>43</v>
      </c>
      <c r="D1522" s="262"/>
      <c r="E1522" s="198">
        <v>0</v>
      </c>
      <c r="F1522" s="197" t="s">
        <v>227</v>
      </c>
      <c r="G1522" s="199" t="s">
        <v>1456</v>
      </c>
      <c r="H1522" s="200"/>
      <c r="I1522" s="200"/>
      <c r="J1522" s="200"/>
      <c r="K1522" s="199"/>
      <c r="L1522" s="200"/>
      <c r="M1522" s="200"/>
      <c r="N1522" s="197"/>
    </row>
    <row r="1523" spans="1:14">
      <c r="A1523" s="262"/>
      <c r="B1523" s="262"/>
      <c r="C1523" s="197">
        <v>44</v>
      </c>
      <c r="D1523" s="262"/>
      <c r="E1523" s="198">
        <v>322.97695700000003</v>
      </c>
      <c r="F1523" s="197"/>
      <c r="G1523" s="199" t="s">
        <v>1457</v>
      </c>
      <c r="H1523" s="200"/>
      <c r="I1523" s="200"/>
      <c r="J1523" s="200"/>
      <c r="K1523" s="199"/>
      <c r="L1523" s="200"/>
      <c r="M1523" s="200"/>
      <c r="N1523" s="197"/>
    </row>
    <row r="1524" spans="1:14">
      <c r="A1524" s="262"/>
      <c r="B1524" s="262"/>
      <c r="C1524" s="197">
        <v>45</v>
      </c>
      <c r="D1524" s="262"/>
      <c r="E1524" s="198">
        <v>322.01247899999998</v>
      </c>
      <c r="F1524" s="197"/>
      <c r="G1524" s="199" t="s">
        <v>1458</v>
      </c>
      <c r="H1524" s="200"/>
      <c r="I1524" s="200"/>
      <c r="J1524" s="200"/>
      <c r="K1524" s="199"/>
      <c r="L1524" s="200"/>
      <c r="M1524" s="200"/>
      <c r="N1524" s="197"/>
    </row>
    <row r="1525" spans="1:14">
      <c r="A1525" s="262"/>
      <c r="B1525" s="262"/>
      <c r="C1525" s="197">
        <v>46</v>
      </c>
      <c r="D1525" s="262"/>
      <c r="E1525" s="198">
        <v>322.55282</v>
      </c>
      <c r="F1525" s="197"/>
      <c r="G1525" s="199" t="s">
        <v>1459</v>
      </c>
      <c r="H1525" s="200"/>
      <c r="I1525" s="200"/>
      <c r="J1525" s="200"/>
      <c r="K1525" s="199"/>
      <c r="L1525" s="200"/>
      <c r="M1525" s="200"/>
      <c r="N1525" s="197"/>
    </row>
    <row r="1526" spans="1:14">
      <c r="A1526" s="262"/>
      <c r="B1526" s="262"/>
      <c r="C1526" s="197">
        <v>47</v>
      </c>
      <c r="D1526" s="262"/>
      <c r="E1526" s="198">
        <v>325.91297600000001</v>
      </c>
      <c r="F1526" s="197"/>
      <c r="G1526" s="199" t="s">
        <v>1460</v>
      </c>
      <c r="H1526" s="200"/>
      <c r="I1526" s="200"/>
      <c r="J1526" s="200"/>
      <c r="K1526" s="199"/>
      <c r="L1526" s="200"/>
      <c r="M1526" s="200"/>
      <c r="N1526" s="197"/>
    </row>
    <row r="1527" spans="1:14">
      <c r="A1527" s="262"/>
      <c r="B1527" s="262"/>
      <c r="C1527" s="197">
        <v>48</v>
      </c>
      <c r="D1527" s="261">
        <v>13</v>
      </c>
      <c r="E1527" s="198">
        <v>354.58124199999997</v>
      </c>
      <c r="F1527" s="197" t="s">
        <v>227</v>
      </c>
      <c r="G1527" s="199" t="s">
        <v>1461</v>
      </c>
      <c r="H1527" s="200">
        <v>0.69</v>
      </c>
      <c r="I1527" s="200">
        <v>0.94</v>
      </c>
      <c r="J1527" s="200">
        <v>0.44</v>
      </c>
      <c r="K1527" s="199" t="s">
        <v>417</v>
      </c>
      <c r="L1527" s="200"/>
      <c r="M1527" s="200"/>
      <c r="N1527" s="197"/>
    </row>
    <row r="1528" spans="1:14">
      <c r="A1528" s="262"/>
      <c r="B1528" s="262"/>
      <c r="C1528" s="197">
        <v>49</v>
      </c>
      <c r="D1528" s="262"/>
      <c r="E1528" s="198">
        <v>354.66977900000001</v>
      </c>
      <c r="F1528" s="197"/>
      <c r="G1528" s="199" t="s">
        <v>1462</v>
      </c>
      <c r="H1528" s="200"/>
      <c r="I1528" s="200"/>
      <c r="J1528" s="200"/>
      <c r="K1528" s="199"/>
      <c r="L1528" s="200"/>
      <c r="M1528" s="200"/>
      <c r="N1528" s="197"/>
    </row>
    <row r="1529" spans="1:14">
      <c r="A1529" s="262"/>
      <c r="B1529" s="262"/>
      <c r="C1529" s="197">
        <v>50</v>
      </c>
      <c r="D1529" s="261">
        <v>14</v>
      </c>
      <c r="E1529" s="198">
        <v>360.57203199999998</v>
      </c>
      <c r="F1529" s="197" t="s">
        <v>227</v>
      </c>
      <c r="G1529" s="199" t="s">
        <v>1463</v>
      </c>
      <c r="H1529" s="200">
        <v>0.55500000000000005</v>
      </c>
      <c r="I1529" s="200">
        <v>1.01</v>
      </c>
      <c r="J1529" s="200">
        <v>0.45</v>
      </c>
      <c r="K1529" s="199" t="s">
        <v>417</v>
      </c>
      <c r="L1529" s="200"/>
      <c r="M1529" s="200"/>
      <c r="N1529" s="197"/>
    </row>
    <row r="1530" spans="1:14">
      <c r="A1530" s="262"/>
      <c r="B1530" s="262"/>
      <c r="C1530" s="197">
        <v>51</v>
      </c>
      <c r="D1530" s="262"/>
      <c r="E1530" s="198">
        <v>320.40284400000002</v>
      </c>
      <c r="F1530" s="197"/>
      <c r="G1530" s="199" t="s">
        <v>1464</v>
      </c>
      <c r="H1530" s="200"/>
      <c r="I1530" s="200"/>
      <c r="J1530" s="200"/>
      <c r="K1530" s="199"/>
      <c r="L1530" s="200"/>
      <c r="M1530" s="200"/>
      <c r="N1530" s="197"/>
    </row>
    <row r="1531" spans="1:14">
      <c r="A1531" s="262"/>
      <c r="B1531" s="262"/>
      <c r="C1531" s="197">
        <v>52</v>
      </c>
      <c r="D1531" s="262"/>
      <c r="E1531" s="198">
        <v>321.55764599999998</v>
      </c>
      <c r="F1531" s="197"/>
      <c r="G1531" s="199" t="s">
        <v>1465</v>
      </c>
      <c r="H1531" s="200"/>
      <c r="I1531" s="200"/>
      <c r="J1531" s="200"/>
      <c r="K1531" s="199"/>
      <c r="L1531" s="200"/>
      <c r="M1531" s="200"/>
      <c r="N1531" s="197"/>
    </row>
    <row r="1532" spans="1:14">
      <c r="A1532" s="262"/>
      <c r="B1532" s="262"/>
      <c r="C1532" s="197">
        <v>53</v>
      </c>
      <c r="D1532" s="261">
        <v>15</v>
      </c>
      <c r="E1532" s="198">
        <v>473.60006800000002</v>
      </c>
      <c r="F1532" s="197" t="s">
        <v>227</v>
      </c>
      <c r="G1532" s="199" t="s">
        <v>1466</v>
      </c>
      <c r="H1532" s="200">
        <v>0.60499999999999998</v>
      </c>
      <c r="I1532" s="200">
        <v>1.04</v>
      </c>
      <c r="J1532" s="200">
        <v>0.44</v>
      </c>
      <c r="K1532" s="199" t="s">
        <v>671</v>
      </c>
      <c r="L1532" s="200"/>
      <c r="M1532" s="200"/>
      <c r="N1532" s="197"/>
    </row>
    <row r="1533" spans="1:14">
      <c r="A1533" s="262"/>
      <c r="B1533" s="262"/>
      <c r="C1533" s="197">
        <v>54</v>
      </c>
      <c r="D1533" s="262"/>
      <c r="E1533" s="198">
        <v>283.54264599999999</v>
      </c>
      <c r="F1533" s="197"/>
      <c r="G1533" s="199" t="s">
        <v>1467</v>
      </c>
      <c r="H1533" s="200"/>
      <c r="I1533" s="200"/>
      <c r="J1533" s="200"/>
      <c r="K1533" s="199"/>
      <c r="L1533" s="200"/>
      <c r="M1533" s="200"/>
      <c r="N1533" s="197"/>
    </row>
    <row r="1534" spans="1:14">
      <c r="A1534" s="262"/>
      <c r="B1534" s="262"/>
      <c r="C1534" s="197">
        <v>55</v>
      </c>
      <c r="D1534" s="262"/>
      <c r="E1534" s="198">
        <v>474.58605999999997</v>
      </c>
      <c r="F1534" s="197" t="s">
        <v>281</v>
      </c>
      <c r="G1534" s="199" t="s">
        <v>1468</v>
      </c>
      <c r="H1534" s="200"/>
      <c r="I1534" s="200"/>
      <c r="J1534" s="200"/>
      <c r="K1534" s="199"/>
      <c r="L1534" s="200"/>
      <c r="M1534" s="200"/>
      <c r="N1534" s="197"/>
    </row>
    <row r="1535" spans="1:14">
      <c r="A1535" s="262"/>
      <c r="B1535" s="262"/>
      <c r="C1535" s="197">
        <v>56</v>
      </c>
      <c r="D1535" s="261">
        <v>16</v>
      </c>
      <c r="E1535" s="198">
        <v>245.539728</v>
      </c>
      <c r="F1535" s="197" t="s">
        <v>227</v>
      </c>
      <c r="G1535" s="199" t="s">
        <v>1469</v>
      </c>
      <c r="H1535" s="200">
        <v>0.57499999999999996</v>
      </c>
      <c r="I1535" s="200">
        <v>0.98499999999999999</v>
      </c>
      <c r="J1535" s="200">
        <v>0.41499999999999998</v>
      </c>
      <c r="K1535" s="199" t="s">
        <v>229</v>
      </c>
      <c r="L1535" s="200"/>
      <c r="M1535" s="200"/>
      <c r="N1535" s="197"/>
    </row>
    <row r="1536" spans="1:14">
      <c r="A1536" s="262"/>
      <c r="B1536" s="262"/>
      <c r="C1536" s="197">
        <v>57</v>
      </c>
      <c r="D1536" s="262"/>
      <c r="E1536" s="198">
        <v>0</v>
      </c>
      <c r="F1536" s="197" t="s">
        <v>227</v>
      </c>
      <c r="G1536" s="199" t="s">
        <v>618</v>
      </c>
      <c r="H1536" s="200"/>
      <c r="I1536" s="200"/>
      <c r="J1536" s="200"/>
      <c r="K1536" s="199"/>
      <c r="L1536" s="200"/>
      <c r="M1536" s="200"/>
      <c r="N1536" s="197"/>
    </row>
    <row r="1537" spans="1:14">
      <c r="A1537" s="262"/>
      <c r="B1537" s="262"/>
      <c r="C1537" s="197">
        <v>58</v>
      </c>
      <c r="D1537" s="262"/>
      <c r="E1537" s="198">
        <v>0</v>
      </c>
      <c r="F1537" s="197" t="s">
        <v>227</v>
      </c>
      <c r="G1537" s="199" t="s">
        <v>1381</v>
      </c>
      <c r="H1537" s="200"/>
      <c r="I1537" s="200"/>
      <c r="J1537" s="200"/>
      <c r="K1537" s="199"/>
      <c r="L1537" s="200"/>
      <c r="M1537" s="200"/>
      <c r="N1537" s="197"/>
    </row>
    <row r="1538" spans="1:14">
      <c r="A1538" s="262"/>
      <c r="B1538" s="262"/>
      <c r="C1538" s="197">
        <v>59</v>
      </c>
      <c r="D1538" s="262"/>
      <c r="E1538" s="198">
        <v>0</v>
      </c>
      <c r="F1538" s="197" t="s">
        <v>227</v>
      </c>
      <c r="G1538" s="199" t="s">
        <v>1470</v>
      </c>
      <c r="H1538" s="200"/>
      <c r="I1538" s="200"/>
      <c r="J1538" s="200"/>
      <c r="K1538" s="199"/>
      <c r="L1538" s="200"/>
      <c r="M1538" s="200"/>
      <c r="N1538" s="197"/>
    </row>
    <row r="1539" spans="1:14">
      <c r="A1539" s="262"/>
      <c r="B1539" s="262"/>
      <c r="C1539" s="197">
        <v>60</v>
      </c>
      <c r="D1539" s="262"/>
      <c r="E1539" s="198">
        <v>0</v>
      </c>
      <c r="F1539" s="197" t="s">
        <v>227</v>
      </c>
      <c r="G1539" s="199" t="s">
        <v>1471</v>
      </c>
      <c r="H1539" s="200"/>
      <c r="I1539" s="200"/>
      <c r="J1539" s="200"/>
      <c r="K1539" s="199"/>
      <c r="L1539" s="200"/>
      <c r="M1539" s="200"/>
      <c r="N1539" s="197"/>
    </row>
    <row r="1540" spans="1:14">
      <c r="A1540" s="262"/>
      <c r="B1540" s="262"/>
      <c r="C1540" s="197">
        <v>61</v>
      </c>
      <c r="D1540" s="262"/>
      <c r="E1540" s="198">
        <v>0</v>
      </c>
      <c r="F1540" s="197" t="s">
        <v>227</v>
      </c>
      <c r="G1540" s="199" t="s">
        <v>1259</v>
      </c>
      <c r="H1540" s="200"/>
      <c r="I1540" s="200"/>
      <c r="J1540" s="200"/>
      <c r="K1540" s="199"/>
      <c r="L1540" s="200"/>
      <c r="M1540" s="200"/>
      <c r="N1540" s="197"/>
    </row>
    <row r="1541" spans="1:14">
      <c r="A1541" s="262"/>
      <c r="B1541" s="262"/>
      <c r="C1541" s="197">
        <v>62</v>
      </c>
      <c r="D1541" s="262"/>
      <c r="E1541" s="198">
        <v>0</v>
      </c>
      <c r="F1541" s="197" t="s">
        <v>227</v>
      </c>
      <c r="G1541" s="199" t="s">
        <v>1472</v>
      </c>
      <c r="H1541" s="200"/>
      <c r="I1541" s="200"/>
      <c r="J1541" s="200"/>
      <c r="K1541" s="199"/>
      <c r="L1541" s="200"/>
      <c r="M1541" s="200"/>
      <c r="N1541" s="197"/>
    </row>
    <row r="1542" spans="1:14">
      <c r="A1542" s="261" t="s">
        <v>1473</v>
      </c>
      <c r="B1542" s="261">
        <v>4</v>
      </c>
      <c r="C1542" s="197">
        <v>1</v>
      </c>
      <c r="D1542" s="261">
        <v>1</v>
      </c>
      <c r="E1542" s="198">
        <v>0</v>
      </c>
      <c r="F1542" s="197" t="s">
        <v>227</v>
      </c>
      <c r="G1542" s="199" t="s">
        <v>228</v>
      </c>
      <c r="H1542" s="200">
        <v>0.48499999999999999</v>
      </c>
      <c r="I1542" s="200">
        <v>0.995</v>
      </c>
      <c r="J1542" s="200">
        <v>0.495</v>
      </c>
      <c r="K1542" s="199" t="s">
        <v>229</v>
      </c>
      <c r="L1542" s="200">
        <v>1.3517205471176356E-2</v>
      </c>
      <c r="M1542" s="200"/>
      <c r="N1542" s="197"/>
    </row>
    <row r="1543" spans="1:14">
      <c r="A1543" s="262"/>
      <c r="B1543" s="262"/>
      <c r="C1543" s="197">
        <v>2</v>
      </c>
      <c r="D1543" s="262"/>
      <c r="E1543" s="198">
        <v>0</v>
      </c>
      <c r="F1543" s="197" t="s">
        <v>227</v>
      </c>
      <c r="G1543" s="199" t="s">
        <v>230</v>
      </c>
      <c r="H1543" s="200"/>
      <c r="I1543" s="200"/>
      <c r="J1543" s="200"/>
      <c r="K1543" s="199"/>
      <c r="L1543" s="200">
        <v>7.4934867551760967E-3</v>
      </c>
      <c r="M1543" s="200"/>
      <c r="N1543" s="197"/>
    </row>
    <row r="1544" spans="1:14">
      <c r="A1544" s="262"/>
      <c r="B1544" s="262"/>
      <c r="C1544" s="197">
        <v>3</v>
      </c>
      <c r="D1544" s="262"/>
      <c r="E1544" s="198">
        <v>0</v>
      </c>
      <c r="F1544" s="197" t="s">
        <v>227</v>
      </c>
      <c r="G1544" s="199" t="s">
        <v>324</v>
      </c>
      <c r="H1544" s="200"/>
      <c r="I1544" s="200"/>
      <c r="J1544" s="200"/>
      <c r="K1544" s="199"/>
      <c r="L1544" s="200">
        <v>1.0226917607470992E-2</v>
      </c>
      <c r="M1544" s="200"/>
      <c r="N1544" s="197"/>
    </row>
    <row r="1545" spans="1:14">
      <c r="A1545" s="262"/>
      <c r="B1545" s="262"/>
      <c r="C1545" s="197">
        <v>4</v>
      </c>
      <c r="D1545" s="262"/>
      <c r="E1545" s="198">
        <v>436.357618</v>
      </c>
      <c r="F1545" s="197"/>
      <c r="G1545" s="199" t="s">
        <v>1474</v>
      </c>
      <c r="H1545" s="200"/>
      <c r="I1545" s="200"/>
      <c r="J1545" s="200"/>
      <c r="K1545" s="199"/>
      <c r="L1545" s="200"/>
      <c r="M1545" s="200" t="s">
        <v>233</v>
      </c>
      <c r="N1545" s="197" t="s">
        <v>1475</v>
      </c>
    </row>
    <row r="1546" spans="1:14">
      <c r="A1546" s="262"/>
      <c r="B1546" s="262"/>
      <c r="C1546" s="197">
        <v>5</v>
      </c>
      <c r="D1546" s="262"/>
      <c r="E1546" s="198">
        <v>380.17242399999998</v>
      </c>
      <c r="F1546" s="197"/>
      <c r="G1546" s="199" t="s">
        <v>1476</v>
      </c>
      <c r="H1546" s="200"/>
      <c r="I1546" s="200"/>
      <c r="J1546" s="200"/>
      <c r="K1546" s="199"/>
      <c r="L1546" s="200"/>
      <c r="M1546" s="200"/>
      <c r="N1546" s="197"/>
    </row>
    <row r="1547" spans="1:14">
      <c r="A1547" s="262"/>
      <c r="B1547" s="262"/>
      <c r="C1547" s="197">
        <v>6</v>
      </c>
      <c r="D1547" s="261">
        <v>2</v>
      </c>
      <c r="E1547" s="198">
        <v>572.60167300000001</v>
      </c>
      <c r="F1547" s="197" t="s">
        <v>227</v>
      </c>
      <c r="G1547" s="199" t="s">
        <v>1477</v>
      </c>
      <c r="H1547" s="200">
        <v>0.45500000000000002</v>
      </c>
      <c r="I1547" s="200">
        <v>0.995</v>
      </c>
      <c r="J1547" s="200">
        <v>0.505</v>
      </c>
      <c r="K1547" s="199" t="s">
        <v>229</v>
      </c>
      <c r="L1547" s="200"/>
      <c r="M1547" s="200"/>
      <c r="N1547" s="197"/>
    </row>
    <row r="1548" spans="1:14">
      <c r="A1548" s="262"/>
      <c r="B1548" s="262"/>
      <c r="C1548" s="197">
        <v>7</v>
      </c>
      <c r="D1548" s="262"/>
      <c r="E1548" s="198">
        <v>597.29344900000001</v>
      </c>
      <c r="F1548" s="197"/>
      <c r="G1548" s="199" t="s">
        <v>1478</v>
      </c>
      <c r="H1548" s="200"/>
      <c r="I1548" s="200"/>
      <c r="J1548" s="200"/>
      <c r="K1548" s="199"/>
      <c r="L1548" s="200"/>
      <c r="M1548" s="200"/>
      <c r="N1548" s="197"/>
    </row>
    <row r="1549" spans="1:14">
      <c r="A1549" s="262"/>
      <c r="B1549" s="262"/>
      <c r="C1549" s="197">
        <v>8</v>
      </c>
      <c r="D1549" s="262"/>
      <c r="E1549" s="198">
        <v>594.83372499999996</v>
      </c>
      <c r="F1549" s="197"/>
      <c r="G1549" s="199" t="s">
        <v>1479</v>
      </c>
      <c r="H1549" s="200"/>
      <c r="I1549" s="200"/>
      <c r="J1549" s="200"/>
      <c r="K1549" s="199"/>
      <c r="L1549" s="200"/>
      <c r="M1549" s="200"/>
      <c r="N1549" s="197"/>
    </row>
    <row r="1550" spans="1:14">
      <c r="A1550" s="262"/>
      <c r="B1550" s="262"/>
      <c r="C1550" s="197">
        <v>9</v>
      </c>
      <c r="D1550" s="261">
        <v>3</v>
      </c>
      <c r="E1550" s="198">
        <v>0</v>
      </c>
      <c r="F1550" s="197" t="s">
        <v>227</v>
      </c>
      <c r="G1550" s="199" t="s">
        <v>1092</v>
      </c>
      <c r="H1550" s="200">
        <v>0.49</v>
      </c>
      <c r="I1550" s="200">
        <v>1.0049999999999999</v>
      </c>
      <c r="J1550" s="200">
        <v>0.48</v>
      </c>
      <c r="K1550" s="199" t="s">
        <v>229</v>
      </c>
      <c r="L1550" s="200"/>
      <c r="M1550" s="200"/>
      <c r="N1550" s="197"/>
    </row>
    <row r="1551" spans="1:14">
      <c r="A1551" s="262"/>
      <c r="B1551" s="262"/>
      <c r="C1551" s="197">
        <v>10</v>
      </c>
      <c r="D1551" s="262"/>
      <c r="E1551" s="198">
        <v>0</v>
      </c>
      <c r="F1551" s="197" t="s">
        <v>227</v>
      </c>
      <c r="G1551" s="199" t="s">
        <v>241</v>
      </c>
      <c r="H1551" s="200"/>
      <c r="I1551" s="200"/>
      <c r="J1551" s="200"/>
      <c r="K1551" s="199"/>
      <c r="L1551" s="200"/>
      <c r="M1551" s="200"/>
      <c r="N1551" s="197"/>
    </row>
    <row r="1552" spans="1:14">
      <c r="A1552" s="262"/>
      <c r="B1552" s="262"/>
      <c r="C1552" s="197">
        <v>11</v>
      </c>
      <c r="D1552" s="262"/>
      <c r="E1552" s="198">
        <v>0</v>
      </c>
      <c r="F1552" s="197" t="s">
        <v>227</v>
      </c>
      <c r="G1552" s="199" t="s">
        <v>242</v>
      </c>
      <c r="H1552" s="200"/>
      <c r="I1552" s="200"/>
      <c r="J1552" s="200"/>
      <c r="K1552" s="199"/>
      <c r="L1552" s="200"/>
      <c r="M1552" s="200"/>
      <c r="N1552" s="197"/>
    </row>
    <row r="1553" spans="1:14">
      <c r="A1553" s="262"/>
      <c r="B1553" s="262"/>
      <c r="C1553" s="197">
        <v>12</v>
      </c>
      <c r="D1553" s="262"/>
      <c r="E1553" s="198">
        <v>0</v>
      </c>
      <c r="F1553" s="197" t="s">
        <v>227</v>
      </c>
      <c r="G1553" s="199" t="s">
        <v>932</v>
      </c>
      <c r="H1553" s="200"/>
      <c r="I1553" s="200"/>
      <c r="J1553" s="200"/>
      <c r="K1553" s="199"/>
      <c r="L1553" s="200"/>
      <c r="M1553" s="200"/>
      <c r="N1553" s="197"/>
    </row>
    <row r="1554" spans="1:14">
      <c r="A1554" s="262"/>
      <c r="B1554" s="262"/>
      <c r="C1554" s="197">
        <v>13</v>
      </c>
      <c r="D1554" s="261">
        <v>4</v>
      </c>
      <c r="E1554" s="198">
        <v>437.90699499999999</v>
      </c>
      <c r="F1554" s="197"/>
      <c r="G1554" s="199" t="s">
        <v>1480</v>
      </c>
      <c r="H1554" s="200">
        <v>0.51</v>
      </c>
      <c r="I1554" s="200">
        <v>0.99</v>
      </c>
      <c r="J1554" s="200">
        <v>0.49</v>
      </c>
      <c r="K1554" s="199" t="s">
        <v>229</v>
      </c>
      <c r="L1554" s="200"/>
      <c r="M1554" s="200"/>
      <c r="N1554" s="197"/>
    </row>
    <row r="1555" spans="1:14">
      <c r="A1555" s="262"/>
      <c r="B1555" s="262"/>
      <c r="C1555" s="197">
        <v>14</v>
      </c>
      <c r="D1555" s="262"/>
      <c r="E1555" s="198">
        <v>0</v>
      </c>
      <c r="F1555" s="197" t="s">
        <v>227</v>
      </c>
      <c r="G1555" s="199" t="s">
        <v>626</v>
      </c>
      <c r="H1555" s="200"/>
      <c r="I1555" s="200"/>
      <c r="J1555" s="200"/>
      <c r="K1555" s="199"/>
      <c r="L1555" s="200"/>
      <c r="M1555" s="200"/>
      <c r="N1555" s="197"/>
    </row>
    <row r="1556" spans="1:14">
      <c r="A1556" s="262"/>
      <c r="B1556" s="262"/>
      <c r="C1556" s="197">
        <v>15</v>
      </c>
      <c r="D1556" s="262"/>
      <c r="E1556" s="198">
        <v>440.28355900000003</v>
      </c>
      <c r="F1556" s="197"/>
      <c r="G1556" s="199" t="s">
        <v>1481</v>
      </c>
      <c r="H1556" s="200"/>
      <c r="I1556" s="200"/>
      <c r="J1556" s="200"/>
      <c r="K1556" s="199"/>
      <c r="L1556" s="200"/>
      <c r="M1556" s="200"/>
      <c r="N1556" s="197"/>
    </row>
    <row r="1557" spans="1:14">
      <c r="A1557" s="262"/>
      <c r="B1557" s="262"/>
      <c r="C1557" s="197">
        <v>16</v>
      </c>
      <c r="D1557" s="262"/>
      <c r="E1557" s="198">
        <v>442.43523199999998</v>
      </c>
      <c r="F1557" s="197"/>
      <c r="G1557" s="199" t="s">
        <v>1482</v>
      </c>
      <c r="H1557" s="200"/>
      <c r="I1557" s="200"/>
      <c r="J1557" s="200"/>
      <c r="K1557" s="199"/>
      <c r="L1557" s="200"/>
      <c r="M1557" s="200"/>
      <c r="N1557" s="197"/>
    </row>
    <row r="1558" spans="1:14">
      <c r="A1558" s="262"/>
      <c r="B1558" s="262"/>
      <c r="C1558" s="197">
        <v>17</v>
      </c>
      <c r="D1558" s="262"/>
      <c r="E1558" s="198">
        <v>0</v>
      </c>
      <c r="F1558" s="197" t="s">
        <v>227</v>
      </c>
      <c r="G1558" s="199" t="s">
        <v>248</v>
      </c>
      <c r="H1558" s="200"/>
      <c r="I1558" s="200"/>
      <c r="J1558" s="200"/>
      <c r="K1558" s="199"/>
      <c r="L1558" s="200"/>
      <c r="M1558" s="200"/>
      <c r="N1558" s="197"/>
    </row>
    <row r="1559" spans="1:14">
      <c r="A1559" s="262"/>
      <c r="B1559" s="262"/>
      <c r="C1559" s="197">
        <v>18</v>
      </c>
      <c r="D1559" s="262"/>
      <c r="E1559" s="198">
        <v>0</v>
      </c>
      <c r="F1559" s="197" t="s">
        <v>227</v>
      </c>
      <c r="G1559" s="199" t="s">
        <v>249</v>
      </c>
      <c r="H1559" s="200"/>
      <c r="I1559" s="200"/>
      <c r="J1559" s="200"/>
      <c r="K1559" s="199"/>
      <c r="L1559" s="200"/>
      <c r="M1559" s="200"/>
      <c r="N1559" s="197"/>
    </row>
    <row r="1560" spans="1:14">
      <c r="A1560" s="262"/>
      <c r="B1560" s="262"/>
      <c r="C1560" s="197">
        <v>19</v>
      </c>
      <c r="D1560" s="262"/>
      <c r="E1560" s="198">
        <v>0</v>
      </c>
      <c r="F1560" s="197" t="s">
        <v>227</v>
      </c>
      <c r="G1560" s="199" t="s">
        <v>250</v>
      </c>
      <c r="H1560" s="200"/>
      <c r="I1560" s="200"/>
      <c r="J1560" s="200"/>
      <c r="K1560" s="199"/>
      <c r="L1560" s="200"/>
      <c r="M1560" s="200"/>
      <c r="N1560" s="197"/>
    </row>
    <row r="1561" spans="1:14">
      <c r="A1561" s="262"/>
      <c r="B1561" s="262"/>
      <c r="C1561" s="197">
        <v>20</v>
      </c>
      <c r="D1561" s="262"/>
      <c r="E1561" s="198">
        <v>0</v>
      </c>
      <c r="F1561" s="197" t="s">
        <v>227</v>
      </c>
      <c r="G1561" s="199" t="s">
        <v>686</v>
      </c>
      <c r="H1561" s="200"/>
      <c r="I1561" s="200"/>
      <c r="J1561" s="200"/>
      <c r="K1561" s="199"/>
      <c r="L1561" s="200"/>
      <c r="M1561" s="200"/>
      <c r="N1561" s="197"/>
    </row>
    <row r="1562" spans="1:14">
      <c r="A1562" s="262"/>
      <c r="B1562" s="262"/>
      <c r="C1562" s="197">
        <v>21</v>
      </c>
      <c r="D1562" s="262"/>
      <c r="E1562" s="198">
        <v>0</v>
      </c>
      <c r="F1562" s="197" t="s">
        <v>227</v>
      </c>
      <c r="G1562" s="199" t="s">
        <v>252</v>
      </c>
      <c r="H1562" s="200"/>
      <c r="I1562" s="200"/>
      <c r="J1562" s="200"/>
      <c r="K1562" s="199"/>
      <c r="L1562" s="200"/>
      <c r="M1562" s="200"/>
      <c r="N1562" s="197"/>
    </row>
    <row r="1563" spans="1:14">
      <c r="A1563" s="262"/>
      <c r="B1563" s="262"/>
      <c r="C1563" s="197">
        <v>22</v>
      </c>
      <c r="D1563" s="261">
        <v>5</v>
      </c>
      <c r="E1563" s="198">
        <v>0</v>
      </c>
      <c r="F1563" s="197" t="s">
        <v>227</v>
      </c>
      <c r="G1563" s="199" t="s">
        <v>630</v>
      </c>
      <c r="H1563" s="200">
        <v>0.47499999999999998</v>
      </c>
      <c r="I1563" s="200">
        <v>0.98499999999999999</v>
      </c>
      <c r="J1563" s="200">
        <v>0.495</v>
      </c>
      <c r="K1563" s="199" t="s">
        <v>229</v>
      </c>
      <c r="L1563" s="200"/>
      <c r="M1563" s="200"/>
      <c r="N1563" s="197"/>
    </row>
    <row r="1564" spans="1:14">
      <c r="A1564" s="262"/>
      <c r="B1564" s="262"/>
      <c r="C1564" s="197">
        <v>23</v>
      </c>
      <c r="D1564" s="262"/>
      <c r="E1564" s="198">
        <v>0</v>
      </c>
      <c r="F1564" s="197" t="s">
        <v>227</v>
      </c>
      <c r="G1564" s="199" t="s">
        <v>254</v>
      </c>
      <c r="H1564" s="200"/>
      <c r="I1564" s="200"/>
      <c r="J1564" s="200"/>
      <c r="K1564" s="199"/>
      <c r="L1564" s="200"/>
      <c r="M1564" s="200"/>
      <c r="N1564" s="197"/>
    </row>
    <row r="1565" spans="1:14">
      <c r="A1565" s="262"/>
      <c r="B1565" s="262"/>
      <c r="C1565" s="197">
        <v>24</v>
      </c>
      <c r="D1565" s="262"/>
      <c r="E1565" s="198">
        <v>0</v>
      </c>
      <c r="F1565" s="197" t="s">
        <v>227</v>
      </c>
      <c r="G1565" s="199" t="s">
        <v>631</v>
      </c>
      <c r="H1565" s="200"/>
      <c r="I1565" s="200"/>
      <c r="J1565" s="200"/>
      <c r="K1565" s="199"/>
      <c r="L1565" s="200"/>
      <c r="M1565" s="200"/>
      <c r="N1565" s="197"/>
    </row>
    <row r="1566" spans="1:14">
      <c r="A1566" s="262"/>
      <c r="B1566" s="262"/>
      <c r="C1566" s="197">
        <v>25</v>
      </c>
      <c r="D1566" s="262"/>
      <c r="E1566" s="198">
        <v>0</v>
      </c>
      <c r="F1566" s="197" t="s">
        <v>227</v>
      </c>
      <c r="G1566" s="199" t="s">
        <v>632</v>
      </c>
      <c r="H1566" s="200"/>
      <c r="I1566" s="200"/>
      <c r="J1566" s="200"/>
      <c r="K1566" s="199"/>
      <c r="L1566" s="200"/>
      <c r="M1566" s="200"/>
      <c r="N1566" s="197"/>
    </row>
    <row r="1567" spans="1:14">
      <c r="A1567" s="262"/>
      <c r="B1567" s="262"/>
      <c r="C1567" s="197">
        <v>26</v>
      </c>
      <c r="D1567" s="262"/>
      <c r="E1567" s="198">
        <v>443.23353500000002</v>
      </c>
      <c r="F1567" s="197"/>
      <c r="G1567" s="199" t="s">
        <v>1483</v>
      </c>
      <c r="H1567" s="200"/>
      <c r="I1567" s="200"/>
      <c r="J1567" s="200"/>
      <c r="K1567" s="199"/>
      <c r="L1567" s="200"/>
      <c r="M1567" s="200"/>
      <c r="N1567" s="197"/>
    </row>
    <row r="1568" spans="1:14">
      <c r="A1568" s="262"/>
      <c r="B1568" s="262"/>
      <c r="C1568" s="197">
        <v>27</v>
      </c>
      <c r="D1568" s="262"/>
      <c r="E1568" s="198">
        <v>442.00975899999997</v>
      </c>
      <c r="F1568" s="197"/>
      <c r="G1568" s="199" t="s">
        <v>1484</v>
      </c>
      <c r="H1568" s="200"/>
      <c r="I1568" s="200"/>
      <c r="J1568" s="200"/>
      <c r="K1568" s="199"/>
      <c r="L1568" s="200"/>
      <c r="M1568" s="200"/>
      <c r="N1568" s="197"/>
    </row>
    <row r="1569" spans="1:14">
      <c r="A1569" s="262"/>
      <c r="B1569" s="262"/>
      <c r="C1569" s="197">
        <v>28</v>
      </c>
      <c r="D1569" s="261">
        <v>6</v>
      </c>
      <c r="E1569" s="198">
        <v>393.11184700000001</v>
      </c>
      <c r="F1569" s="197" t="s">
        <v>227</v>
      </c>
      <c r="G1569" s="199" t="s">
        <v>1485</v>
      </c>
      <c r="H1569" s="200">
        <v>0.47499999999999998</v>
      </c>
      <c r="I1569" s="200">
        <v>1.0049999999999999</v>
      </c>
      <c r="J1569" s="200">
        <v>0.47499999999999998</v>
      </c>
      <c r="K1569" s="199" t="s">
        <v>229</v>
      </c>
      <c r="L1569" s="200"/>
      <c r="M1569" s="200"/>
      <c r="N1569" s="197"/>
    </row>
    <row r="1570" spans="1:14">
      <c r="A1570" s="262"/>
      <c r="B1570" s="262"/>
      <c r="C1570" s="197">
        <v>29</v>
      </c>
      <c r="D1570" s="262"/>
      <c r="E1570" s="198">
        <v>391.925095</v>
      </c>
      <c r="F1570" s="197"/>
      <c r="G1570" s="199" t="s">
        <v>1486</v>
      </c>
      <c r="H1570" s="200"/>
      <c r="I1570" s="200"/>
      <c r="J1570" s="200"/>
      <c r="K1570" s="199"/>
      <c r="L1570" s="200"/>
      <c r="M1570" s="200"/>
      <c r="N1570" s="197"/>
    </row>
    <row r="1571" spans="1:14">
      <c r="A1571" s="262"/>
      <c r="B1571" s="262"/>
      <c r="C1571" s="197">
        <v>30</v>
      </c>
      <c r="D1571" s="262"/>
      <c r="E1571" s="198">
        <v>390.11097899999999</v>
      </c>
      <c r="F1571" s="197"/>
      <c r="G1571" s="199" t="s">
        <v>1487</v>
      </c>
      <c r="H1571" s="200"/>
      <c r="I1571" s="200"/>
      <c r="J1571" s="200"/>
      <c r="K1571" s="199"/>
      <c r="L1571" s="200"/>
      <c r="M1571" s="200"/>
      <c r="N1571" s="197"/>
    </row>
    <row r="1572" spans="1:14">
      <c r="A1572" s="262"/>
      <c r="B1572" s="262"/>
      <c r="C1572" s="197">
        <v>31</v>
      </c>
      <c r="D1572" s="261">
        <v>7</v>
      </c>
      <c r="E1572" s="198">
        <v>0</v>
      </c>
      <c r="F1572" s="197" t="s">
        <v>227</v>
      </c>
      <c r="G1572" s="199" t="s">
        <v>1488</v>
      </c>
      <c r="H1572" s="200">
        <v>0.49</v>
      </c>
      <c r="I1572" s="200">
        <v>0.995</v>
      </c>
      <c r="J1572" s="200">
        <v>0.48499999999999999</v>
      </c>
      <c r="K1572" s="199" t="s">
        <v>229</v>
      </c>
      <c r="L1572" s="200"/>
      <c r="M1572" s="200"/>
      <c r="N1572" s="197"/>
    </row>
    <row r="1573" spans="1:14">
      <c r="A1573" s="262"/>
      <c r="B1573" s="262"/>
      <c r="C1573" s="197">
        <v>32</v>
      </c>
      <c r="D1573" s="262"/>
      <c r="E1573" s="198">
        <v>299.27128499999998</v>
      </c>
      <c r="F1573" s="197"/>
      <c r="G1573" s="199" t="s">
        <v>1489</v>
      </c>
      <c r="H1573" s="200"/>
      <c r="I1573" s="200"/>
      <c r="J1573" s="200"/>
      <c r="K1573" s="199"/>
      <c r="L1573" s="200"/>
      <c r="M1573" s="200"/>
      <c r="N1573" s="197"/>
    </row>
    <row r="1574" spans="1:14">
      <c r="A1574" s="262"/>
      <c r="B1574" s="262"/>
      <c r="C1574" s="197">
        <v>33</v>
      </c>
      <c r="D1574" s="262"/>
      <c r="E1574" s="198">
        <v>300.71445599999998</v>
      </c>
      <c r="F1574" s="197"/>
      <c r="G1574" s="199" t="s">
        <v>1490</v>
      </c>
      <c r="H1574" s="200"/>
      <c r="I1574" s="200"/>
      <c r="J1574" s="200"/>
      <c r="K1574" s="199"/>
      <c r="L1574" s="200"/>
      <c r="M1574" s="200"/>
      <c r="N1574" s="197"/>
    </row>
    <row r="1575" spans="1:14">
      <c r="A1575" s="262"/>
      <c r="B1575" s="262"/>
      <c r="C1575" s="197">
        <v>34</v>
      </c>
      <c r="D1575" s="261">
        <v>8</v>
      </c>
      <c r="E1575" s="198">
        <v>302.362863</v>
      </c>
      <c r="F1575" s="197" t="s">
        <v>227</v>
      </c>
      <c r="G1575" s="199" t="s">
        <v>1491</v>
      </c>
      <c r="H1575" s="200">
        <v>0.48499999999999999</v>
      </c>
      <c r="I1575" s="200">
        <v>0.995</v>
      </c>
      <c r="J1575" s="200">
        <v>0.47499999999999998</v>
      </c>
      <c r="K1575" s="199" t="s">
        <v>229</v>
      </c>
      <c r="L1575" s="200"/>
      <c r="M1575" s="200"/>
      <c r="N1575" s="197"/>
    </row>
    <row r="1576" spans="1:14">
      <c r="A1576" s="262"/>
      <c r="B1576" s="262"/>
      <c r="C1576" s="197">
        <v>35</v>
      </c>
      <c r="D1576" s="262"/>
      <c r="E1576" s="198">
        <v>304.76849399999998</v>
      </c>
      <c r="F1576" s="197"/>
      <c r="G1576" s="199" t="s">
        <v>1492</v>
      </c>
      <c r="H1576" s="200"/>
      <c r="I1576" s="200"/>
      <c r="J1576" s="200"/>
      <c r="K1576" s="199"/>
      <c r="L1576" s="200"/>
      <c r="M1576" s="200"/>
      <c r="N1576" s="197"/>
    </row>
    <row r="1577" spans="1:14">
      <c r="A1577" s="262"/>
      <c r="B1577" s="262"/>
      <c r="C1577" s="197">
        <v>36</v>
      </c>
      <c r="D1577" s="262"/>
      <c r="E1577" s="198">
        <v>301.61987299999998</v>
      </c>
      <c r="F1577" s="197"/>
      <c r="G1577" s="199" t="s">
        <v>1493</v>
      </c>
      <c r="H1577" s="200"/>
      <c r="I1577" s="200"/>
      <c r="J1577" s="200"/>
      <c r="K1577" s="199"/>
      <c r="L1577" s="200"/>
      <c r="M1577" s="200"/>
      <c r="N1577" s="197"/>
    </row>
    <row r="1578" spans="1:14">
      <c r="A1578" s="262"/>
      <c r="B1578" s="262"/>
      <c r="C1578" s="197">
        <v>37</v>
      </c>
      <c r="D1578" s="262"/>
      <c r="E1578" s="198">
        <v>303.94735700000001</v>
      </c>
      <c r="F1578" s="197"/>
      <c r="G1578" s="199" t="s">
        <v>1494</v>
      </c>
      <c r="H1578" s="200"/>
      <c r="I1578" s="200"/>
      <c r="J1578" s="200"/>
      <c r="K1578" s="199"/>
      <c r="L1578" s="200"/>
      <c r="M1578" s="200"/>
      <c r="N1578" s="197"/>
    </row>
    <row r="1579" spans="1:14">
      <c r="A1579" s="262"/>
      <c r="B1579" s="262"/>
      <c r="C1579" s="197">
        <v>38</v>
      </c>
      <c r="D1579" s="262"/>
      <c r="E1579" s="198">
        <v>307.10305799999998</v>
      </c>
      <c r="F1579" s="197"/>
      <c r="G1579" s="199" t="s">
        <v>1495</v>
      </c>
      <c r="H1579" s="200"/>
      <c r="I1579" s="200"/>
      <c r="J1579" s="200"/>
      <c r="K1579" s="199"/>
      <c r="L1579" s="200"/>
      <c r="M1579" s="200"/>
      <c r="N1579" s="197"/>
    </row>
    <row r="1580" spans="1:14">
      <c r="A1580" s="262"/>
      <c r="B1580" s="262"/>
      <c r="C1580" s="197">
        <v>39</v>
      </c>
      <c r="D1580" s="262"/>
      <c r="E1580" s="198">
        <v>302.33090199999998</v>
      </c>
      <c r="F1580" s="197"/>
      <c r="G1580" s="199" t="s">
        <v>1496</v>
      </c>
      <c r="H1580" s="200"/>
      <c r="I1580" s="200"/>
      <c r="J1580" s="200"/>
      <c r="K1580" s="199"/>
      <c r="L1580" s="200"/>
      <c r="M1580" s="200"/>
      <c r="N1580" s="197"/>
    </row>
    <row r="1581" spans="1:14">
      <c r="A1581" s="262"/>
      <c r="B1581" s="262"/>
      <c r="C1581" s="197">
        <v>40</v>
      </c>
      <c r="D1581" s="262"/>
      <c r="E1581" s="198">
        <v>0</v>
      </c>
      <c r="F1581" s="197" t="s">
        <v>227</v>
      </c>
      <c r="G1581" s="199" t="s">
        <v>271</v>
      </c>
      <c r="H1581" s="200"/>
      <c r="I1581" s="200"/>
      <c r="J1581" s="200"/>
      <c r="K1581" s="199"/>
      <c r="L1581" s="200"/>
      <c r="M1581" s="200"/>
      <c r="N1581" s="197"/>
    </row>
    <row r="1582" spans="1:14">
      <c r="A1582" s="262"/>
      <c r="B1582" s="262"/>
      <c r="C1582" s="197">
        <v>41</v>
      </c>
      <c r="D1582" s="262"/>
      <c r="E1582" s="198">
        <v>0</v>
      </c>
      <c r="F1582" s="197" t="s">
        <v>227</v>
      </c>
      <c r="G1582" s="199" t="s">
        <v>643</v>
      </c>
      <c r="H1582" s="200"/>
      <c r="I1582" s="200"/>
      <c r="J1582" s="200"/>
      <c r="K1582" s="199"/>
      <c r="L1582" s="200"/>
      <c r="M1582" s="200"/>
      <c r="N1582" s="197"/>
    </row>
    <row r="1583" spans="1:14">
      <c r="A1583" s="262"/>
      <c r="B1583" s="262"/>
      <c r="C1583" s="197">
        <v>42</v>
      </c>
      <c r="D1583" s="262"/>
      <c r="E1583" s="198">
        <v>0</v>
      </c>
      <c r="F1583" s="197" t="s">
        <v>227</v>
      </c>
      <c r="G1583" s="199" t="s">
        <v>364</v>
      </c>
      <c r="H1583" s="200"/>
      <c r="I1583" s="200"/>
      <c r="J1583" s="200"/>
      <c r="K1583" s="199"/>
      <c r="L1583" s="200"/>
      <c r="M1583" s="200"/>
      <c r="N1583" s="197"/>
    </row>
    <row r="1584" spans="1:14">
      <c r="A1584" s="262"/>
      <c r="B1584" s="262"/>
      <c r="C1584" s="197">
        <v>43</v>
      </c>
      <c r="D1584" s="261">
        <v>9</v>
      </c>
      <c r="E1584" s="198">
        <v>0</v>
      </c>
      <c r="F1584" s="197" t="s">
        <v>227</v>
      </c>
      <c r="G1584" s="199" t="s">
        <v>274</v>
      </c>
      <c r="H1584" s="200">
        <v>0.495</v>
      </c>
      <c r="I1584" s="200">
        <v>1.0049999999999999</v>
      </c>
      <c r="J1584" s="200">
        <v>0.49</v>
      </c>
      <c r="K1584" s="199" t="s">
        <v>229</v>
      </c>
      <c r="L1584" s="200"/>
      <c r="M1584" s="200"/>
      <c r="N1584" s="197"/>
    </row>
    <row r="1585" spans="1:14">
      <c r="A1585" s="262"/>
      <c r="B1585" s="262"/>
      <c r="C1585" s="197">
        <v>44</v>
      </c>
      <c r="D1585" s="262"/>
      <c r="E1585" s="198">
        <v>0</v>
      </c>
      <c r="F1585" s="197" t="s">
        <v>227</v>
      </c>
      <c r="G1585" s="199" t="s">
        <v>1497</v>
      </c>
      <c r="H1585" s="200"/>
      <c r="I1585" s="200"/>
      <c r="J1585" s="200"/>
      <c r="K1585" s="199"/>
      <c r="L1585" s="200"/>
      <c r="M1585" s="200"/>
      <c r="N1585" s="197"/>
    </row>
    <row r="1586" spans="1:14">
      <c r="A1586" s="262"/>
      <c r="B1586" s="262"/>
      <c r="C1586" s="197">
        <v>45</v>
      </c>
      <c r="D1586" s="262"/>
      <c r="E1586" s="198">
        <v>0</v>
      </c>
      <c r="F1586" s="197" t="s">
        <v>227</v>
      </c>
      <c r="G1586" s="199" t="s">
        <v>1124</v>
      </c>
      <c r="H1586" s="200"/>
      <c r="I1586" s="200"/>
      <c r="J1586" s="200"/>
      <c r="K1586" s="199"/>
      <c r="L1586" s="200"/>
      <c r="M1586" s="200"/>
      <c r="N1586" s="197"/>
    </row>
    <row r="1587" spans="1:14">
      <c r="A1587" s="262"/>
      <c r="B1587" s="262"/>
      <c r="C1587" s="197">
        <v>46</v>
      </c>
      <c r="D1587" s="262"/>
      <c r="E1587" s="198">
        <v>0</v>
      </c>
      <c r="F1587" s="197" t="s">
        <v>227</v>
      </c>
      <c r="G1587" s="199" t="s">
        <v>1498</v>
      </c>
      <c r="H1587" s="200"/>
      <c r="I1587" s="200"/>
      <c r="J1587" s="200"/>
      <c r="K1587" s="199"/>
      <c r="L1587" s="200"/>
      <c r="M1587" s="200"/>
      <c r="N1587" s="197"/>
    </row>
    <row r="1588" spans="1:14">
      <c r="A1588" s="262"/>
      <c r="B1588" s="262"/>
      <c r="C1588" s="197">
        <v>47</v>
      </c>
      <c r="D1588" s="262"/>
      <c r="E1588" s="198">
        <v>776.40844700000002</v>
      </c>
      <c r="F1588" s="197" t="s">
        <v>281</v>
      </c>
      <c r="G1588" s="199" t="s">
        <v>1499</v>
      </c>
      <c r="H1588" s="200"/>
      <c r="I1588" s="200"/>
      <c r="J1588" s="200"/>
      <c r="K1588" s="199"/>
      <c r="L1588" s="200"/>
      <c r="M1588" s="200"/>
      <c r="N1588" s="197"/>
    </row>
    <row r="1589" spans="1:14">
      <c r="A1589" s="262"/>
      <c r="B1589" s="262"/>
      <c r="C1589" s="197">
        <v>48</v>
      </c>
      <c r="D1589" s="262"/>
      <c r="E1589" s="198">
        <v>388.67298</v>
      </c>
      <c r="F1589" s="197"/>
      <c r="G1589" s="199" t="s">
        <v>1500</v>
      </c>
      <c r="H1589" s="200"/>
      <c r="I1589" s="200"/>
      <c r="J1589" s="200"/>
      <c r="K1589" s="199"/>
      <c r="L1589" s="200"/>
      <c r="M1589" s="200"/>
      <c r="N1589" s="197"/>
    </row>
    <row r="1590" spans="1:14">
      <c r="A1590" s="262"/>
      <c r="B1590" s="262"/>
      <c r="C1590" s="197">
        <v>49</v>
      </c>
      <c r="D1590" s="261">
        <v>10</v>
      </c>
      <c r="E1590" s="198">
        <v>387.91665599999999</v>
      </c>
      <c r="F1590" s="197" t="s">
        <v>227</v>
      </c>
      <c r="G1590" s="199" t="s">
        <v>1501</v>
      </c>
      <c r="H1590" s="200">
        <v>0.47499999999999998</v>
      </c>
      <c r="I1590" s="200">
        <v>0.98</v>
      </c>
      <c r="J1590" s="200">
        <v>0.5</v>
      </c>
      <c r="K1590" s="199" t="s">
        <v>229</v>
      </c>
      <c r="L1590" s="200"/>
      <c r="M1590" s="200"/>
      <c r="N1590" s="197"/>
    </row>
    <row r="1591" spans="1:14">
      <c r="A1591" s="262"/>
      <c r="B1591" s="262"/>
      <c r="C1591" s="197">
        <v>50</v>
      </c>
      <c r="D1591" s="262"/>
      <c r="E1591" s="198">
        <v>291.46588300000002</v>
      </c>
      <c r="F1591" s="197"/>
      <c r="G1591" s="199" t="s">
        <v>1502</v>
      </c>
      <c r="H1591" s="200"/>
      <c r="I1591" s="200"/>
      <c r="J1591" s="200"/>
      <c r="K1591" s="199"/>
      <c r="L1591" s="200"/>
      <c r="M1591" s="200"/>
      <c r="N1591" s="197"/>
    </row>
    <row r="1592" spans="1:14">
      <c r="A1592" s="262"/>
      <c r="B1592" s="262"/>
      <c r="C1592" s="197">
        <v>51</v>
      </c>
      <c r="D1592" s="262"/>
      <c r="E1592" s="198">
        <v>297.81797899999998</v>
      </c>
      <c r="F1592" s="197"/>
      <c r="G1592" s="199" t="s">
        <v>1503</v>
      </c>
      <c r="H1592" s="200"/>
      <c r="I1592" s="200"/>
      <c r="J1592" s="200"/>
      <c r="K1592" s="199"/>
      <c r="L1592" s="200"/>
      <c r="M1592" s="200"/>
      <c r="N1592" s="197"/>
    </row>
    <row r="1593" spans="1:14">
      <c r="A1593" s="262"/>
      <c r="B1593" s="262"/>
      <c r="C1593" s="197">
        <v>52</v>
      </c>
      <c r="D1593" s="262"/>
      <c r="E1593" s="198">
        <v>0</v>
      </c>
      <c r="F1593" s="197" t="s">
        <v>227</v>
      </c>
      <c r="G1593" s="199" t="s">
        <v>1504</v>
      </c>
      <c r="H1593" s="200"/>
      <c r="I1593" s="200"/>
      <c r="J1593" s="200"/>
      <c r="K1593" s="199"/>
      <c r="L1593" s="200"/>
      <c r="M1593" s="200"/>
      <c r="N1593" s="197"/>
    </row>
    <row r="1594" spans="1:14">
      <c r="A1594" s="262"/>
      <c r="B1594" s="262"/>
      <c r="C1594" s="197">
        <v>53</v>
      </c>
      <c r="D1594" s="261">
        <v>11</v>
      </c>
      <c r="E1594" s="198">
        <v>0</v>
      </c>
      <c r="F1594" s="197" t="s">
        <v>227</v>
      </c>
      <c r="G1594" s="199" t="s">
        <v>1505</v>
      </c>
      <c r="H1594" s="200">
        <v>0.46</v>
      </c>
      <c r="I1594" s="200">
        <v>0.98499999999999999</v>
      </c>
      <c r="J1594" s="200">
        <v>0.47</v>
      </c>
      <c r="K1594" s="199" t="s">
        <v>229</v>
      </c>
      <c r="L1594" s="200"/>
      <c r="M1594" s="200"/>
      <c r="N1594" s="197"/>
    </row>
    <row r="1595" spans="1:14">
      <c r="A1595" s="262"/>
      <c r="B1595" s="262"/>
      <c r="C1595" s="197">
        <v>54</v>
      </c>
      <c r="D1595" s="262"/>
      <c r="E1595" s="198">
        <v>572.73655399999996</v>
      </c>
      <c r="F1595" s="197"/>
      <c r="G1595" s="199" t="s">
        <v>1506</v>
      </c>
      <c r="H1595" s="200"/>
      <c r="I1595" s="200"/>
      <c r="J1595" s="200"/>
      <c r="K1595" s="199"/>
      <c r="L1595" s="200"/>
      <c r="M1595" s="200"/>
      <c r="N1595" s="197"/>
    </row>
    <row r="1596" spans="1:14">
      <c r="A1596" s="262"/>
      <c r="B1596" s="262"/>
      <c r="C1596" s="197">
        <v>55</v>
      </c>
      <c r="D1596" s="262"/>
      <c r="E1596" s="198">
        <v>594.62861199999998</v>
      </c>
      <c r="F1596" s="197"/>
      <c r="G1596" s="199" t="s">
        <v>1507</v>
      </c>
      <c r="H1596" s="200"/>
      <c r="I1596" s="200"/>
      <c r="J1596" s="200"/>
      <c r="K1596" s="199"/>
      <c r="L1596" s="200"/>
      <c r="M1596" s="200"/>
      <c r="N1596" s="197"/>
    </row>
    <row r="1597" spans="1:14">
      <c r="A1597" s="262"/>
      <c r="B1597" s="262"/>
      <c r="C1597" s="197">
        <v>56</v>
      </c>
      <c r="D1597" s="262"/>
      <c r="E1597" s="198">
        <v>598.73377700000003</v>
      </c>
      <c r="F1597" s="197"/>
      <c r="G1597" s="199" t="s">
        <v>1508</v>
      </c>
      <c r="H1597" s="200"/>
      <c r="I1597" s="200"/>
      <c r="J1597" s="200"/>
      <c r="K1597" s="199"/>
      <c r="L1597" s="200"/>
      <c r="M1597" s="200"/>
      <c r="N1597" s="197"/>
    </row>
    <row r="1598" spans="1:14">
      <c r="A1598" s="262"/>
      <c r="B1598" s="262"/>
      <c r="C1598" s="197">
        <v>57</v>
      </c>
      <c r="D1598" s="261">
        <v>12</v>
      </c>
      <c r="E1598" s="198">
        <v>0</v>
      </c>
      <c r="F1598" s="197" t="s">
        <v>227</v>
      </c>
      <c r="G1598" s="199" t="s">
        <v>289</v>
      </c>
      <c r="H1598" s="200">
        <v>0.495</v>
      </c>
      <c r="I1598" s="200">
        <v>0.995</v>
      </c>
      <c r="J1598" s="200">
        <v>0.5</v>
      </c>
      <c r="K1598" s="199" t="s">
        <v>229</v>
      </c>
      <c r="L1598" s="200"/>
      <c r="M1598" s="200"/>
      <c r="N1598" s="197"/>
    </row>
    <row r="1599" spans="1:14">
      <c r="A1599" s="262"/>
      <c r="B1599" s="262"/>
      <c r="C1599" s="197">
        <v>58</v>
      </c>
      <c r="D1599" s="262"/>
      <c r="E1599" s="198">
        <v>384.49581899999998</v>
      </c>
      <c r="F1599" s="197"/>
      <c r="G1599" s="199" t="s">
        <v>1509</v>
      </c>
      <c r="H1599" s="200"/>
      <c r="I1599" s="200"/>
      <c r="J1599" s="200"/>
      <c r="K1599" s="199"/>
      <c r="L1599" s="200"/>
      <c r="M1599" s="200"/>
      <c r="N1599" s="197"/>
    </row>
    <row r="1600" spans="1:14">
      <c r="A1600" s="262"/>
      <c r="B1600" s="262"/>
      <c r="C1600" s="197">
        <v>59</v>
      </c>
      <c r="D1600" s="262"/>
      <c r="E1600" s="198">
        <v>383.28222699999998</v>
      </c>
      <c r="F1600" s="197"/>
      <c r="G1600" s="199" t="s">
        <v>1510</v>
      </c>
      <c r="H1600" s="200"/>
      <c r="I1600" s="200"/>
      <c r="J1600" s="200"/>
      <c r="K1600" s="199"/>
      <c r="L1600" s="200"/>
      <c r="M1600" s="200"/>
      <c r="N1600" s="197"/>
    </row>
    <row r="1601" spans="1:14">
      <c r="A1601" s="262"/>
      <c r="B1601" s="262"/>
      <c r="C1601" s="197">
        <v>60</v>
      </c>
      <c r="D1601" s="262"/>
      <c r="E1601" s="198">
        <v>379.82775900000001</v>
      </c>
      <c r="F1601" s="197"/>
      <c r="G1601" s="199" t="s">
        <v>1511</v>
      </c>
      <c r="H1601" s="200"/>
      <c r="I1601" s="200"/>
      <c r="J1601" s="200"/>
      <c r="K1601" s="199"/>
      <c r="L1601" s="200"/>
      <c r="M1601" s="200"/>
      <c r="N1601" s="197"/>
    </row>
    <row r="1602" spans="1:14">
      <c r="A1602" s="262"/>
      <c r="B1602" s="262"/>
      <c r="C1602" s="197">
        <v>61</v>
      </c>
      <c r="D1602" s="262"/>
      <c r="E1602" s="198">
        <v>383.63711499999999</v>
      </c>
      <c r="F1602" s="197"/>
      <c r="G1602" s="199" t="s">
        <v>1512</v>
      </c>
      <c r="H1602" s="200"/>
      <c r="I1602" s="200"/>
      <c r="J1602" s="200"/>
      <c r="K1602" s="199"/>
      <c r="L1602" s="200"/>
      <c r="M1602" s="200"/>
      <c r="N1602" s="197"/>
    </row>
    <row r="1603" spans="1:14">
      <c r="A1603" s="262"/>
      <c r="B1603" s="262"/>
      <c r="C1603" s="197">
        <v>62</v>
      </c>
      <c r="D1603" s="262"/>
      <c r="E1603" s="198">
        <v>385.15283199999999</v>
      </c>
      <c r="F1603" s="197"/>
      <c r="G1603" s="199" t="s">
        <v>1513</v>
      </c>
      <c r="H1603" s="200"/>
      <c r="I1603" s="200"/>
      <c r="J1603" s="200"/>
      <c r="K1603" s="199"/>
      <c r="L1603" s="200"/>
      <c r="M1603" s="200"/>
      <c r="N1603" s="197"/>
    </row>
    <row r="1604" spans="1:14">
      <c r="A1604" s="262"/>
      <c r="B1604" s="262"/>
      <c r="C1604" s="197">
        <v>63</v>
      </c>
      <c r="D1604" s="262"/>
      <c r="E1604" s="198">
        <v>377.04854799999998</v>
      </c>
      <c r="F1604" s="197"/>
      <c r="G1604" s="199" t="s">
        <v>1514</v>
      </c>
      <c r="H1604" s="200"/>
      <c r="I1604" s="200"/>
      <c r="J1604" s="200"/>
      <c r="K1604" s="199"/>
      <c r="L1604" s="200"/>
      <c r="M1604" s="200"/>
      <c r="N1604" s="197"/>
    </row>
    <row r="1605" spans="1:14">
      <c r="A1605" s="262"/>
      <c r="B1605" s="262"/>
      <c r="C1605" s="197">
        <v>64</v>
      </c>
      <c r="D1605" s="262"/>
      <c r="E1605" s="198">
        <v>0</v>
      </c>
      <c r="F1605" s="197" t="s">
        <v>227</v>
      </c>
      <c r="G1605" s="199" t="s">
        <v>386</v>
      </c>
      <c r="H1605" s="200"/>
      <c r="I1605" s="200"/>
      <c r="J1605" s="200"/>
      <c r="K1605" s="199"/>
      <c r="L1605" s="200"/>
      <c r="M1605" s="200"/>
      <c r="N1605" s="197"/>
    </row>
    <row r="1606" spans="1:14">
      <c r="A1606" s="262"/>
      <c r="B1606" s="262"/>
      <c r="C1606" s="197">
        <v>65</v>
      </c>
      <c r="D1606" s="262"/>
      <c r="E1606" s="198">
        <v>0</v>
      </c>
      <c r="F1606" s="197" t="s">
        <v>227</v>
      </c>
      <c r="G1606" s="199" t="s">
        <v>1142</v>
      </c>
      <c r="H1606" s="200"/>
      <c r="I1606" s="200"/>
      <c r="J1606" s="200"/>
      <c r="K1606" s="199"/>
      <c r="L1606" s="200"/>
      <c r="M1606" s="200"/>
      <c r="N1606" s="197"/>
    </row>
    <row r="1607" spans="1:14">
      <c r="A1607" s="262"/>
      <c r="B1607" s="262"/>
      <c r="C1607" s="197">
        <v>66</v>
      </c>
      <c r="D1607" s="262"/>
      <c r="E1607" s="198">
        <v>0</v>
      </c>
      <c r="F1607" s="197" t="s">
        <v>227</v>
      </c>
      <c r="G1607" s="199" t="s">
        <v>1143</v>
      </c>
      <c r="H1607" s="200"/>
      <c r="I1607" s="200"/>
      <c r="J1607" s="200"/>
      <c r="K1607" s="199"/>
      <c r="L1607" s="200"/>
      <c r="M1607" s="200"/>
      <c r="N1607" s="197"/>
    </row>
    <row r="1608" spans="1:14">
      <c r="A1608" s="262"/>
      <c r="B1608" s="262"/>
      <c r="C1608" s="197">
        <v>67</v>
      </c>
      <c r="D1608" s="261">
        <v>13</v>
      </c>
      <c r="E1608" s="198">
        <v>0</v>
      </c>
      <c r="F1608" s="197" t="s">
        <v>227</v>
      </c>
      <c r="G1608" s="199" t="s">
        <v>1216</v>
      </c>
      <c r="H1608" s="200">
        <v>0.47499999999999998</v>
      </c>
      <c r="I1608" s="200">
        <v>0.995</v>
      </c>
      <c r="J1608" s="200">
        <v>0.5</v>
      </c>
      <c r="K1608" s="199" t="s">
        <v>229</v>
      </c>
      <c r="L1608" s="200"/>
      <c r="M1608" s="200"/>
      <c r="N1608" s="197"/>
    </row>
    <row r="1609" spans="1:14">
      <c r="A1609" s="262"/>
      <c r="B1609" s="262"/>
      <c r="C1609" s="197">
        <v>68</v>
      </c>
      <c r="D1609" s="262"/>
      <c r="E1609" s="198">
        <v>0</v>
      </c>
      <c r="F1609" s="197" t="s">
        <v>227</v>
      </c>
      <c r="G1609" s="199" t="s">
        <v>1217</v>
      </c>
      <c r="H1609" s="200"/>
      <c r="I1609" s="200"/>
      <c r="J1609" s="200"/>
      <c r="K1609" s="199"/>
      <c r="L1609" s="200"/>
      <c r="M1609" s="200"/>
      <c r="N1609" s="197"/>
    </row>
    <row r="1610" spans="1:14">
      <c r="A1610" s="262"/>
      <c r="B1610" s="262"/>
      <c r="C1610" s="197">
        <v>69</v>
      </c>
      <c r="D1610" s="262"/>
      <c r="E1610" s="198">
        <v>0</v>
      </c>
      <c r="F1610" s="197" t="s">
        <v>227</v>
      </c>
      <c r="G1610" s="199" t="s">
        <v>1515</v>
      </c>
      <c r="H1610" s="200"/>
      <c r="I1610" s="200"/>
      <c r="J1610" s="200"/>
      <c r="K1610" s="199"/>
      <c r="L1610" s="200"/>
      <c r="M1610" s="200"/>
      <c r="N1610" s="197"/>
    </row>
    <row r="1611" spans="1:14">
      <c r="A1611" s="262"/>
      <c r="B1611" s="262"/>
      <c r="C1611" s="197">
        <v>70</v>
      </c>
      <c r="D1611" s="262"/>
      <c r="E1611" s="198">
        <v>0</v>
      </c>
      <c r="F1611" s="197" t="s">
        <v>227</v>
      </c>
      <c r="G1611" s="199" t="s">
        <v>1516</v>
      </c>
      <c r="H1611" s="200"/>
      <c r="I1611" s="200"/>
      <c r="J1611" s="200"/>
      <c r="K1611" s="199"/>
      <c r="L1611" s="200"/>
      <c r="M1611" s="200"/>
      <c r="N1611" s="197"/>
    </row>
    <row r="1612" spans="1:14">
      <c r="A1612" s="262"/>
      <c r="B1612" s="262"/>
      <c r="C1612" s="197">
        <v>71</v>
      </c>
      <c r="D1612" s="262"/>
      <c r="E1612" s="198">
        <v>0</v>
      </c>
      <c r="F1612" s="197" t="s">
        <v>227</v>
      </c>
      <c r="G1612" s="199" t="s">
        <v>1517</v>
      </c>
      <c r="H1612" s="200"/>
      <c r="I1612" s="200"/>
      <c r="J1612" s="200"/>
      <c r="K1612" s="199"/>
      <c r="L1612" s="200"/>
      <c r="M1612" s="200"/>
      <c r="N1612" s="197"/>
    </row>
    <row r="1613" spans="1:14">
      <c r="A1613" s="262"/>
      <c r="B1613" s="262"/>
      <c r="C1613" s="197">
        <v>72</v>
      </c>
      <c r="D1613" s="261">
        <v>14</v>
      </c>
      <c r="E1613" s="198">
        <v>0</v>
      </c>
      <c r="F1613" s="197" t="s">
        <v>227</v>
      </c>
      <c r="G1613" s="199" t="s">
        <v>1518</v>
      </c>
      <c r="H1613" s="200">
        <v>0.47</v>
      </c>
      <c r="I1613" s="200">
        <v>0.99</v>
      </c>
      <c r="J1613" s="200">
        <v>0.495</v>
      </c>
      <c r="K1613" s="199" t="s">
        <v>229</v>
      </c>
      <c r="L1613" s="200"/>
      <c r="M1613" s="200"/>
      <c r="N1613" s="197"/>
    </row>
    <row r="1614" spans="1:14">
      <c r="A1614" s="262"/>
      <c r="B1614" s="262"/>
      <c r="C1614" s="197">
        <v>73</v>
      </c>
      <c r="D1614" s="262"/>
      <c r="E1614" s="198">
        <v>0</v>
      </c>
      <c r="F1614" s="197" t="s">
        <v>227</v>
      </c>
      <c r="G1614" s="199" t="s">
        <v>1519</v>
      </c>
      <c r="H1614" s="200"/>
      <c r="I1614" s="200"/>
      <c r="J1614" s="200"/>
      <c r="K1614" s="199"/>
      <c r="L1614" s="200"/>
      <c r="M1614" s="200"/>
      <c r="N1614" s="197"/>
    </row>
    <row r="1615" spans="1:14">
      <c r="A1615" s="262"/>
      <c r="B1615" s="262"/>
      <c r="C1615" s="197">
        <v>74</v>
      </c>
      <c r="D1615" s="262"/>
      <c r="E1615" s="198">
        <v>0</v>
      </c>
      <c r="F1615" s="197" t="s">
        <v>227</v>
      </c>
      <c r="G1615" s="199" t="s">
        <v>1520</v>
      </c>
      <c r="H1615" s="200"/>
      <c r="I1615" s="200"/>
      <c r="J1615" s="200"/>
      <c r="K1615" s="199"/>
      <c r="L1615" s="200"/>
      <c r="M1615" s="200"/>
      <c r="N1615" s="197"/>
    </row>
    <row r="1616" spans="1:14">
      <c r="A1616" s="262"/>
      <c r="B1616" s="262"/>
      <c r="C1616" s="197">
        <v>75</v>
      </c>
      <c r="D1616" s="262"/>
      <c r="E1616" s="198">
        <v>0</v>
      </c>
      <c r="F1616" s="197" t="s">
        <v>227</v>
      </c>
      <c r="G1616" s="199" t="s">
        <v>1521</v>
      </c>
      <c r="H1616" s="200"/>
      <c r="I1616" s="200"/>
      <c r="J1616" s="200"/>
      <c r="K1616" s="199"/>
      <c r="L1616" s="200"/>
      <c r="M1616" s="200"/>
      <c r="N1616" s="197"/>
    </row>
    <row r="1617" spans="1:14">
      <c r="A1617" s="262"/>
      <c r="B1617" s="262"/>
      <c r="C1617" s="197">
        <v>76</v>
      </c>
      <c r="D1617" s="262"/>
      <c r="E1617" s="198">
        <v>0</v>
      </c>
      <c r="F1617" s="197" t="s">
        <v>227</v>
      </c>
      <c r="G1617" s="199" t="s">
        <v>1522</v>
      </c>
      <c r="H1617" s="200"/>
      <c r="I1617" s="200"/>
      <c r="J1617" s="200"/>
      <c r="K1617" s="199"/>
      <c r="L1617" s="200"/>
      <c r="M1617" s="200"/>
      <c r="N1617" s="197"/>
    </row>
    <row r="1618" spans="1:14">
      <c r="A1618" s="262"/>
      <c r="B1618" s="262"/>
      <c r="C1618" s="197">
        <v>77</v>
      </c>
      <c r="D1618" s="262"/>
      <c r="E1618" s="198">
        <v>0</v>
      </c>
      <c r="F1618" s="197" t="s">
        <v>227</v>
      </c>
      <c r="G1618" s="199" t="s">
        <v>1523</v>
      </c>
      <c r="H1618" s="200"/>
      <c r="I1618" s="200"/>
      <c r="J1618" s="200"/>
      <c r="K1618" s="199"/>
      <c r="L1618" s="200"/>
      <c r="M1618" s="200"/>
      <c r="N1618" s="197"/>
    </row>
    <row r="1619" spans="1:14">
      <c r="A1619" s="262"/>
      <c r="B1619" s="262"/>
      <c r="C1619" s="197">
        <v>78</v>
      </c>
      <c r="D1619" s="262"/>
      <c r="E1619" s="198">
        <v>0</v>
      </c>
      <c r="F1619" s="197" t="s">
        <v>227</v>
      </c>
      <c r="G1619" s="199" t="s">
        <v>1524</v>
      </c>
      <c r="H1619" s="200"/>
      <c r="I1619" s="200"/>
      <c r="J1619" s="200"/>
      <c r="K1619" s="199"/>
      <c r="L1619" s="200"/>
      <c r="M1619" s="200"/>
      <c r="N1619" s="197"/>
    </row>
    <row r="1620" spans="1:14">
      <c r="A1620" s="262"/>
      <c r="B1620" s="262"/>
      <c r="C1620" s="197">
        <v>79</v>
      </c>
      <c r="D1620" s="262"/>
      <c r="E1620" s="198">
        <v>0</v>
      </c>
      <c r="F1620" s="197" t="s">
        <v>227</v>
      </c>
      <c r="G1620" s="199" t="s">
        <v>1525</v>
      </c>
      <c r="H1620" s="200"/>
      <c r="I1620" s="200"/>
      <c r="J1620" s="200"/>
      <c r="K1620" s="199"/>
      <c r="L1620" s="200"/>
      <c r="M1620" s="200"/>
      <c r="N1620" s="197"/>
    </row>
    <row r="1621" spans="1:14">
      <c r="A1621" s="262"/>
      <c r="B1621" s="262"/>
      <c r="C1621" s="197">
        <v>80</v>
      </c>
      <c r="D1621" s="261">
        <v>15</v>
      </c>
      <c r="E1621" s="198">
        <v>0</v>
      </c>
      <c r="F1621" s="197" t="s">
        <v>227</v>
      </c>
      <c r="G1621" s="199" t="s">
        <v>1526</v>
      </c>
      <c r="H1621" s="200">
        <v>0.47</v>
      </c>
      <c r="I1621" s="200">
        <v>0.98499999999999999</v>
      </c>
      <c r="J1621" s="200">
        <v>0.5</v>
      </c>
      <c r="K1621" s="199" t="s">
        <v>229</v>
      </c>
      <c r="L1621" s="200"/>
      <c r="M1621" s="200"/>
      <c r="N1621" s="197"/>
    </row>
    <row r="1622" spans="1:14">
      <c r="A1622" s="262"/>
      <c r="B1622" s="262"/>
      <c r="C1622" s="197">
        <v>81</v>
      </c>
      <c r="D1622" s="262"/>
      <c r="E1622" s="198">
        <v>0</v>
      </c>
      <c r="F1622" s="197" t="s">
        <v>227</v>
      </c>
      <c r="G1622" s="199" t="s">
        <v>403</v>
      </c>
      <c r="H1622" s="200"/>
      <c r="I1622" s="200"/>
      <c r="J1622" s="200"/>
      <c r="K1622" s="199"/>
      <c r="L1622" s="200"/>
      <c r="M1622" s="200"/>
      <c r="N1622" s="197"/>
    </row>
    <row r="1623" spans="1:14">
      <c r="A1623" s="262"/>
      <c r="B1623" s="262"/>
      <c r="C1623" s="197">
        <v>82</v>
      </c>
      <c r="D1623" s="262"/>
      <c r="E1623" s="198">
        <v>0</v>
      </c>
      <c r="F1623" s="197" t="s">
        <v>227</v>
      </c>
      <c r="G1623" s="199" t="s">
        <v>404</v>
      </c>
      <c r="H1623" s="200"/>
      <c r="I1623" s="200"/>
      <c r="J1623" s="200"/>
      <c r="K1623" s="199"/>
      <c r="L1623" s="200"/>
      <c r="M1623" s="200"/>
      <c r="N1623" s="197"/>
    </row>
    <row r="1624" spans="1:14">
      <c r="A1624" s="262"/>
      <c r="B1624" s="262"/>
      <c r="C1624" s="197">
        <v>83</v>
      </c>
      <c r="D1624" s="261">
        <v>16</v>
      </c>
      <c r="E1624" s="198">
        <v>0</v>
      </c>
      <c r="F1624" s="197" t="s">
        <v>227</v>
      </c>
      <c r="G1624" s="199" t="s">
        <v>315</v>
      </c>
      <c r="H1624" s="200">
        <v>0.48</v>
      </c>
      <c r="I1624" s="200">
        <v>0.98499999999999999</v>
      </c>
      <c r="J1624" s="200">
        <v>0.49</v>
      </c>
      <c r="K1624" s="199" t="s">
        <v>229</v>
      </c>
      <c r="L1624" s="200"/>
      <c r="M1624" s="200"/>
      <c r="N1624" s="197"/>
    </row>
    <row r="1625" spans="1:14">
      <c r="A1625" s="262"/>
      <c r="B1625" s="262"/>
      <c r="C1625" s="197">
        <v>84</v>
      </c>
      <c r="D1625" s="262"/>
      <c r="E1625" s="198">
        <v>0</v>
      </c>
      <c r="F1625" s="197" t="s">
        <v>227</v>
      </c>
      <c r="G1625" s="199" t="s">
        <v>316</v>
      </c>
      <c r="H1625" s="200"/>
      <c r="I1625" s="200"/>
      <c r="J1625" s="200"/>
      <c r="K1625" s="199"/>
      <c r="L1625" s="200"/>
      <c r="M1625" s="200"/>
      <c r="N1625" s="197"/>
    </row>
    <row r="1626" spans="1:14">
      <c r="A1626" s="262"/>
      <c r="B1626" s="262"/>
      <c r="C1626" s="197">
        <v>85</v>
      </c>
      <c r="D1626" s="262"/>
      <c r="E1626" s="198">
        <v>0</v>
      </c>
      <c r="F1626" s="197" t="s">
        <v>227</v>
      </c>
      <c r="G1626" s="199" t="s">
        <v>317</v>
      </c>
      <c r="H1626" s="200"/>
      <c r="I1626" s="200"/>
      <c r="J1626" s="200"/>
      <c r="K1626" s="199"/>
      <c r="L1626" s="200"/>
      <c r="M1626" s="200"/>
      <c r="N1626" s="197"/>
    </row>
    <row r="1627" spans="1:14">
      <c r="A1627" s="261" t="s">
        <v>1527</v>
      </c>
      <c r="B1627" s="261">
        <v>5</v>
      </c>
      <c r="C1627" s="197">
        <v>1</v>
      </c>
      <c r="D1627" s="261">
        <v>1</v>
      </c>
      <c r="E1627" s="198">
        <v>0</v>
      </c>
      <c r="F1627" s="197" t="s">
        <v>227</v>
      </c>
      <c r="G1627" s="199" t="s">
        <v>228</v>
      </c>
      <c r="H1627" s="200">
        <v>0.495</v>
      </c>
      <c r="I1627" s="200">
        <v>0.995</v>
      </c>
      <c r="J1627" s="200">
        <v>0.51500000000000001</v>
      </c>
      <c r="K1627" s="199" t="s">
        <v>671</v>
      </c>
      <c r="L1627" s="200">
        <v>2.4998046798700106E-2</v>
      </c>
      <c r="M1627" s="200"/>
      <c r="N1627" s="197"/>
    </row>
    <row r="1628" spans="1:14">
      <c r="A1628" s="262"/>
      <c r="B1628" s="262"/>
      <c r="C1628" s="197">
        <v>2</v>
      </c>
      <c r="D1628" s="262"/>
      <c r="E1628" s="198">
        <v>0</v>
      </c>
      <c r="F1628" s="197" t="s">
        <v>227</v>
      </c>
      <c r="G1628" s="199" t="s">
        <v>230</v>
      </c>
      <c r="H1628" s="200"/>
      <c r="I1628" s="200"/>
      <c r="J1628" s="200"/>
      <c r="K1628" s="199"/>
      <c r="L1628" s="200">
        <v>1.7809758560968746E-2</v>
      </c>
      <c r="M1628" s="200"/>
      <c r="N1628" s="197"/>
    </row>
    <row r="1629" spans="1:14">
      <c r="A1629" s="262"/>
      <c r="B1629" s="262"/>
      <c r="C1629" s="197">
        <v>3</v>
      </c>
      <c r="D1629" s="262"/>
      <c r="E1629" s="198">
        <v>0</v>
      </c>
      <c r="F1629" s="197" t="s">
        <v>227</v>
      </c>
      <c r="G1629" s="199" t="s">
        <v>324</v>
      </c>
      <c r="H1629" s="200"/>
      <c r="I1629" s="200"/>
      <c r="J1629" s="200"/>
      <c r="K1629" s="199"/>
      <c r="L1629" s="200">
        <v>2.7149758286216845E-2</v>
      </c>
      <c r="M1629" s="200"/>
      <c r="N1629" s="197"/>
    </row>
    <row r="1630" spans="1:14">
      <c r="A1630" s="262"/>
      <c r="B1630" s="262"/>
      <c r="C1630" s="197">
        <v>4</v>
      </c>
      <c r="D1630" s="262"/>
      <c r="E1630" s="198">
        <v>0</v>
      </c>
      <c r="F1630" s="197" t="s">
        <v>227</v>
      </c>
      <c r="G1630" s="199" t="s">
        <v>325</v>
      </c>
      <c r="H1630" s="200"/>
      <c r="I1630" s="200"/>
      <c r="J1630" s="200"/>
      <c r="K1630" s="199"/>
      <c r="L1630" s="200"/>
      <c r="M1630" s="200" t="s">
        <v>1528</v>
      </c>
      <c r="N1630" s="197" t="s">
        <v>1529</v>
      </c>
    </row>
    <row r="1631" spans="1:14">
      <c r="A1631" s="262"/>
      <c r="B1631" s="262"/>
      <c r="C1631" s="197">
        <v>5</v>
      </c>
      <c r="D1631" s="262"/>
      <c r="E1631" s="198">
        <v>0</v>
      </c>
      <c r="F1631" s="197" t="s">
        <v>227</v>
      </c>
      <c r="G1631" s="199" t="s">
        <v>327</v>
      </c>
      <c r="H1631" s="200"/>
      <c r="I1631" s="200"/>
      <c r="J1631" s="200"/>
      <c r="K1631" s="199"/>
      <c r="L1631" s="200"/>
      <c r="M1631" s="200"/>
      <c r="N1631" s="197"/>
    </row>
    <row r="1632" spans="1:14">
      <c r="A1632" s="262"/>
      <c r="B1632" s="262"/>
      <c r="C1632" s="197">
        <v>6</v>
      </c>
      <c r="D1632" s="262"/>
      <c r="E1632" s="198">
        <v>0</v>
      </c>
      <c r="F1632" s="197" t="s">
        <v>227</v>
      </c>
      <c r="G1632" s="199" t="s">
        <v>720</v>
      </c>
      <c r="H1632" s="200"/>
      <c r="I1632" s="200"/>
      <c r="J1632" s="200"/>
      <c r="K1632" s="199"/>
      <c r="L1632" s="200"/>
      <c r="M1632" s="200"/>
      <c r="N1632" s="197"/>
    </row>
    <row r="1633" spans="1:14">
      <c r="A1633" s="262"/>
      <c r="B1633" s="262"/>
      <c r="C1633" s="197">
        <v>7</v>
      </c>
      <c r="D1633" s="262"/>
      <c r="E1633" s="198">
        <v>442.204319</v>
      </c>
      <c r="F1633" s="197"/>
      <c r="G1633" s="199" t="s">
        <v>1530</v>
      </c>
      <c r="H1633" s="200"/>
      <c r="I1633" s="200"/>
      <c r="J1633" s="200"/>
      <c r="K1633" s="199"/>
      <c r="L1633" s="200"/>
      <c r="M1633" s="200"/>
      <c r="N1633" s="197"/>
    </row>
    <row r="1634" spans="1:14">
      <c r="A1634" s="262"/>
      <c r="B1634" s="262"/>
      <c r="C1634" s="197">
        <v>8</v>
      </c>
      <c r="D1634" s="262"/>
      <c r="E1634" s="198">
        <v>0</v>
      </c>
      <c r="F1634" s="197" t="s">
        <v>227</v>
      </c>
      <c r="G1634" s="199" t="s">
        <v>721</v>
      </c>
      <c r="H1634" s="200"/>
      <c r="I1634" s="200"/>
      <c r="J1634" s="200"/>
      <c r="K1634" s="199"/>
      <c r="L1634" s="200"/>
      <c r="M1634" s="200"/>
      <c r="N1634" s="197"/>
    </row>
    <row r="1635" spans="1:14">
      <c r="A1635" s="262"/>
      <c r="B1635" s="262"/>
      <c r="C1635" s="197">
        <v>9</v>
      </c>
      <c r="D1635" s="261">
        <v>2</v>
      </c>
      <c r="E1635" s="198">
        <v>561.15635799999995</v>
      </c>
      <c r="F1635" s="197"/>
      <c r="G1635" s="199" t="s">
        <v>1531</v>
      </c>
      <c r="H1635" s="200">
        <v>0.49</v>
      </c>
      <c r="I1635" s="200">
        <v>0.99</v>
      </c>
      <c r="J1635" s="200">
        <v>0.52500000000000002</v>
      </c>
      <c r="K1635" s="199" t="s">
        <v>671</v>
      </c>
      <c r="L1635" s="200"/>
      <c r="M1635" s="200"/>
      <c r="N1635" s="197"/>
    </row>
    <row r="1636" spans="1:14">
      <c r="A1636" s="262"/>
      <c r="B1636" s="262"/>
      <c r="C1636" s="197">
        <v>10</v>
      </c>
      <c r="D1636" s="262"/>
      <c r="E1636" s="198">
        <v>583.90348400000005</v>
      </c>
      <c r="F1636" s="197"/>
      <c r="G1636" s="199" t="s">
        <v>1532</v>
      </c>
      <c r="H1636" s="200"/>
      <c r="I1636" s="200"/>
      <c r="J1636" s="200"/>
      <c r="K1636" s="199"/>
      <c r="L1636" s="200"/>
      <c r="M1636" s="200"/>
      <c r="N1636" s="197"/>
    </row>
    <row r="1637" spans="1:14">
      <c r="A1637" s="262"/>
      <c r="B1637" s="262"/>
      <c r="C1637" s="197">
        <v>11</v>
      </c>
      <c r="D1637" s="262"/>
      <c r="E1637" s="198">
        <v>568.14687400000003</v>
      </c>
      <c r="F1637" s="197"/>
      <c r="G1637" s="199" t="s">
        <v>1533</v>
      </c>
      <c r="H1637" s="200"/>
      <c r="I1637" s="200"/>
      <c r="J1637" s="200"/>
      <c r="K1637" s="199"/>
      <c r="L1637" s="200"/>
      <c r="M1637" s="200"/>
      <c r="N1637" s="197"/>
    </row>
    <row r="1638" spans="1:14">
      <c r="A1638" s="262"/>
      <c r="B1638" s="262"/>
      <c r="C1638" s="197">
        <v>12</v>
      </c>
      <c r="D1638" s="261">
        <v>3</v>
      </c>
      <c r="E1638" s="198">
        <v>0</v>
      </c>
      <c r="F1638" s="197" t="s">
        <v>227</v>
      </c>
      <c r="G1638" s="199" t="s">
        <v>932</v>
      </c>
      <c r="H1638" s="200">
        <v>0.46</v>
      </c>
      <c r="I1638" s="200">
        <v>0.98499999999999999</v>
      </c>
      <c r="J1638" s="200">
        <v>0.56999999999999995</v>
      </c>
      <c r="K1638" s="199" t="s">
        <v>671</v>
      </c>
      <c r="L1638" s="200"/>
      <c r="M1638" s="200"/>
      <c r="N1638" s="197"/>
    </row>
    <row r="1639" spans="1:14">
      <c r="A1639" s="262"/>
      <c r="B1639" s="262"/>
      <c r="C1639" s="197">
        <v>13</v>
      </c>
      <c r="D1639" s="262"/>
      <c r="E1639" s="198">
        <v>0</v>
      </c>
      <c r="F1639" s="197" t="s">
        <v>227</v>
      </c>
      <c r="G1639" s="199" t="s">
        <v>933</v>
      </c>
      <c r="H1639" s="200"/>
      <c r="I1639" s="200"/>
      <c r="J1639" s="200"/>
      <c r="K1639" s="199"/>
      <c r="L1639" s="200"/>
      <c r="M1639" s="200"/>
      <c r="N1639" s="197"/>
    </row>
    <row r="1640" spans="1:14">
      <c r="A1640" s="262"/>
      <c r="B1640" s="262"/>
      <c r="C1640" s="197">
        <v>14</v>
      </c>
      <c r="D1640" s="262"/>
      <c r="E1640" s="198">
        <v>438.42382600000002</v>
      </c>
      <c r="F1640" s="197"/>
      <c r="G1640" s="199" t="s">
        <v>1534</v>
      </c>
      <c r="H1640" s="200"/>
      <c r="I1640" s="200"/>
      <c r="J1640" s="200"/>
      <c r="K1640" s="199"/>
      <c r="L1640" s="200"/>
      <c r="M1640" s="200"/>
      <c r="N1640" s="197"/>
    </row>
    <row r="1641" spans="1:14">
      <c r="A1641" s="262"/>
      <c r="B1641" s="262"/>
      <c r="C1641" s="197">
        <v>15</v>
      </c>
      <c r="D1641" s="261">
        <v>4</v>
      </c>
      <c r="E1641" s="198">
        <v>0</v>
      </c>
      <c r="F1641" s="197" t="s">
        <v>227</v>
      </c>
      <c r="G1641" s="199" t="s">
        <v>246</v>
      </c>
      <c r="H1641" s="200">
        <v>0.48499999999999999</v>
      </c>
      <c r="I1641" s="200">
        <v>1.0149999999999999</v>
      </c>
      <c r="J1641" s="200">
        <v>0.49</v>
      </c>
      <c r="K1641" s="199" t="s">
        <v>229</v>
      </c>
      <c r="L1641" s="200"/>
      <c r="M1641" s="200"/>
      <c r="N1641" s="197"/>
    </row>
    <row r="1642" spans="1:14">
      <c r="A1642" s="262"/>
      <c r="B1642" s="262"/>
      <c r="C1642" s="197">
        <v>16</v>
      </c>
      <c r="D1642" s="262"/>
      <c r="E1642" s="198">
        <v>0</v>
      </c>
      <c r="F1642" s="197" t="s">
        <v>227</v>
      </c>
      <c r="G1642" s="199" t="s">
        <v>247</v>
      </c>
      <c r="H1642" s="200"/>
      <c r="I1642" s="200"/>
      <c r="J1642" s="200"/>
      <c r="K1642" s="199"/>
      <c r="L1642" s="200"/>
      <c r="M1642" s="200"/>
      <c r="N1642" s="197"/>
    </row>
    <row r="1643" spans="1:14">
      <c r="A1643" s="262"/>
      <c r="B1643" s="262"/>
      <c r="C1643" s="197">
        <v>17</v>
      </c>
      <c r="D1643" s="262"/>
      <c r="E1643" s="198">
        <v>0</v>
      </c>
      <c r="F1643" s="197" t="s">
        <v>227</v>
      </c>
      <c r="G1643" s="199" t="s">
        <v>248</v>
      </c>
      <c r="H1643" s="200"/>
      <c r="I1643" s="200"/>
      <c r="J1643" s="200"/>
      <c r="K1643" s="199"/>
      <c r="L1643" s="200"/>
      <c r="M1643" s="200"/>
      <c r="N1643" s="197"/>
    </row>
    <row r="1644" spans="1:14">
      <c r="A1644" s="262"/>
      <c r="B1644" s="262"/>
      <c r="C1644" s="197">
        <v>18</v>
      </c>
      <c r="D1644" s="262"/>
      <c r="E1644" s="198">
        <v>0</v>
      </c>
      <c r="F1644" s="197" t="s">
        <v>227</v>
      </c>
      <c r="G1644" s="199" t="s">
        <v>249</v>
      </c>
      <c r="H1644" s="200"/>
      <c r="I1644" s="200"/>
      <c r="J1644" s="200"/>
      <c r="K1644" s="199"/>
      <c r="L1644" s="200"/>
      <c r="M1644" s="200"/>
      <c r="N1644" s="197"/>
    </row>
    <row r="1645" spans="1:14">
      <c r="A1645" s="262"/>
      <c r="B1645" s="262"/>
      <c r="C1645" s="197">
        <v>19</v>
      </c>
      <c r="D1645" s="262"/>
      <c r="E1645" s="198">
        <v>0</v>
      </c>
      <c r="F1645" s="197" t="s">
        <v>227</v>
      </c>
      <c r="G1645" s="199" t="s">
        <v>250</v>
      </c>
      <c r="H1645" s="200"/>
      <c r="I1645" s="200"/>
      <c r="J1645" s="200"/>
      <c r="K1645" s="199"/>
      <c r="L1645" s="200"/>
      <c r="M1645" s="200"/>
      <c r="N1645" s="197"/>
    </row>
    <row r="1646" spans="1:14">
      <c r="A1646" s="262"/>
      <c r="B1646" s="262"/>
      <c r="C1646" s="197">
        <v>20</v>
      </c>
      <c r="D1646" s="262"/>
      <c r="E1646" s="198">
        <v>405.193917</v>
      </c>
      <c r="F1646" s="197"/>
      <c r="G1646" s="199" t="s">
        <v>1535</v>
      </c>
      <c r="H1646" s="200"/>
      <c r="I1646" s="200"/>
      <c r="J1646" s="200"/>
      <c r="K1646" s="199"/>
      <c r="L1646" s="200"/>
      <c r="M1646" s="200"/>
      <c r="N1646" s="197"/>
    </row>
    <row r="1647" spans="1:14">
      <c r="A1647" s="262"/>
      <c r="B1647" s="262"/>
      <c r="C1647" s="197">
        <v>21</v>
      </c>
      <c r="D1647" s="262"/>
      <c r="E1647" s="198">
        <v>0</v>
      </c>
      <c r="F1647" s="197" t="s">
        <v>227</v>
      </c>
      <c r="G1647" s="199" t="s">
        <v>252</v>
      </c>
      <c r="H1647" s="200"/>
      <c r="I1647" s="200"/>
      <c r="J1647" s="200"/>
      <c r="K1647" s="199"/>
      <c r="L1647" s="200"/>
      <c r="M1647" s="200"/>
      <c r="N1647" s="197"/>
    </row>
    <row r="1648" spans="1:14">
      <c r="A1648" s="262"/>
      <c r="B1648" s="262"/>
      <c r="C1648" s="197">
        <v>22</v>
      </c>
      <c r="D1648" s="262"/>
      <c r="E1648" s="198">
        <v>0</v>
      </c>
      <c r="F1648" s="197" t="s">
        <v>227</v>
      </c>
      <c r="G1648" s="199" t="s">
        <v>253</v>
      </c>
      <c r="H1648" s="200"/>
      <c r="I1648" s="200"/>
      <c r="J1648" s="200"/>
      <c r="K1648" s="199"/>
      <c r="L1648" s="200"/>
      <c r="M1648" s="200"/>
      <c r="N1648" s="197"/>
    </row>
    <row r="1649" spans="1:14">
      <c r="A1649" s="262"/>
      <c r="B1649" s="262"/>
      <c r="C1649" s="197">
        <v>23</v>
      </c>
      <c r="D1649" s="261">
        <v>5</v>
      </c>
      <c r="E1649" s="198">
        <v>0</v>
      </c>
      <c r="F1649" s="197" t="s">
        <v>227</v>
      </c>
      <c r="G1649" s="199" t="s">
        <v>254</v>
      </c>
      <c r="H1649" s="200">
        <v>0.5</v>
      </c>
      <c r="I1649" s="200">
        <v>0.99</v>
      </c>
      <c r="J1649" s="200">
        <v>0.54</v>
      </c>
      <c r="K1649" s="199" t="s">
        <v>671</v>
      </c>
      <c r="L1649" s="200"/>
      <c r="M1649" s="200"/>
      <c r="N1649" s="197"/>
    </row>
    <row r="1650" spans="1:14">
      <c r="A1650" s="262"/>
      <c r="B1650" s="262"/>
      <c r="C1650" s="197">
        <v>24</v>
      </c>
      <c r="D1650" s="262"/>
      <c r="E1650" s="198">
        <v>0</v>
      </c>
      <c r="F1650" s="197" t="s">
        <v>227</v>
      </c>
      <c r="G1650" s="199" t="s">
        <v>631</v>
      </c>
      <c r="H1650" s="200"/>
      <c r="I1650" s="200"/>
      <c r="J1650" s="200"/>
      <c r="K1650" s="199"/>
      <c r="L1650" s="200"/>
      <c r="M1650" s="200"/>
      <c r="N1650" s="197"/>
    </row>
    <row r="1651" spans="1:14">
      <c r="A1651" s="262"/>
      <c r="B1651" s="262"/>
      <c r="C1651" s="197">
        <v>25</v>
      </c>
      <c r="D1651" s="262"/>
      <c r="E1651" s="198">
        <v>0</v>
      </c>
      <c r="F1651" s="197" t="s">
        <v>227</v>
      </c>
      <c r="G1651" s="199" t="s">
        <v>632</v>
      </c>
      <c r="H1651" s="200"/>
      <c r="I1651" s="200"/>
      <c r="J1651" s="200"/>
      <c r="K1651" s="199"/>
      <c r="L1651" s="200"/>
      <c r="M1651" s="200"/>
      <c r="N1651" s="197"/>
    </row>
    <row r="1652" spans="1:14">
      <c r="A1652" s="262"/>
      <c r="B1652" s="262"/>
      <c r="C1652" s="197">
        <v>26</v>
      </c>
      <c r="D1652" s="261">
        <v>6</v>
      </c>
      <c r="E1652" s="198">
        <v>395.47218299999997</v>
      </c>
      <c r="F1652" s="197"/>
      <c r="G1652" s="199" t="s">
        <v>1536</v>
      </c>
      <c r="H1652" s="200">
        <v>0.47</v>
      </c>
      <c r="I1652" s="200">
        <v>0.98499999999999999</v>
      </c>
      <c r="J1652" s="200">
        <v>0.56499999999999995</v>
      </c>
      <c r="K1652" s="199" t="s">
        <v>671</v>
      </c>
      <c r="L1652" s="200"/>
      <c r="M1652" s="200"/>
      <c r="N1652" s="197"/>
    </row>
    <row r="1653" spans="1:14">
      <c r="A1653" s="262"/>
      <c r="B1653" s="262"/>
      <c r="C1653" s="197">
        <v>27</v>
      </c>
      <c r="D1653" s="262"/>
      <c r="E1653" s="198">
        <v>390.11151100000001</v>
      </c>
      <c r="F1653" s="197"/>
      <c r="G1653" s="199" t="s">
        <v>1537</v>
      </c>
      <c r="H1653" s="200"/>
      <c r="I1653" s="200"/>
      <c r="J1653" s="200"/>
      <c r="K1653" s="199"/>
      <c r="L1653" s="200"/>
      <c r="M1653" s="200"/>
      <c r="N1653" s="197"/>
    </row>
    <row r="1654" spans="1:14">
      <c r="A1654" s="262"/>
      <c r="B1654" s="262"/>
      <c r="C1654" s="197">
        <v>28</v>
      </c>
      <c r="D1654" s="262"/>
      <c r="E1654" s="198">
        <v>389.150983</v>
      </c>
      <c r="F1654" s="197"/>
      <c r="G1654" s="199" t="s">
        <v>1538</v>
      </c>
      <c r="H1654" s="200"/>
      <c r="I1654" s="200"/>
      <c r="J1654" s="200"/>
      <c r="K1654" s="199"/>
      <c r="L1654" s="200"/>
      <c r="M1654" s="200"/>
      <c r="N1654" s="197"/>
    </row>
    <row r="1655" spans="1:14">
      <c r="A1655" s="262"/>
      <c r="B1655" s="262"/>
      <c r="C1655" s="197">
        <v>29</v>
      </c>
      <c r="D1655" s="261">
        <v>7</v>
      </c>
      <c r="E1655" s="198">
        <v>0</v>
      </c>
      <c r="F1655" s="197" t="s">
        <v>227</v>
      </c>
      <c r="G1655" s="199" t="s">
        <v>901</v>
      </c>
      <c r="H1655" s="200">
        <v>0.46</v>
      </c>
      <c r="I1655" s="200">
        <v>0.98</v>
      </c>
      <c r="J1655" s="200">
        <v>0.54500000000000004</v>
      </c>
      <c r="K1655" s="199" t="s">
        <v>229</v>
      </c>
      <c r="L1655" s="200"/>
      <c r="M1655" s="200"/>
      <c r="N1655" s="197"/>
    </row>
    <row r="1656" spans="1:14">
      <c r="A1656" s="262"/>
      <c r="B1656" s="262"/>
      <c r="C1656" s="197">
        <v>30</v>
      </c>
      <c r="D1656" s="262"/>
      <c r="E1656" s="198">
        <v>0</v>
      </c>
      <c r="F1656" s="197" t="s">
        <v>227</v>
      </c>
      <c r="G1656" s="199" t="s">
        <v>1539</v>
      </c>
      <c r="H1656" s="200"/>
      <c r="I1656" s="200"/>
      <c r="J1656" s="200"/>
      <c r="K1656" s="199"/>
      <c r="L1656" s="200"/>
      <c r="M1656" s="200"/>
      <c r="N1656" s="197"/>
    </row>
    <row r="1657" spans="1:14">
      <c r="A1657" s="262"/>
      <c r="B1657" s="262"/>
      <c r="C1657" s="197">
        <v>31</v>
      </c>
      <c r="D1657" s="262"/>
      <c r="E1657" s="198">
        <v>0</v>
      </c>
      <c r="F1657" s="197" t="s">
        <v>227</v>
      </c>
      <c r="G1657" s="199" t="s">
        <v>1488</v>
      </c>
      <c r="H1657" s="200"/>
      <c r="I1657" s="200"/>
      <c r="J1657" s="200"/>
      <c r="K1657" s="199"/>
      <c r="L1657" s="200"/>
      <c r="M1657" s="200"/>
      <c r="N1657" s="197"/>
    </row>
    <row r="1658" spans="1:14">
      <c r="A1658" s="262"/>
      <c r="B1658" s="262"/>
      <c r="C1658" s="197">
        <v>32</v>
      </c>
      <c r="D1658" s="262"/>
      <c r="E1658" s="198">
        <v>0</v>
      </c>
      <c r="F1658" s="197" t="s">
        <v>227</v>
      </c>
      <c r="G1658" s="199" t="s">
        <v>263</v>
      </c>
      <c r="H1658" s="200"/>
      <c r="I1658" s="200"/>
      <c r="J1658" s="200"/>
      <c r="K1658" s="199"/>
      <c r="L1658" s="200"/>
      <c r="M1658" s="200"/>
      <c r="N1658" s="197"/>
    </row>
    <row r="1659" spans="1:14">
      <c r="A1659" s="262"/>
      <c r="B1659" s="262"/>
      <c r="C1659" s="197">
        <v>33</v>
      </c>
      <c r="D1659" s="261">
        <v>8</v>
      </c>
      <c r="E1659" s="198">
        <v>292.14918</v>
      </c>
      <c r="F1659" s="197"/>
      <c r="G1659" s="199" t="s">
        <v>1540</v>
      </c>
      <c r="H1659" s="200">
        <v>0.47</v>
      </c>
      <c r="I1659" s="200">
        <v>1.01</v>
      </c>
      <c r="J1659" s="200">
        <v>0.52500000000000002</v>
      </c>
      <c r="K1659" s="199" t="s">
        <v>229</v>
      </c>
      <c r="L1659" s="200"/>
      <c r="M1659" s="200"/>
      <c r="N1659" s="197"/>
    </row>
    <row r="1660" spans="1:14">
      <c r="A1660" s="262"/>
      <c r="B1660" s="262"/>
      <c r="C1660" s="197">
        <v>34</v>
      </c>
      <c r="D1660" s="262"/>
      <c r="E1660" s="198">
        <v>0</v>
      </c>
      <c r="F1660" s="197" t="s">
        <v>227</v>
      </c>
      <c r="G1660" s="199" t="s">
        <v>698</v>
      </c>
      <c r="H1660" s="200"/>
      <c r="I1660" s="200"/>
      <c r="J1660" s="200"/>
      <c r="K1660" s="199"/>
      <c r="L1660" s="200"/>
      <c r="M1660" s="200"/>
      <c r="N1660" s="197"/>
    </row>
    <row r="1661" spans="1:14">
      <c r="A1661" s="262"/>
      <c r="B1661" s="262"/>
      <c r="C1661" s="197">
        <v>35</v>
      </c>
      <c r="D1661" s="262"/>
      <c r="E1661" s="198">
        <v>0</v>
      </c>
      <c r="F1661" s="197" t="s">
        <v>227</v>
      </c>
      <c r="G1661" s="199" t="s">
        <v>266</v>
      </c>
      <c r="H1661" s="200"/>
      <c r="I1661" s="200"/>
      <c r="J1661" s="200"/>
      <c r="K1661" s="199"/>
      <c r="L1661" s="200"/>
      <c r="M1661" s="200"/>
      <c r="N1661" s="197"/>
    </row>
    <row r="1662" spans="1:14">
      <c r="A1662" s="262"/>
      <c r="B1662" s="262"/>
      <c r="C1662" s="197">
        <v>36</v>
      </c>
      <c r="D1662" s="262"/>
      <c r="E1662" s="198">
        <v>0</v>
      </c>
      <c r="F1662" s="197" t="s">
        <v>227</v>
      </c>
      <c r="G1662" s="199" t="s">
        <v>267</v>
      </c>
      <c r="H1662" s="200"/>
      <c r="I1662" s="200"/>
      <c r="J1662" s="200"/>
      <c r="K1662" s="199"/>
      <c r="L1662" s="200"/>
      <c r="M1662" s="200"/>
      <c r="N1662" s="197"/>
    </row>
    <row r="1663" spans="1:14">
      <c r="A1663" s="262"/>
      <c r="B1663" s="262"/>
      <c r="C1663" s="197">
        <v>37</v>
      </c>
      <c r="D1663" s="262"/>
      <c r="E1663" s="198">
        <v>0</v>
      </c>
      <c r="F1663" s="197" t="s">
        <v>227</v>
      </c>
      <c r="G1663" s="199" t="s">
        <v>268</v>
      </c>
      <c r="H1663" s="200"/>
      <c r="I1663" s="200"/>
      <c r="J1663" s="200"/>
      <c r="K1663" s="199"/>
      <c r="L1663" s="200"/>
      <c r="M1663" s="200"/>
      <c r="N1663" s="197"/>
    </row>
    <row r="1664" spans="1:14">
      <c r="A1664" s="262"/>
      <c r="B1664" s="262"/>
      <c r="C1664" s="197">
        <v>38</v>
      </c>
      <c r="D1664" s="262"/>
      <c r="E1664" s="198">
        <v>0</v>
      </c>
      <c r="F1664" s="197" t="s">
        <v>227</v>
      </c>
      <c r="G1664" s="199" t="s">
        <v>269</v>
      </c>
      <c r="H1664" s="200"/>
      <c r="I1664" s="200"/>
      <c r="J1664" s="200"/>
      <c r="K1664" s="199"/>
      <c r="L1664" s="200"/>
      <c r="M1664" s="200"/>
      <c r="N1664" s="197"/>
    </row>
    <row r="1665" spans="1:14">
      <c r="A1665" s="262"/>
      <c r="B1665" s="262"/>
      <c r="C1665" s="197">
        <v>39</v>
      </c>
      <c r="D1665" s="261">
        <v>9</v>
      </c>
      <c r="E1665" s="198">
        <v>0</v>
      </c>
      <c r="F1665" s="197" t="s">
        <v>227</v>
      </c>
      <c r="G1665" s="199" t="s">
        <v>1541</v>
      </c>
      <c r="H1665" s="200">
        <v>0.48499999999999999</v>
      </c>
      <c r="I1665" s="200">
        <v>0.98499999999999999</v>
      </c>
      <c r="J1665" s="200">
        <v>0.51500000000000001</v>
      </c>
      <c r="K1665" s="199" t="s">
        <v>671</v>
      </c>
      <c r="L1665" s="200"/>
      <c r="M1665" s="200"/>
      <c r="N1665" s="197"/>
    </row>
    <row r="1666" spans="1:14">
      <c r="A1666" s="262"/>
      <c r="B1666" s="262"/>
      <c r="C1666" s="197">
        <v>40</v>
      </c>
      <c r="D1666" s="262"/>
      <c r="E1666" s="198">
        <v>382.83728000000002</v>
      </c>
      <c r="F1666" s="197"/>
      <c r="G1666" s="199" t="s">
        <v>1542</v>
      </c>
      <c r="H1666" s="200"/>
      <c r="I1666" s="200"/>
      <c r="J1666" s="200"/>
      <c r="K1666" s="199"/>
      <c r="L1666" s="200"/>
      <c r="M1666" s="200"/>
      <c r="N1666" s="197"/>
    </row>
    <row r="1667" spans="1:14">
      <c r="A1667" s="262"/>
      <c r="B1667" s="262"/>
      <c r="C1667" s="197">
        <v>41</v>
      </c>
      <c r="D1667" s="262"/>
      <c r="E1667" s="198">
        <v>385.78962100000001</v>
      </c>
      <c r="F1667" s="197"/>
      <c r="G1667" s="199" t="s">
        <v>1543</v>
      </c>
      <c r="H1667" s="200"/>
      <c r="I1667" s="200"/>
      <c r="J1667" s="200"/>
      <c r="K1667" s="199"/>
      <c r="L1667" s="200"/>
      <c r="M1667" s="200"/>
      <c r="N1667" s="197"/>
    </row>
    <row r="1668" spans="1:14">
      <c r="A1668" s="262"/>
      <c r="B1668" s="262"/>
      <c r="C1668" s="197">
        <v>42</v>
      </c>
      <c r="D1668" s="262"/>
      <c r="E1668" s="198">
        <v>389.08432099999999</v>
      </c>
      <c r="F1668" s="197"/>
      <c r="G1668" s="199" t="s">
        <v>1544</v>
      </c>
      <c r="H1668" s="200"/>
      <c r="I1668" s="200"/>
      <c r="J1668" s="200"/>
      <c r="K1668" s="199"/>
      <c r="L1668" s="200"/>
      <c r="M1668" s="200"/>
      <c r="N1668" s="197"/>
    </row>
    <row r="1669" spans="1:14">
      <c r="A1669" s="262"/>
      <c r="B1669" s="262"/>
      <c r="C1669" s="197">
        <v>43</v>
      </c>
      <c r="D1669" s="261">
        <v>10</v>
      </c>
      <c r="E1669" s="198">
        <v>0</v>
      </c>
      <c r="F1669" s="197" t="s">
        <v>227</v>
      </c>
      <c r="G1669" s="199" t="s">
        <v>808</v>
      </c>
      <c r="H1669" s="200">
        <v>0.49</v>
      </c>
      <c r="I1669" s="200">
        <v>1.0549999999999999</v>
      </c>
      <c r="J1669" s="200">
        <v>0.47499999999999998</v>
      </c>
      <c r="K1669" s="199" t="s">
        <v>229</v>
      </c>
      <c r="L1669" s="200"/>
      <c r="M1669" s="200"/>
      <c r="N1669" s="197"/>
    </row>
    <row r="1670" spans="1:14">
      <c r="A1670" s="262"/>
      <c r="B1670" s="262"/>
      <c r="C1670" s="197">
        <v>44</v>
      </c>
      <c r="D1670" s="262"/>
      <c r="E1670" s="198">
        <v>365.52455700000002</v>
      </c>
      <c r="F1670" s="197" t="s">
        <v>281</v>
      </c>
      <c r="G1670" s="199" t="s">
        <v>1545</v>
      </c>
      <c r="H1670" s="200"/>
      <c r="I1670" s="200"/>
      <c r="J1670" s="200"/>
      <c r="K1670" s="199"/>
      <c r="L1670" s="200"/>
      <c r="M1670" s="200"/>
      <c r="N1670" s="197"/>
    </row>
    <row r="1671" spans="1:14">
      <c r="A1671" s="262"/>
      <c r="B1671" s="262"/>
      <c r="C1671" s="197">
        <v>45</v>
      </c>
      <c r="D1671" s="262"/>
      <c r="E1671" s="198">
        <v>295.78610800000001</v>
      </c>
      <c r="F1671" s="197"/>
      <c r="G1671" s="199" t="s">
        <v>1546</v>
      </c>
      <c r="H1671" s="200"/>
      <c r="I1671" s="200"/>
      <c r="J1671" s="200"/>
      <c r="K1671" s="199"/>
      <c r="L1671" s="200"/>
      <c r="M1671" s="200"/>
      <c r="N1671" s="197"/>
    </row>
    <row r="1672" spans="1:14">
      <c r="A1672" s="262"/>
      <c r="B1672" s="262"/>
      <c r="C1672" s="197">
        <v>46</v>
      </c>
      <c r="D1672" s="261">
        <v>11</v>
      </c>
      <c r="E1672" s="198">
        <v>0</v>
      </c>
      <c r="F1672" s="197" t="s">
        <v>227</v>
      </c>
      <c r="G1672" s="199" t="s">
        <v>1547</v>
      </c>
      <c r="H1672" s="200">
        <v>0.53500000000000003</v>
      </c>
      <c r="I1672" s="200">
        <v>0.995</v>
      </c>
      <c r="J1672" s="200">
        <v>0.55500000000000005</v>
      </c>
      <c r="K1672" s="199" t="s">
        <v>408</v>
      </c>
      <c r="L1672" s="200"/>
      <c r="M1672" s="200"/>
      <c r="N1672" s="197"/>
    </row>
    <row r="1673" spans="1:14">
      <c r="A1673" s="262"/>
      <c r="B1673" s="262"/>
      <c r="C1673" s="197">
        <v>47</v>
      </c>
      <c r="D1673" s="262"/>
      <c r="E1673" s="198">
        <v>0</v>
      </c>
      <c r="F1673" s="197" t="s">
        <v>227</v>
      </c>
      <c r="G1673" s="199" t="s">
        <v>910</v>
      </c>
      <c r="H1673" s="200"/>
      <c r="I1673" s="200"/>
      <c r="J1673" s="200"/>
      <c r="K1673" s="199"/>
      <c r="L1673" s="200"/>
      <c r="M1673" s="200"/>
      <c r="N1673" s="197"/>
    </row>
    <row r="1674" spans="1:14">
      <c r="A1674" s="262"/>
      <c r="B1674" s="262"/>
      <c r="C1674" s="197">
        <v>48</v>
      </c>
      <c r="D1674" s="262"/>
      <c r="E1674" s="198">
        <v>533.903952</v>
      </c>
      <c r="F1674" s="197"/>
      <c r="G1674" s="199" t="s">
        <v>1548</v>
      </c>
      <c r="H1674" s="200"/>
      <c r="I1674" s="200"/>
      <c r="J1674" s="200"/>
      <c r="K1674" s="199"/>
      <c r="L1674" s="200"/>
      <c r="M1674" s="200"/>
      <c r="N1674" s="197"/>
    </row>
    <row r="1675" spans="1:14">
      <c r="A1675" s="262"/>
      <c r="B1675" s="262"/>
      <c r="C1675" s="197">
        <v>49</v>
      </c>
      <c r="D1675" s="262"/>
      <c r="E1675" s="198">
        <v>573.03831000000002</v>
      </c>
      <c r="F1675" s="197"/>
      <c r="G1675" s="199" t="s">
        <v>1549</v>
      </c>
      <c r="H1675" s="200"/>
      <c r="I1675" s="200"/>
      <c r="J1675" s="200"/>
      <c r="K1675" s="199"/>
      <c r="L1675" s="200"/>
      <c r="M1675" s="200"/>
      <c r="N1675" s="197"/>
    </row>
    <row r="1676" spans="1:14">
      <c r="A1676" s="262"/>
      <c r="B1676" s="262"/>
      <c r="C1676" s="197">
        <v>50</v>
      </c>
      <c r="D1676" s="262"/>
      <c r="E1676" s="198">
        <v>573.67716399999995</v>
      </c>
      <c r="F1676" s="197"/>
      <c r="G1676" s="199" t="s">
        <v>1550</v>
      </c>
      <c r="H1676" s="200"/>
      <c r="I1676" s="200"/>
      <c r="J1676" s="200"/>
      <c r="K1676" s="199"/>
      <c r="L1676" s="200"/>
      <c r="M1676" s="200"/>
      <c r="N1676" s="197"/>
    </row>
    <row r="1677" spans="1:14">
      <c r="A1677" s="262"/>
      <c r="B1677" s="262"/>
      <c r="C1677" s="197">
        <v>51</v>
      </c>
      <c r="D1677" s="261">
        <v>12</v>
      </c>
      <c r="E1677" s="198">
        <v>0</v>
      </c>
      <c r="F1677" s="197" t="s">
        <v>227</v>
      </c>
      <c r="G1677" s="199" t="s">
        <v>913</v>
      </c>
      <c r="H1677" s="200">
        <v>0.52</v>
      </c>
      <c r="I1677" s="200">
        <v>0.99</v>
      </c>
      <c r="J1677" s="200">
        <v>0.51500000000000001</v>
      </c>
      <c r="K1677" s="199" t="s">
        <v>671</v>
      </c>
      <c r="L1677" s="200"/>
      <c r="M1677" s="200"/>
      <c r="N1677" s="197"/>
    </row>
    <row r="1678" spans="1:14">
      <c r="A1678" s="262"/>
      <c r="B1678" s="262"/>
      <c r="C1678" s="197">
        <v>52</v>
      </c>
      <c r="D1678" s="262"/>
      <c r="E1678" s="198">
        <v>0</v>
      </c>
      <c r="F1678" s="197" t="s">
        <v>227</v>
      </c>
      <c r="G1678" s="199" t="s">
        <v>758</v>
      </c>
      <c r="H1678" s="200"/>
      <c r="I1678" s="200"/>
      <c r="J1678" s="200"/>
      <c r="K1678" s="199"/>
      <c r="L1678" s="200"/>
      <c r="M1678" s="200"/>
      <c r="N1678" s="197"/>
    </row>
    <row r="1679" spans="1:14">
      <c r="A1679" s="262"/>
      <c r="B1679" s="262"/>
      <c r="C1679" s="197">
        <v>53</v>
      </c>
      <c r="D1679" s="262"/>
      <c r="E1679" s="198">
        <v>0</v>
      </c>
      <c r="F1679" s="197" t="s">
        <v>227</v>
      </c>
      <c r="G1679" s="199" t="s">
        <v>654</v>
      </c>
      <c r="H1679" s="200"/>
      <c r="I1679" s="200"/>
      <c r="J1679" s="200"/>
      <c r="K1679" s="199"/>
      <c r="L1679" s="200"/>
      <c r="M1679" s="200"/>
      <c r="N1679" s="197"/>
    </row>
    <row r="1680" spans="1:14">
      <c r="A1680" s="262"/>
      <c r="B1680" s="262"/>
      <c r="C1680" s="197">
        <v>54</v>
      </c>
      <c r="D1680" s="262"/>
      <c r="E1680" s="198">
        <v>385.82830300000001</v>
      </c>
      <c r="F1680" s="197"/>
      <c r="G1680" s="199" t="s">
        <v>1551</v>
      </c>
      <c r="H1680" s="200"/>
      <c r="I1680" s="200"/>
      <c r="J1680" s="200"/>
      <c r="K1680" s="199"/>
      <c r="L1680" s="200"/>
      <c r="M1680" s="200"/>
      <c r="N1680" s="197"/>
    </row>
    <row r="1681" spans="1:14">
      <c r="A1681" s="262"/>
      <c r="B1681" s="262"/>
      <c r="C1681" s="197">
        <v>55</v>
      </c>
      <c r="D1681" s="262"/>
      <c r="E1681" s="198">
        <v>0</v>
      </c>
      <c r="F1681" s="197" t="s">
        <v>227</v>
      </c>
      <c r="G1681" s="199" t="s">
        <v>287</v>
      </c>
      <c r="H1681" s="200"/>
      <c r="I1681" s="200"/>
      <c r="J1681" s="200"/>
      <c r="K1681" s="199"/>
      <c r="L1681" s="200"/>
      <c r="M1681" s="200"/>
      <c r="N1681" s="197"/>
    </row>
    <row r="1682" spans="1:14">
      <c r="A1682" s="262"/>
      <c r="B1682" s="262"/>
      <c r="C1682" s="197">
        <v>56</v>
      </c>
      <c r="D1682" s="262"/>
      <c r="E1682" s="198">
        <v>0</v>
      </c>
      <c r="F1682" s="197" t="s">
        <v>227</v>
      </c>
      <c r="G1682" s="199" t="s">
        <v>288</v>
      </c>
      <c r="H1682" s="200"/>
      <c r="I1682" s="200"/>
      <c r="J1682" s="200"/>
      <c r="K1682" s="199"/>
      <c r="L1682" s="200"/>
      <c r="M1682" s="200"/>
      <c r="N1682" s="197"/>
    </row>
    <row r="1683" spans="1:14">
      <c r="A1683" s="262"/>
      <c r="B1683" s="262"/>
      <c r="C1683" s="197">
        <v>57</v>
      </c>
      <c r="D1683" s="262"/>
      <c r="E1683" s="198">
        <v>0</v>
      </c>
      <c r="F1683" s="197" t="s">
        <v>227</v>
      </c>
      <c r="G1683" s="199" t="s">
        <v>289</v>
      </c>
      <c r="H1683" s="200"/>
      <c r="I1683" s="200"/>
      <c r="J1683" s="200"/>
      <c r="K1683" s="199"/>
      <c r="L1683" s="200"/>
      <c r="M1683" s="200"/>
      <c r="N1683" s="197"/>
    </row>
    <row r="1684" spans="1:14">
      <c r="A1684" s="262"/>
      <c r="B1684" s="262"/>
      <c r="C1684" s="197">
        <v>58</v>
      </c>
      <c r="D1684" s="261">
        <v>13</v>
      </c>
      <c r="E1684" s="198">
        <v>0</v>
      </c>
      <c r="F1684" s="197" t="s">
        <v>227</v>
      </c>
      <c r="G1684" s="199" t="s">
        <v>822</v>
      </c>
      <c r="H1684" s="200">
        <v>0.48</v>
      </c>
      <c r="I1684" s="200">
        <v>0.995</v>
      </c>
      <c r="J1684" s="200">
        <v>0.505</v>
      </c>
      <c r="K1684" s="199" t="s">
        <v>417</v>
      </c>
      <c r="L1684" s="200"/>
      <c r="M1684" s="200"/>
      <c r="N1684" s="197"/>
    </row>
    <row r="1685" spans="1:14">
      <c r="A1685" s="262"/>
      <c r="B1685" s="262"/>
      <c r="C1685" s="197">
        <v>59</v>
      </c>
      <c r="D1685" s="262"/>
      <c r="E1685" s="198">
        <v>0</v>
      </c>
      <c r="F1685" s="197" t="s">
        <v>227</v>
      </c>
      <c r="G1685" s="199" t="s">
        <v>823</v>
      </c>
      <c r="H1685" s="200"/>
      <c r="I1685" s="200"/>
      <c r="J1685" s="200"/>
      <c r="K1685" s="199"/>
      <c r="L1685" s="200"/>
      <c r="M1685" s="200"/>
      <c r="N1685" s="197"/>
    </row>
    <row r="1686" spans="1:14">
      <c r="A1686" s="262"/>
      <c r="B1686" s="262"/>
      <c r="C1686" s="197">
        <v>60</v>
      </c>
      <c r="D1686" s="262"/>
      <c r="E1686" s="198">
        <v>0</v>
      </c>
      <c r="F1686" s="197" t="s">
        <v>227</v>
      </c>
      <c r="G1686" s="199" t="s">
        <v>824</v>
      </c>
      <c r="H1686" s="200"/>
      <c r="I1686" s="200"/>
      <c r="J1686" s="200"/>
      <c r="K1686" s="199"/>
      <c r="L1686" s="200"/>
      <c r="M1686" s="200"/>
      <c r="N1686" s="197"/>
    </row>
    <row r="1687" spans="1:14">
      <c r="A1687" s="262"/>
      <c r="B1687" s="262"/>
      <c r="C1687" s="197">
        <v>61</v>
      </c>
      <c r="D1687" s="261">
        <v>15</v>
      </c>
      <c r="E1687" s="198">
        <v>0</v>
      </c>
      <c r="F1687" s="197" t="s">
        <v>227</v>
      </c>
      <c r="G1687" s="199" t="s">
        <v>1552</v>
      </c>
      <c r="H1687" s="200">
        <v>0.495</v>
      </c>
      <c r="I1687" s="200">
        <v>1</v>
      </c>
      <c r="J1687" s="200">
        <v>0.51500000000000001</v>
      </c>
      <c r="K1687" s="199" t="s">
        <v>229</v>
      </c>
      <c r="L1687" s="200"/>
      <c r="M1687" s="200"/>
      <c r="N1687" s="197"/>
    </row>
    <row r="1688" spans="1:14">
      <c r="A1688" s="262"/>
      <c r="B1688" s="262"/>
      <c r="C1688" s="197">
        <v>62</v>
      </c>
      <c r="D1688" s="262"/>
      <c r="E1688" s="198">
        <v>0</v>
      </c>
      <c r="F1688" s="197" t="s">
        <v>227</v>
      </c>
      <c r="G1688" s="199" t="s">
        <v>876</v>
      </c>
      <c r="H1688" s="200"/>
      <c r="I1688" s="200"/>
      <c r="J1688" s="200"/>
      <c r="K1688" s="199"/>
      <c r="L1688" s="200"/>
      <c r="M1688" s="200"/>
      <c r="N1688" s="197"/>
    </row>
    <row r="1689" spans="1:14">
      <c r="A1689" s="262"/>
      <c r="B1689" s="262"/>
      <c r="C1689" s="197">
        <v>63</v>
      </c>
      <c r="D1689" s="262"/>
      <c r="E1689" s="198">
        <v>0</v>
      </c>
      <c r="F1689" s="197" t="s">
        <v>227</v>
      </c>
      <c r="G1689" s="199" t="s">
        <v>1553</v>
      </c>
      <c r="H1689" s="200"/>
      <c r="I1689" s="200"/>
      <c r="J1689" s="200"/>
      <c r="K1689" s="199"/>
      <c r="L1689" s="200"/>
      <c r="M1689" s="200"/>
      <c r="N1689" s="197"/>
    </row>
    <row r="1690" spans="1:14">
      <c r="A1690" s="262"/>
      <c r="B1690" s="262"/>
      <c r="C1690" s="197">
        <v>64</v>
      </c>
      <c r="D1690" s="261">
        <v>14</v>
      </c>
      <c r="E1690" s="198">
        <v>391.92668200000003</v>
      </c>
      <c r="F1690" s="197"/>
      <c r="G1690" s="199" t="s">
        <v>1554</v>
      </c>
      <c r="H1690" s="200">
        <v>0.48499999999999999</v>
      </c>
      <c r="I1690" s="200">
        <v>0.99</v>
      </c>
      <c r="J1690" s="200">
        <v>0.56000000000000005</v>
      </c>
      <c r="K1690" s="199" t="s">
        <v>671</v>
      </c>
      <c r="L1690" s="200"/>
      <c r="M1690" s="200"/>
      <c r="N1690" s="197"/>
    </row>
    <row r="1691" spans="1:14">
      <c r="A1691" s="262"/>
      <c r="B1691" s="262"/>
      <c r="C1691" s="197">
        <v>65</v>
      </c>
      <c r="D1691" s="262"/>
      <c r="E1691" s="198">
        <v>0</v>
      </c>
      <c r="F1691" s="197" t="s">
        <v>227</v>
      </c>
      <c r="G1691" s="199" t="s">
        <v>1555</v>
      </c>
      <c r="H1691" s="200"/>
      <c r="I1691" s="200"/>
      <c r="J1691" s="200"/>
      <c r="K1691" s="199"/>
      <c r="L1691" s="200"/>
      <c r="M1691" s="200"/>
      <c r="N1691" s="197"/>
    </row>
    <row r="1692" spans="1:14">
      <c r="A1692" s="262"/>
      <c r="B1692" s="262"/>
      <c r="C1692" s="197">
        <v>66</v>
      </c>
      <c r="D1692" s="262"/>
      <c r="E1692" s="198">
        <v>0</v>
      </c>
      <c r="F1692" s="197" t="s">
        <v>227</v>
      </c>
      <c r="G1692" s="199" t="s">
        <v>1556</v>
      </c>
      <c r="H1692" s="200"/>
      <c r="I1692" s="200"/>
      <c r="J1692" s="200"/>
      <c r="K1692" s="199"/>
      <c r="L1692" s="200"/>
      <c r="M1692" s="200"/>
      <c r="N1692" s="197"/>
    </row>
    <row r="1693" spans="1:14">
      <c r="A1693" s="262"/>
      <c r="B1693" s="262"/>
      <c r="C1693" s="197">
        <v>67</v>
      </c>
      <c r="D1693" s="262"/>
      <c r="E1693" s="198">
        <v>0</v>
      </c>
      <c r="F1693" s="197" t="s">
        <v>227</v>
      </c>
      <c r="G1693" s="199" t="s">
        <v>299</v>
      </c>
      <c r="H1693" s="200"/>
      <c r="I1693" s="200"/>
      <c r="J1693" s="200"/>
      <c r="K1693" s="199"/>
      <c r="L1693" s="200"/>
      <c r="M1693" s="200"/>
      <c r="N1693" s="197"/>
    </row>
    <row r="1694" spans="1:14">
      <c r="A1694" s="262"/>
      <c r="B1694" s="262"/>
      <c r="C1694" s="197">
        <v>68</v>
      </c>
      <c r="D1694" s="262"/>
      <c r="E1694" s="198">
        <v>0</v>
      </c>
      <c r="F1694" s="197" t="s">
        <v>227</v>
      </c>
      <c r="G1694" s="199" t="s">
        <v>1557</v>
      </c>
      <c r="H1694" s="200"/>
      <c r="I1694" s="200"/>
      <c r="J1694" s="200"/>
      <c r="K1694" s="199"/>
      <c r="L1694" s="200"/>
      <c r="M1694" s="200"/>
      <c r="N1694" s="197"/>
    </row>
    <row r="1695" spans="1:14">
      <c r="A1695" s="262"/>
      <c r="B1695" s="262"/>
      <c r="C1695" s="197">
        <v>69</v>
      </c>
      <c r="D1695" s="261">
        <v>16</v>
      </c>
      <c r="E1695" s="198">
        <v>0</v>
      </c>
      <c r="F1695" s="197" t="s">
        <v>227</v>
      </c>
      <c r="G1695" s="199" t="s">
        <v>666</v>
      </c>
      <c r="H1695" s="200">
        <v>0.55500000000000005</v>
      </c>
      <c r="I1695" s="200">
        <v>0.98</v>
      </c>
      <c r="J1695" s="200">
        <v>0.495</v>
      </c>
      <c r="K1695" s="199" t="s">
        <v>671</v>
      </c>
      <c r="L1695" s="200"/>
      <c r="M1695" s="200"/>
      <c r="N1695" s="197"/>
    </row>
    <row r="1696" spans="1:14">
      <c r="A1696" s="262"/>
      <c r="B1696" s="262"/>
      <c r="C1696" s="197">
        <v>70</v>
      </c>
      <c r="D1696" s="262"/>
      <c r="E1696" s="198">
        <v>291.85930400000001</v>
      </c>
      <c r="F1696" s="197"/>
      <c r="G1696" s="199" t="s">
        <v>1558</v>
      </c>
      <c r="H1696" s="200"/>
      <c r="I1696" s="200"/>
      <c r="J1696" s="200"/>
      <c r="K1696" s="199"/>
      <c r="L1696" s="200"/>
      <c r="M1696" s="200"/>
      <c r="N1696" s="197"/>
    </row>
    <row r="1697" spans="1:14">
      <c r="A1697" s="262"/>
      <c r="B1697" s="262"/>
      <c r="C1697" s="197">
        <v>71</v>
      </c>
      <c r="D1697" s="262"/>
      <c r="E1697" s="198">
        <v>291.643349</v>
      </c>
      <c r="F1697" s="197"/>
      <c r="G1697" s="199" t="s">
        <v>1559</v>
      </c>
      <c r="H1697" s="200"/>
      <c r="I1697" s="200"/>
      <c r="J1697" s="200"/>
      <c r="K1697" s="199"/>
      <c r="L1697" s="200"/>
      <c r="M1697" s="200"/>
      <c r="N1697" s="197"/>
    </row>
    <row r="1698" spans="1:14">
      <c r="A1698" s="262"/>
      <c r="B1698" s="262"/>
      <c r="C1698" s="197">
        <v>72</v>
      </c>
      <c r="D1698" s="262"/>
      <c r="E1698" s="198">
        <v>0</v>
      </c>
      <c r="F1698" s="197" t="s">
        <v>227</v>
      </c>
      <c r="G1698" s="199" t="s">
        <v>669</v>
      </c>
      <c r="H1698" s="200"/>
      <c r="I1698" s="200"/>
      <c r="J1698" s="200"/>
      <c r="K1698" s="199"/>
      <c r="L1698" s="200"/>
      <c r="M1698" s="200"/>
      <c r="N1698" s="197"/>
    </row>
    <row r="1699" spans="1:14">
      <c r="A1699" s="262"/>
      <c r="B1699" s="262"/>
      <c r="C1699" s="197">
        <v>73</v>
      </c>
      <c r="D1699" s="262"/>
      <c r="E1699" s="198">
        <v>0</v>
      </c>
      <c r="F1699" s="197" t="s">
        <v>227</v>
      </c>
      <c r="G1699" s="199" t="s">
        <v>305</v>
      </c>
      <c r="H1699" s="200"/>
      <c r="I1699" s="200"/>
      <c r="J1699" s="200"/>
      <c r="K1699" s="199"/>
      <c r="L1699" s="200"/>
      <c r="M1699" s="200"/>
      <c r="N1699" s="197"/>
    </row>
    <row r="1700" spans="1:14">
      <c r="A1700" s="262"/>
      <c r="B1700" s="262"/>
      <c r="C1700" s="197">
        <v>74</v>
      </c>
      <c r="D1700" s="262"/>
      <c r="E1700" s="198">
        <v>0</v>
      </c>
      <c r="F1700" s="197" t="s">
        <v>227</v>
      </c>
      <c r="G1700" s="199" t="s">
        <v>306</v>
      </c>
      <c r="H1700" s="200"/>
      <c r="I1700" s="200"/>
      <c r="J1700" s="200"/>
      <c r="K1700" s="199"/>
      <c r="L1700" s="200"/>
      <c r="M1700" s="200"/>
      <c r="N1700" s="197"/>
    </row>
    <row r="1701" spans="1:14">
      <c r="A1701" s="262"/>
      <c r="B1701" s="262"/>
      <c r="C1701" s="197">
        <v>75</v>
      </c>
      <c r="D1701" s="262"/>
      <c r="E1701" s="198">
        <v>0</v>
      </c>
      <c r="F1701" s="197" t="s">
        <v>227</v>
      </c>
      <c r="G1701" s="199" t="s">
        <v>307</v>
      </c>
      <c r="H1701" s="200"/>
      <c r="I1701" s="200"/>
      <c r="J1701" s="200"/>
      <c r="K1701" s="199"/>
      <c r="L1701" s="200"/>
      <c r="M1701" s="200"/>
      <c r="N1701" s="197"/>
    </row>
    <row r="1702" spans="1:14">
      <c r="A1702" s="262"/>
      <c r="B1702" s="262"/>
      <c r="C1702" s="197">
        <v>76</v>
      </c>
      <c r="D1702" s="262"/>
      <c r="E1702" s="198">
        <v>0</v>
      </c>
      <c r="F1702" s="197" t="s">
        <v>227</v>
      </c>
      <c r="G1702" s="199" t="s">
        <v>308</v>
      </c>
      <c r="H1702" s="200"/>
      <c r="I1702" s="200"/>
      <c r="J1702" s="200"/>
      <c r="K1702" s="199"/>
      <c r="L1702" s="200"/>
      <c r="M1702" s="200"/>
      <c r="N1702" s="197"/>
    </row>
    <row r="1703" spans="1:14">
      <c r="A1703" s="261" t="s">
        <v>1560</v>
      </c>
      <c r="B1703" s="261">
        <v>8</v>
      </c>
      <c r="C1703" s="197">
        <v>1</v>
      </c>
      <c r="D1703" s="261">
        <v>1</v>
      </c>
      <c r="E1703" s="198">
        <v>0</v>
      </c>
      <c r="F1703" s="197" t="s">
        <v>227</v>
      </c>
      <c r="G1703" s="199" t="s">
        <v>228</v>
      </c>
      <c r="H1703" s="200">
        <v>0.52500000000000002</v>
      </c>
      <c r="I1703" s="200">
        <v>0.98</v>
      </c>
      <c r="J1703" s="200">
        <v>0.48</v>
      </c>
      <c r="K1703" s="199" t="s">
        <v>671</v>
      </c>
      <c r="L1703" s="200">
        <v>2.2211694554896088E-2</v>
      </c>
      <c r="M1703" s="200"/>
      <c r="N1703" s="197"/>
    </row>
    <row r="1704" spans="1:14">
      <c r="A1704" s="262"/>
      <c r="B1704" s="262"/>
      <c r="C1704" s="197">
        <v>2</v>
      </c>
      <c r="D1704" s="262"/>
      <c r="E1704" s="198">
        <v>0</v>
      </c>
      <c r="F1704" s="197" t="s">
        <v>227</v>
      </c>
      <c r="G1704" s="199" t="s">
        <v>230</v>
      </c>
      <c r="H1704" s="200"/>
      <c r="I1704" s="200"/>
      <c r="J1704" s="200"/>
      <c r="K1704" s="199"/>
      <c r="L1704" s="200">
        <v>1.1659223816361005E-2</v>
      </c>
      <c r="M1704" s="200"/>
      <c r="N1704" s="197"/>
    </row>
    <row r="1705" spans="1:14">
      <c r="A1705" s="262"/>
      <c r="B1705" s="262"/>
      <c r="C1705" s="197">
        <v>3</v>
      </c>
      <c r="D1705" s="262"/>
      <c r="E1705" s="198">
        <v>200.67815200000001</v>
      </c>
      <c r="F1705" s="197" t="s">
        <v>281</v>
      </c>
      <c r="G1705" s="199" t="s">
        <v>1561</v>
      </c>
      <c r="H1705" s="200"/>
      <c r="I1705" s="200"/>
      <c r="J1705" s="200"/>
      <c r="K1705" s="199"/>
      <c r="L1705" s="200">
        <v>3.2522528249661037E-2</v>
      </c>
      <c r="M1705" s="200"/>
      <c r="N1705" s="197"/>
    </row>
    <row r="1706" spans="1:14">
      <c r="A1706" s="262"/>
      <c r="B1706" s="262"/>
      <c r="C1706" s="197">
        <v>4</v>
      </c>
      <c r="D1706" s="262"/>
      <c r="E1706" s="198">
        <v>430.26579299999997</v>
      </c>
      <c r="F1706" s="197"/>
      <c r="G1706" s="199" t="s">
        <v>1562</v>
      </c>
      <c r="H1706" s="200"/>
      <c r="I1706" s="200"/>
      <c r="J1706" s="200"/>
      <c r="K1706" s="199"/>
      <c r="L1706" s="200"/>
      <c r="M1706" s="200" t="s">
        <v>1563</v>
      </c>
      <c r="N1706" s="197" t="s">
        <v>777</v>
      </c>
    </row>
    <row r="1707" spans="1:14">
      <c r="A1707" s="262"/>
      <c r="B1707" s="262"/>
      <c r="C1707" s="197">
        <v>5</v>
      </c>
      <c r="D1707" s="262"/>
      <c r="E1707" s="198">
        <v>429.62672700000002</v>
      </c>
      <c r="F1707" s="197"/>
      <c r="G1707" s="199" t="s">
        <v>1564</v>
      </c>
      <c r="H1707" s="200"/>
      <c r="I1707" s="200"/>
      <c r="J1707" s="200"/>
      <c r="K1707" s="199"/>
      <c r="L1707" s="200"/>
      <c r="M1707" s="200"/>
      <c r="N1707" s="197"/>
    </row>
    <row r="1708" spans="1:14">
      <c r="A1708" s="262"/>
      <c r="B1708" s="262"/>
      <c r="C1708" s="197">
        <v>6</v>
      </c>
      <c r="D1708" s="261">
        <v>2</v>
      </c>
      <c r="E1708" s="198">
        <v>426.83082899999999</v>
      </c>
      <c r="F1708" s="197" t="s">
        <v>227</v>
      </c>
      <c r="G1708" s="199" t="s">
        <v>1565</v>
      </c>
      <c r="H1708" s="200">
        <v>0.51500000000000001</v>
      </c>
      <c r="I1708" s="200">
        <v>0.98499999999999999</v>
      </c>
      <c r="J1708" s="200">
        <v>0.53500000000000003</v>
      </c>
      <c r="K1708" s="199" t="s">
        <v>417</v>
      </c>
      <c r="L1708" s="200"/>
      <c r="M1708" s="200"/>
      <c r="N1708" s="197"/>
    </row>
    <row r="1709" spans="1:14">
      <c r="A1709" s="262"/>
      <c r="B1709" s="262"/>
      <c r="C1709" s="197">
        <v>7</v>
      </c>
      <c r="D1709" s="262"/>
      <c r="E1709" s="198">
        <v>0</v>
      </c>
      <c r="F1709" s="197" t="s">
        <v>227</v>
      </c>
      <c r="G1709" s="199" t="s">
        <v>238</v>
      </c>
      <c r="H1709" s="200"/>
      <c r="I1709" s="200"/>
      <c r="J1709" s="200"/>
      <c r="K1709" s="199"/>
      <c r="L1709" s="200"/>
      <c r="M1709" s="200"/>
      <c r="N1709" s="197"/>
    </row>
    <row r="1710" spans="1:14">
      <c r="A1710" s="262"/>
      <c r="B1710" s="262"/>
      <c r="C1710" s="197">
        <v>8</v>
      </c>
      <c r="D1710" s="262"/>
      <c r="E1710" s="198">
        <v>0</v>
      </c>
      <c r="F1710" s="197" t="s">
        <v>227</v>
      </c>
      <c r="G1710" s="199" t="s">
        <v>239</v>
      </c>
      <c r="H1710" s="200"/>
      <c r="I1710" s="200"/>
      <c r="J1710" s="200"/>
      <c r="K1710" s="199"/>
      <c r="L1710" s="200"/>
      <c r="M1710" s="200"/>
      <c r="N1710" s="197"/>
    </row>
    <row r="1711" spans="1:14">
      <c r="A1711" s="262"/>
      <c r="B1711" s="262"/>
      <c r="C1711" s="197">
        <v>9</v>
      </c>
      <c r="D1711" s="262"/>
      <c r="E1711" s="198">
        <v>0</v>
      </c>
      <c r="F1711" s="197" t="s">
        <v>227</v>
      </c>
      <c r="G1711" s="199" t="s">
        <v>240</v>
      </c>
      <c r="H1711" s="200"/>
      <c r="I1711" s="200"/>
      <c r="J1711" s="200"/>
      <c r="K1711" s="199"/>
      <c r="L1711" s="200"/>
      <c r="M1711" s="200"/>
      <c r="N1711" s="197"/>
    </row>
    <row r="1712" spans="1:14">
      <c r="A1712" s="262"/>
      <c r="B1712" s="262"/>
      <c r="C1712" s="197">
        <v>10</v>
      </c>
      <c r="D1712" s="262"/>
      <c r="E1712" s="198">
        <v>0</v>
      </c>
      <c r="F1712" s="197" t="s">
        <v>227</v>
      </c>
      <c r="G1712" s="199" t="s">
        <v>332</v>
      </c>
      <c r="H1712" s="200"/>
      <c r="I1712" s="200"/>
      <c r="J1712" s="200"/>
      <c r="K1712" s="199"/>
      <c r="L1712" s="200"/>
      <c r="M1712" s="200"/>
      <c r="N1712" s="197"/>
    </row>
    <row r="1713" spans="1:14">
      <c r="A1713" s="262"/>
      <c r="B1713" s="262"/>
      <c r="C1713" s="197">
        <v>11</v>
      </c>
      <c r="D1713" s="262"/>
      <c r="E1713" s="198">
        <v>564.46732899999995</v>
      </c>
      <c r="F1713" s="197"/>
      <c r="G1713" s="199" t="s">
        <v>1566</v>
      </c>
      <c r="H1713" s="200"/>
      <c r="I1713" s="200"/>
      <c r="J1713" s="200"/>
      <c r="K1713" s="199"/>
      <c r="L1713" s="200"/>
      <c r="M1713" s="200"/>
      <c r="N1713" s="197"/>
    </row>
    <row r="1714" spans="1:14">
      <c r="A1714" s="262"/>
      <c r="B1714" s="262"/>
      <c r="C1714" s="197">
        <v>12</v>
      </c>
      <c r="D1714" s="261">
        <v>3</v>
      </c>
      <c r="E1714" s="198">
        <v>209.82363900000001</v>
      </c>
      <c r="F1714" s="197" t="s">
        <v>227</v>
      </c>
      <c r="G1714" s="199" t="s">
        <v>1567</v>
      </c>
      <c r="H1714" s="200">
        <v>0.47</v>
      </c>
      <c r="I1714" s="200">
        <v>0.995</v>
      </c>
      <c r="J1714" s="200">
        <v>0.56999999999999995</v>
      </c>
      <c r="K1714" s="199" t="s">
        <v>671</v>
      </c>
      <c r="L1714" s="200"/>
      <c r="M1714" s="200"/>
      <c r="N1714" s="197"/>
    </row>
    <row r="1715" spans="1:14">
      <c r="A1715" s="262"/>
      <c r="B1715" s="262"/>
      <c r="C1715" s="197">
        <v>13</v>
      </c>
      <c r="D1715" s="262"/>
      <c r="E1715" s="198">
        <v>433.71454799999998</v>
      </c>
      <c r="F1715" s="197"/>
      <c r="G1715" s="199" t="s">
        <v>1568</v>
      </c>
      <c r="H1715" s="200"/>
      <c r="I1715" s="200"/>
      <c r="J1715" s="200"/>
      <c r="K1715" s="199"/>
      <c r="L1715" s="200"/>
      <c r="M1715" s="200"/>
      <c r="N1715" s="197"/>
    </row>
    <row r="1716" spans="1:14">
      <c r="A1716" s="262"/>
      <c r="B1716" s="262"/>
      <c r="C1716" s="197">
        <v>14</v>
      </c>
      <c r="D1716" s="262"/>
      <c r="E1716" s="198">
        <v>427.55320799999998</v>
      </c>
      <c r="F1716" s="197"/>
      <c r="G1716" s="199" t="s">
        <v>1569</v>
      </c>
      <c r="H1716" s="200"/>
      <c r="I1716" s="200"/>
      <c r="J1716" s="200"/>
      <c r="K1716" s="199"/>
      <c r="L1716" s="200"/>
      <c r="M1716" s="200"/>
      <c r="N1716" s="197"/>
    </row>
    <row r="1717" spans="1:14">
      <c r="A1717" s="262"/>
      <c r="B1717" s="262"/>
      <c r="C1717" s="197">
        <v>15</v>
      </c>
      <c r="D1717" s="261">
        <v>4</v>
      </c>
      <c r="E1717" s="198">
        <v>0</v>
      </c>
      <c r="F1717" s="197" t="s">
        <v>227</v>
      </c>
      <c r="G1717" s="199" t="s">
        <v>246</v>
      </c>
      <c r="H1717" s="200">
        <v>0.51</v>
      </c>
      <c r="I1717" s="200">
        <v>0.96</v>
      </c>
      <c r="J1717" s="200">
        <v>0.52500000000000002</v>
      </c>
      <c r="K1717" s="199" t="s">
        <v>229</v>
      </c>
      <c r="L1717" s="200"/>
      <c r="M1717" s="200"/>
      <c r="N1717" s="197"/>
    </row>
    <row r="1718" spans="1:14">
      <c r="A1718" s="262"/>
      <c r="B1718" s="262"/>
      <c r="C1718" s="197">
        <v>16</v>
      </c>
      <c r="D1718" s="262"/>
      <c r="E1718" s="198">
        <v>429.21249399999999</v>
      </c>
      <c r="F1718" s="197"/>
      <c r="G1718" s="199" t="s">
        <v>1570</v>
      </c>
      <c r="H1718" s="200"/>
      <c r="I1718" s="200"/>
      <c r="J1718" s="200"/>
      <c r="K1718" s="199"/>
      <c r="L1718" s="200"/>
      <c r="M1718" s="200"/>
      <c r="N1718" s="197"/>
    </row>
    <row r="1719" spans="1:14">
      <c r="A1719" s="262"/>
      <c r="B1719" s="262"/>
      <c r="C1719" s="197">
        <v>17</v>
      </c>
      <c r="D1719" s="262"/>
      <c r="E1719" s="198">
        <v>425.10910799999999</v>
      </c>
      <c r="F1719" s="197"/>
      <c r="G1719" s="199" t="s">
        <v>1571</v>
      </c>
      <c r="H1719" s="200"/>
      <c r="I1719" s="200"/>
      <c r="J1719" s="200"/>
      <c r="K1719" s="199"/>
      <c r="L1719" s="200"/>
      <c r="M1719" s="200"/>
      <c r="N1719" s="197"/>
    </row>
    <row r="1720" spans="1:14">
      <c r="A1720" s="262"/>
      <c r="B1720" s="262"/>
      <c r="C1720" s="197">
        <v>18</v>
      </c>
      <c r="D1720" s="262"/>
      <c r="E1720" s="198">
        <v>407.30321700000002</v>
      </c>
      <c r="F1720" s="197"/>
      <c r="G1720" s="199" t="s">
        <v>1572</v>
      </c>
      <c r="H1720" s="200"/>
      <c r="I1720" s="200"/>
      <c r="J1720" s="200"/>
      <c r="K1720" s="199"/>
      <c r="L1720" s="200"/>
      <c r="M1720" s="200"/>
      <c r="N1720" s="197"/>
    </row>
    <row r="1721" spans="1:14">
      <c r="A1721" s="262"/>
      <c r="B1721" s="262"/>
      <c r="C1721" s="197">
        <v>19</v>
      </c>
      <c r="D1721" s="262"/>
      <c r="E1721" s="198">
        <v>0</v>
      </c>
      <c r="F1721" s="197" t="s">
        <v>227</v>
      </c>
      <c r="G1721" s="199" t="s">
        <v>250</v>
      </c>
      <c r="H1721" s="200"/>
      <c r="I1721" s="200"/>
      <c r="J1721" s="200"/>
      <c r="K1721" s="199"/>
      <c r="L1721" s="200"/>
      <c r="M1721" s="200"/>
      <c r="N1721" s="197"/>
    </row>
    <row r="1722" spans="1:14">
      <c r="A1722" s="262"/>
      <c r="B1722" s="262"/>
      <c r="C1722" s="197">
        <v>20</v>
      </c>
      <c r="D1722" s="262"/>
      <c r="E1722" s="198">
        <v>0</v>
      </c>
      <c r="F1722" s="197" t="s">
        <v>227</v>
      </c>
      <c r="G1722" s="199" t="s">
        <v>686</v>
      </c>
      <c r="H1722" s="200"/>
      <c r="I1722" s="200"/>
      <c r="J1722" s="200"/>
      <c r="K1722" s="199"/>
      <c r="L1722" s="200"/>
      <c r="M1722" s="200"/>
      <c r="N1722" s="197"/>
    </row>
    <row r="1723" spans="1:14">
      <c r="A1723" s="262"/>
      <c r="B1723" s="262"/>
      <c r="C1723" s="197">
        <v>21</v>
      </c>
      <c r="D1723" s="262"/>
      <c r="E1723" s="198">
        <v>0</v>
      </c>
      <c r="F1723" s="197" t="s">
        <v>227</v>
      </c>
      <c r="G1723" s="199" t="s">
        <v>252</v>
      </c>
      <c r="H1723" s="200"/>
      <c r="I1723" s="200"/>
      <c r="J1723" s="200"/>
      <c r="K1723" s="199"/>
      <c r="L1723" s="200"/>
      <c r="M1723" s="200"/>
      <c r="N1723" s="197"/>
    </row>
    <row r="1724" spans="1:14">
      <c r="A1724" s="262"/>
      <c r="B1724" s="262"/>
      <c r="C1724" s="197">
        <v>22</v>
      </c>
      <c r="D1724" s="262"/>
      <c r="E1724" s="198">
        <v>0</v>
      </c>
      <c r="F1724" s="197" t="s">
        <v>227</v>
      </c>
      <c r="G1724" s="199" t="s">
        <v>253</v>
      </c>
      <c r="H1724" s="200"/>
      <c r="I1724" s="200"/>
      <c r="J1724" s="200"/>
      <c r="K1724" s="199"/>
      <c r="L1724" s="200"/>
      <c r="M1724" s="200"/>
      <c r="N1724" s="197"/>
    </row>
    <row r="1725" spans="1:14">
      <c r="A1725" s="262"/>
      <c r="B1725" s="262"/>
      <c r="C1725" s="197">
        <v>23</v>
      </c>
      <c r="D1725" s="261">
        <v>5</v>
      </c>
      <c r="E1725" s="198">
        <v>425.85934900000001</v>
      </c>
      <c r="F1725" s="197"/>
      <c r="G1725" s="199" t="s">
        <v>1573</v>
      </c>
      <c r="H1725" s="200">
        <v>0.48499999999999999</v>
      </c>
      <c r="I1725" s="200">
        <v>0.99</v>
      </c>
      <c r="J1725" s="200">
        <v>0.53500000000000003</v>
      </c>
      <c r="K1725" s="199" t="s">
        <v>671</v>
      </c>
      <c r="L1725" s="200"/>
      <c r="M1725" s="200"/>
      <c r="N1725" s="197"/>
    </row>
    <row r="1726" spans="1:14">
      <c r="A1726" s="262"/>
      <c r="B1726" s="262"/>
      <c r="C1726" s="197">
        <v>24</v>
      </c>
      <c r="D1726" s="262"/>
      <c r="E1726" s="198">
        <v>430.92489399999999</v>
      </c>
      <c r="F1726" s="197"/>
      <c r="G1726" s="199" t="s">
        <v>1574</v>
      </c>
      <c r="H1726" s="200"/>
      <c r="I1726" s="200"/>
      <c r="J1726" s="200"/>
      <c r="K1726" s="199"/>
      <c r="L1726" s="200"/>
      <c r="M1726" s="200"/>
      <c r="N1726" s="197"/>
    </row>
    <row r="1727" spans="1:14">
      <c r="A1727" s="262"/>
      <c r="B1727" s="262"/>
      <c r="C1727" s="197">
        <v>25</v>
      </c>
      <c r="D1727" s="261">
        <v>6</v>
      </c>
      <c r="E1727" s="198">
        <v>416.32428199999998</v>
      </c>
      <c r="F1727" s="197" t="s">
        <v>227</v>
      </c>
      <c r="G1727" s="199" t="s">
        <v>1575</v>
      </c>
      <c r="H1727" s="200">
        <v>0.495</v>
      </c>
      <c r="I1727" s="200">
        <v>0.98</v>
      </c>
      <c r="J1727" s="200">
        <v>0.55000000000000004</v>
      </c>
      <c r="K1727" s="199" t="s">
        <v>671</v>
      </c>
      <c r="L1727" s="200"/>
      <c r="M1727" s="200"/>
      <c r="N1727" s="197"/>
    </row>
    <row r="1728" spans="1:14">
      <c r="A1728" s="262"/>
      <c r="B1728" s="262"/>
      <c r="C1728" s="197">
        <v>26</v>
      </c>
      <c r="D1728" s="262"/>
      <c r="E1728" s="198">
        <v>390.51802900000001</v>
      </c>
      <c r="F1728" s="197"/>
      <c r="G1728" s="199" t="s">
        <v>1576</v>
      </c>
      <c r="H1728" s="200"/>
      <c r="I1728" s="200"/>
      <c r="J1728" s="200"/>
      <c r="K1728" s="199"/>
      <c r="L1728" s="200"/>
      <c r="M1728" s="200"/>
      <c r="N1728" s="197"/>
    </row>
    <row r="1729" spans="1:14">
      <c r="A1729" s="262"/>
      <c r="B1729" s="262"/>
      <c r="C1729" s="197">
        <v>27</v>
      </c>
      <c r="D1729" s="262"/>
      <c r="E1729" s="198">
        <v>390.630157</v>
      </c>
      <c r="F1729" s="197"/>
      <c r="G1729" s="199" t="s">
        <v>1577</v>
      </c>
      <c r="H1729" s="200"/>
      <c r="I1729" s="200"/>
      <c r="J1729" s="200"/>
      <c r="K1729" s="199"/>
      <c r="L1729" s="200"/>
      <c r="M1729" s="200"/>
      <c r="N1729" s="197"/>
    </row>
    <row r="1730" spans="1:14">
      <c r="A1730" s="262"/>
      <c r="B1730" s="262"/>
      <c r="C1730" s="197">
        <v>28</v>
      </c>
      <c r="D1730" s="261">
        <v>7</v>
      </c>
      <c r="E1730" s="198">
        <v>392.748108</v>
      </c>
      <c r="F1730" s="197" t="s">
        <v>227</v>
      </c>
      <c r="G1730" s="199" t="s">
        <v>1578</v>
      </c>
      <c r="H1730" s="200">
        <v>0.48499999999999999</v>
      </c>
      <c r="I1730" s="200">
        <v>0.99</v>
      </c>
      <c r="J1730" s="200">
        <v>0.51</v>
      </c>
      <c r="K1730" s="199" t="s">
        <v>229</v>
      </c>
      <c r="L1730" s="200"/>
      <c r="M1730" s="200"/>
      <c r="N1730" s="197"/>
    </row>
    <row r="1731" spans="1:14">
      <c r="A1731" s="262"/>
      <c r="B1731" s="262"/>
      <c r="C1731" s="197">
        <v>29</v>
      </c>
      <c r="D1731" s="262"/>
      <c r="E1731" s="198">
        <v>0</v>
      </c>
      <c r="F1731" s="197" t="s">
        <v>227</v>
      </c>
      <c r="G1731" s="199" t="s">
        <v>901</v>
      </c>
      <c r="H1731" s="200"/>
      <c r="I1731" s="200"/>
      <c r="J1731" s="200"/>
      <c r="K1731" s="199"/>
      <c r="L1731" s="200"/>
      <c r="M1731" s="200"/>
      <c r="N1731" s="197"/>
    </row>
    <row r="1732" spans="1:14">
      <c r="A1732" s="262"/>
      <c r="B1732" s="262"/>
      <c r="C1732" s="197">
        <v>30</v>
      </c>
      <c r="D1732" s="262"/>
      <c r="E1732" s="198">
        <v>296.466812</v>
      </c>
      <c r="F1732" s="197"/>
      <c r="G1732" s="199" t="s">
        <v>1579</v>
      </c>
      <c r="H1732" s="200"/>
      <c r="I1732" s="200"/>
      <c r="J1732" s="200"/>
      <c r="K1732" s="199"/>
      <c r="L1732" s="200"/>
      <c r="M1732" s="200"/>
      <c r="N1732" s="197"/>
    </row>
    <row r="1733" spans="1:14">
      <c r="A1733" s="262"/>
      <c r="B1733" s="262"/>
      <c r="C1733" s="197">
        <v>31</v>
      </c>
      <c r="D1733" s="262"/>
      <c r="E1733" s="198">
        <v>0</v>
      </c>
      <c r="F1733" s="197" t="s">
        <v>227</v>
      </c>
      <c r="G1733" s="199" t="s">
        <v>1488</v>
      </c>
      <c r="H1733" s="200"/>
      <c r="I1733" s="200"/>
      <c r="J1733" s="200"/>
      <c r="K1733" s="199"/>
      <c r="L1733" s="200"/>
      <c r="M1733" s="200"/>
      <c r="N1733" s="197"/>
    </row>
    <row r="1734" spans="1:14">
      <c r="A1734" s="262"/>
      <c r="B1734" s="262"/>
      <c r="C1734" s="197">
        <v>32</v>
      </c>
      <c r="D1734" s="262"/>
      <c r="E1734" s="198">
        <v>0</v>
      </c>
      <c r="F1734" s="197" t="s">
        <v>227</v>
      </c>
      <c r="G1734" s="199" t="s">
        <v>263</v>
      </c>
      <c r="H1734" s="200"/>
      <c r="I1734" s="200"/>
      <c r="J1734" s="200"/>
      <c r="K1734" s="199"/>
      <c r="L1734" s="200"/>
      <c r="M1734" s="200"/>
      <c r="N1734" s="197"/>
    </row>
    <row r="1735" spans="1:14">
      <c r="A1735" s="262"/>
      <c r="B1735" s="262"/>
      <c r="C1735" s="197">
        <v>33</v>
      </c>
      <c r="D1735" s="261">
        <v>8</v>
      </c>
      <c r="E1735" s="198">
        <v>0</v>
      </c>
      <c r="F1735" s="197" t="s">
        <v>227</v>
      </c>
      <c r="G1735" s="199" t="s">
        <v>905</v>
      </c>
      <c r="H1735" s="200">
        <v>0.51</v>
      </c>
      <c r="I1735" s="200">
        <v>0.98499999999999999</v>
      </c>
      <c r="J1735" s="200">
        <v>0.51</v>
      </c>
      <c r="K1735" s="199" t="s">
        <v>229</v>
      </c>
      <c r="L1735" s="200"/>
      <c r="M1735" s="200"/>
      <c r="N1735" s="197"/>
    </row>
    <row r="1736" spans="1:14">
      <c r="A1736" s="262"/>
      <c r="B1736" s="262"/>
      <c r="C1736" s="197">
        <v>34</v>
      </c>
      <c r="D1736" s="262"/>
      <c r="E1736" s="198">
        <v>0</v>
      </c>
      <c r="F1736" s="197" t="s">
        <v>227</v>
      </c>
      <c r="G1736" s="199" t="s">
        <v>698</v>
      </c>
      <c r="H1736" s="200"/>
      <c r="I1736" s="200"/>
      <c r="J1736" s="200"/>
      <c r="K1736" s="199"/>
      <c r="L1736" s="200"/>
      <c r="M1736" s="200"/>
      <c r="N1736" s="197"/>
    </row>
    <row r="1737" spans="1:14">
      <c r="A1737" s="262"/>
      <c r="B1737" s="262"/>
      <c r="C1737" s="197">
        <v>35</v>
      </c>
      <c r="D1737" s="262"/>
      <c r="E1737" s="198">
        <v>0</v>
      </c>
      <c r="F1737" s="197" t="s">
        <v>227</v>
      </c>
      <c r="G1737" s="199" t="s">
        <v>266</v>
      </c>
      <c r="H1737" s="200"/>
      <c r="I1737" s="200"/>
      <c r="J1737" s="200"/>
      <c r="K1737" s="199"/>
      <c r="L1737" s="200"/>
      <c r="M1737" s="200"/>
      <c r="N1737" s="197"/>
    </row>
    <row r="1738" spans="1:14">
      <c r="A1738" s="262"/>
      <c r="B1738" s="262"/>
      <c r="C1738" s="197">
        <v>36</v>
      </c>
      <c r="D1738" s="262"/>
      <c r="E1738" s="198">
        <v>0</v>
      </c>
      <c r="F1738" s="197" t="s">
        <v>227</v>
      </c>
      <c r="G1738" s="199" t="s">
        <v>267</v>
      </c>
      <c r="H1738" s="200"/>
      <c r="I1738" s="200"/>
      <c r="J1738" s="200"/>
      <c r="K1738" s="199"/>
      <c r="L1738" s="200"/>
      <c r="M1738" s="200"/>
      <c r="N1738" s="197"/>
    </row>
    <row r="1739" spans="1:14">
      <c r="A1739" s="262"/>
      <c r="B1739" s="262"/>
      <c r="C1739" s="197">
        <v>37</v>
      </c>
      <c r="D1739" s="262"/>
      <c r="E1739" s="198">
        <v>0</v>
      </c>
      <c r="F1739" s="197" t="s">
        <v>227</v>
      </c>
      <c r="G1739" s="199" t="s">
        <v>268</v>
      </c>
      <c r="H1739" s="200"/>
      <c r="I1739" s="200"/>
      <c r="J1739" s="200"/>
      <c r="K1739" s="199"/>
      <c r="L1739" s="200"/>
      <c r="M1739" s="200"/>
      <c r="N1739" s="197"/>
    </row>
    <row r="1740" spans="1:14">
      <c r="A1740" s="262"/>
      <c r="B1740" s="262"/>
      <c r="C1740" s="197">
        <v>38</v>
      </c>
      <c r="D1740" s="262"/>
      <c r="E1740" s="198">
        <v>0</v>
      </c>
      <c r="F1740" s="197" t="s">
        <v>227</v>
      </c>
      <c r="G1740" s="199" t="s">
        <v>269</v>
      </c>
      <c r="H1740" s="200"/>
      <c r="I1740" s="200"/>
      <c r="J1740" s="200"/>
      <c r="K1740" s="199"/>
      <c r="L1740" s="200"/>
      <c r="M1740" s="200"/>
      <c r="N1740" s="197"/>
    </row>
    <row r="1741" spans="1:14">
      <c r="A1741" s="262"/>
      <c r="B1741" s="262"/>
      <c r="C1741" s="197">
        <v>39</v>
      </c>
      <c r="D1741" s="262"/>
      <c r="E1741" s="198">
        <v>0</v>
      </c>
      <c r="F1741" s="197" t="s">
        <v>227</v>
      </c>
      <c r="G1741" s="199" t="s">
        <v>270</v>
      </c>
      <c r="H1741" s="200"/>
      <c r="I1741" s="200"/>
      <c r="J1741" s="200"/>
      <c r="K1741" s="199"/>
      <c r="L1741" s="200"/>
      <c r="M1741" s="200"/>
      <c r="N1741" s="197"/>
    </row>
    <row r="1742" spans="1:14">
      <c r="A1742" s="262"/>
      <c r="B1742" s="262"/>
      <c r="C1742" s="197">
        <v>40</v>
      </c>
      <c r="D1742" s="262"/>
      <c r="E1742" s="198">
        <v>0</v>
      </c>
      <c r="F1742" s="197" t="s">
        <v>227</v>
      </c>
      <c r="G1742" s="199" t="s">
        <v>271</v>
      </c>
      <c r="H1742" s="200"/>
      <c r="I1742" s="200"/>
      <c r="J1742" s="200"/>
      <c r="K1742" s="199"/>
      <c r="L1742" s="200"/>
      <c r="M1742" s="200"/>
      <c r="N1742" s="197"/>
    </row>
    <row r="1743" spans="1:14">
      <c r="A1743" s="262"/>
      <c r="B1743" s="262"/>
      <c r="C1743" s="197">
        <v>41</v>
      </c>
      <c r="D1743" s="262"/>
      <c r="E1743" s="198">
        <v>0</v>
      </c>
      <c r="F1743" s="197"/>
      <c r="G1743" s="199" t="s">
        <v>1580</v>
      </c>
      <c r="H1743" s="200"/>
      <c r="I1743" s="200"/>
      <c r="J1743" s="200"/>
      <c r="K1743" s="199"/>
      <c r="L1743" s="200"/>
      <c r="M1743" s="200"/>
      <c r="N1743" s="197"/>
    </row>
    <row r="1744" spans="1:14">
      <c r="A1744" s="262"/>
      <c r="B1744" s="262"/>
      <c r="C1744" s="197">
        <v>42</v>
      </c>
      <c r="D1744" s="261">
        <v>9</v>
      </c>
      <c r="E1744" s="198">
        <v>377.63019200000002</v>
      </c>
      <c r="F1744" s="197" t="s">
        <v>227</v>
      </c>
      <c r="G1744" s="199" t="s">
        <v>1581</v>
      </c>
      <c r="H1744" s="200">
        <v>0.48499999999999999</v>
      </c>
      <c r="I1744" s="200">
        <v>0.995</v>
      </c>
      <c r="J1744" s="200">
        <v>0.54</v>
      </c>
      <c r="K1744" s="199" t="s">
        <v>671</v>
      </c>
      <c r="L1744" s="200"/>
      <c r="M1744" s="200"/>
      <c r="N1744" s="197"/>
    </row>
    <row r="1745" spans="1:14">
      <c r="A1745" s="262"/>
      <c r="B1745" s="262"/>
      <c r="C1745" s="197">
        <v>43</v>
      </c>
      <c r="D1745" s="262"/>
      <c r="E1745" s="198">
        <v>378.72137500000002</v>
      </c>
      <c r="F1745" s="197"/>
      <c r="G1745" s="199" t="s">
        <v>1582</v>
      </c>
      <c r="H1745" s="200"/>
      <c r="I1745" s="200"/>
      <c r="J1745" s="200"/>
      <c r="K1745" s="199"/>
      <c r="L1745" s="200"/>
      <c r="M1745" s="200"/>
      <c r="N1745" s="197"/>
    </row>
    <row r="1746" spans="1:14">
      <c r="A1746" s="262"/>
      <c r="B1746" s="262"/>
      <c r="C1746" s="197">
        <v>44</v>
      </c>
      <c r="D1746" s="261">
        <v>10</v>
      </c>
      <c r="E1746" s="198">
        <v>0</v>
      </c>
      <c r="F1746" s="197" t="s">
        <v>227</v>
      </c>
      <c r="G1746" s="199" t="s">
        <v>809</v>
      </c>
      <c r="H1746" s="200">
        <v>0.495</v>
      </c>
      <c r="I1746" s="200">
        <v>0.99</v>
      </c>
      <c r="J1746" s="200">
        <v>0.52500000000000002</v>
      </c>
      <c r="K1746" s="199" t="s">
        <v>229</v>
      </c>
      <c r="L1746" s="200"/>
      <c r="M1746" s="200"/>
      <c r="N1746" s="197"/>
    </row>
    <row r="1747" spans="1:14">
      <c r="A1747" s="262"/>
      <c r="B1747" s="262"/>
      <c r="C1747" s="197">
        <v>45</v>
      </c>
      <c r="D1747" s="262"/>
      <c r="E1747" s="198">
        <v>301.46484400000003</v>
      </c>
      <c r="F1747" s="197"/>
      <c r="G1747" s="199" t="s">
        <v>1583</v>
      </c>
      <c r="H1747" s="200"/>
      <c r="I1747" s="200"/>
      <c r="J1747" s="200"/>
      <c r="K1747" s="199"/>
      <c r="L1747" s="200"/>
      <c r="M1747" s="200"/>
      <c r="N1747" s="197"/>
    </row>
    <row r="1748" spans="1:14">
      <c r="A1748" s="262"/>
      <c r="B1748" s="262"/>
      <c r="C1748" s="197">
        <v>46</v>
      </c>
      <c r="D1748" s="262"/>
      <c r="E1748" s="198">
        <v>300.92650700000002</v>
      </c>
      <c r="F1748" s="197"/>
      <c r="G1748" s="199" t="s">
        <v>1584</v>
      </c>
      <c r="H1748" s="200"/>
      <c r="I1748" s="200"/>
      <c r="J1748" s="200"/>
      <c r="K1748" s="199"/>
      <c r="L1748" s="200"/>
      <c r="M1748" s="200"/>
      <c r="N1748" s="197"/>
    </row>
    <row r="1749" spans="1:14">
      <c r="A1749" s="262"/>
      <c r="B1749" s="262"/>
      <c r="C1749" s="197">
        <v>47</v>
      </c>
      <c r="D1749" s="261">
        <v>11</v>
      </c>
      <c r="E1749" s="198">
        <v>0</v>
      </c>
      <c r="F1749" s="197" t="s">
        <v>227</v>
      </c>
      <c r="G1749" s="199" t="s">
        <v>910</v>
      </c>
      <c r="H1749" s="200">
        <v>0.51</v>
      </c>
      <c r="I1749" s="200">
        <v>1.0149999999999999</v>
      </c>
      <c r="J1749" s="200">
        <v>0.56499999999999995</v>
      </c>
      <c r="K1749" s="199" t="s">
        <v>417</v>
      </c>
      <c r="L1749" s="200"/>
      <c r="M1749" s="200"/>
      <c r="N1749" s="197"/>
    </row>
    <row r="1750" spans="1:14">
      <c r="A1750" s="262"/>
      <c r="B1750" s="262"/>
      <c r="C1750" s="197">
        <v>48</v>
      </c>
      <c r="D1750" s="262"/>
      <c r="E1750" s="198">
        <v>244.095932</v>
      </c>
      <c r="F1750" s="197" t="s">
        <v>281</v>
      </c>
      <c r="G1750" s="199" t="s">
        <v>1585</v>
      </c>
      <c r="H1750" s="200"/>
      <c r="I1750" s="200"/>
      <c r="J1750" s="200"/>
      <c r="K1750" s="199"/>
      <c r="L1750" s="200"/>
      <c r="M1750" s="200"/>
      <c r="N1750" s="197"/>
    </row>
    <row r="1751" spans="1:14">
      <c r="A1751" s="262"/>
      <c r="B1751" s="262"/>
      <c r="C1751" s="197">
        <v>49</v>
      </c>
      <c r="D1751" s="262"/>
      <c r="E1751" s="198">
        <v>560.73717099999999</v>
      </c>
      <c r="F1751" s="197"/>
      <c r="G1751" s="199" t="s">
        <v>1586</v>
      </c>
      <c r="H1751" s="200"/>
      <c r="I1751" s="200"/>
      <c r="J1751" s="200"/>
      <c r="K1751" s="199"/>
      <c r="L1751" s="200"/>
      <c r="M1751" s="200"/>
      <c r="N1751" s="197"/>
    </row>
    <row r="1752" spans="1:14">
      <c r="A1752" s="262"/>
      <c r="B1752" s="262"/>
      <c r="C1752" s="197">
        <v>50</v>
      </c>
      <c r="D1752" s="262"/>
      <c r="E1752" s="198">
        <v>558.49387100000001</v>
      </c>
      <c r="F1752" s="197"/>
      <c r="G1752" s="199" t="s">
        <v>1587</v>
      </c>
      <c r="H1752" s="200"/>
      <c r="I1752" s="200"/>
      <c r="J1752" s="200"/>
      <c r="K1752" s="199"/>
      <c r="L1752" s="200"/>
      <c r="M1752" s="200"/>
      <c r="N1752" s="197"/>
    </row>
    <row r="1753" spans="1:14">
      <c r="A1753" s="262"/>
      <c r="B1753" s="262"/>
      <c r="C1753" s="197">
        <v>51</v>
      </c>
      <c r="D1753" s="261">
        <v>12</v>
      </c>
      <c r="E1753" s="198">
        <v>0</v>
      </c>
      <c r="F1753" s="197" t="s">
        <v>227</v>
      </c>
      <c r="G1753" s="199" t="s">
        <v>913</v>
      </c>
      <c r="H1753" s="200">
        <v>0.54500000000000004</v>
      </c>
      <c r="I1753" s="200">
        <v>1.0049999999999999</v>
      </c>
      <c r="J1753" s="200">
        <v>0.43</v>
      </c>
      <c r="K1753" s="199" t="s">
        <v>417</v>
      </c>
      <c r="L1753" s="200"/>
      <c r="M1753" s="200"/>
      <c r="N1753" s="197"/>
    </row>
    <row r="1754" spans="1:14">
      <c r="A1754" s="262"/>
      <c r="B1754" s="262"/>
      <c r="C1754" s="197">
        <v>52</v>
      </c>
      <c r="D1754" s="262"/>
      <c r="E1754" s="198">
        <v>0</v>
      </c>
      <c r="F1754" s="197" t="s">
        <v>227</v>
      </c>
      <c r="G1754" s="199" t="s">
        <v>758</v>
      </c>
      <c r="H1754" s="200"/>
      <c r="I1754" s="200"/>
      <c r="J1754" s="200"/>
      <c r="K1754" s="199"/>
      <c r="L1754" s="200"/>
      <c r="M1754" s="200"/>
      <c r="N1754" s="197"/>
    </row>
    <row r="1755" spans="1:14">
      <c r="A1755" s="262"/>
      <c r="B1755" s="262"/>
      <c r="C1755" s="197">
        <v>53</v>
      </c>
      <c r="D1755" s="262"/>
      <c r="E1755" s="198">
        <v>0</v>
      </c>
      <c r="F1755" s="197" t="s">
        <v>227</v>
      </c>
      <c r="G1755" s="199" t="s">
        <v>654</v>
      </c>
      <c r="H1755" s="200"/>
      <c r="I1755" s="200"/>
      <c r="J1755" s="200"/>
      <c r="K1755" s="199"/>
      <c r="L1755" s="200"/>
      <c r="M1755" s="200"/>
      <c r="N1755" s="197"/>
    </row>
    <row r="1756" spans="1:14">
      <c r="A1756" s="262"/>
      <c r="B1756" s="262"/>
      <c r="C1756" s="197">
        <v>54</v>
      </c>
      <c r="D1756" s="262"/>
      <c r="E1756" s="198">
        <v>0</v>
      </c>
      <c r="F1756" s="197" t="s">
        <v>227</v>
      </c>
      <c r="G1756" s="199" t="s">
        <v>655</v>
      </c>
      <c r="H1756" s="200"/>
      <c r="I1756" s="200"/>
      <c r="J1756" s="200"/>
      <c r="K1756" s="199"/>
      <c r="L1756" s="200"/>
      <c r="M1756" s="200"/>
      <c r="N1756" s="197"/>
    </row>
    <row r="1757" spans="1:14">
      <c r="A1757" s="262"/>
      <c r="B1757" s="262"/>
      <c r="C1757" s="197">
        <v>55</v>
      </c>
      <c r="D1757" s="262"/>
      <c r="E1757" s="198">
        <v>0</v>
      </c>
      <c r="F1757" s="197" t="s">
        <v>227</v>
      </c>
      <c r="G1757" s="199" t="s">
        <v>287</v>
      </c>
      <c r="H1757" s="200"/>
      <c r="I1757" s="200"/>
      <c r="J1757" s="200"/>
      <c r="K1757" s="199"/>
      <c r="L1757" s="200"/>
      <c r="M1757" s="200"/>
      <c r="N1757" s="197"/>
    </row>
    <row r="1758" spans="1:14">
      <c r="A1758" s="262"/>
      <c r="B1758" s="262"/>
      <c r="C1758" s="197">
        <v>56</v>
      </c>
      <c r="D1758" s="262"/>
      <c r="E1758" s="198">
        <v>364.79222700000003</v>
      </c>
      <c r="F1758" s="197"/>
      <c r="G1758" s="199" t="s">
        <v>1588</v>
      </c>
      <c r="H1758" s="200"/>
      <c r="I1758" s="200"/>
      <c r="J1758" s="200"/>
      <c r="K1758" s="199"/>
      <c r="L1758" s="200"/>
      <c r="M1758" s="200"/>
      <c r="N1758" s="197"/>
    </row>
    <row r="1759" spans="1:14">
      <c r="A1759" s="262"/>
      <c r="B1759" s="262"/>
      <c r="C1759" s="197">
        <v>57</v>
      </c>
      <c r="D1759" s="262"/>
      <c r="E1759" s="198">
        <v>0</v>
      </c>
      <c r="F1759" s="197" t="s">
        <v>227</v>
      </c>
      <c r="G1759" s="199" t="s">
        <v>289</v>
      </c>
      <c r="H1759" s="200"/>
      <c r="I1759" s="200"/>
      <c r="J1759" s="200"/>
      <c r="K1759" s="199"/>
      <c r="L1759" s="200"/>
      <c r="M1759" s="200"/>
      <c r="N1759" s="197"/>
    </row>
    <row r="1760" spans="1:14">
      <c r="A1760" s="262"/>
      <c r="B1760" s="262"/>
      <c r="C1760" s="197">
        <v>58</v>
      </c>
      <c r="D1760" s="261">
        <v>13</v>
      </c>
      <c r="E1760" s="198">
        <v>0</v>
      </c>
      <c r="F1760" s="197" t="s">
        <v>227</v>
      </c>
      <c r="G1760" s="199" t="s">
        <v>822</v>
      </c>
      <c r="H1760" s="200">
        <v>0.495</v>
      </c>
      <c r="I1760" s="200">
        <v>0.99</v>
      </c>
      <c r="J1760" s="200">
        <v>0.54500000000000004</v>
      </c>
      <c r="K1760" s="199" t="s">
        <v>671</v>
      </c>
      <c r="L1760" s="200"/>
      <c r="M1760" s="200"/>
      <c r="N1760" s="197"/>
    </row>
    <row r="1761" spans="1:14">
      <c r="A1761" s="262"/>
      <c r="B1761" s="262"/>
      <c r="C1761" s="197">
        <v>59</v>
      </c>
      <c r="D1761" s="262"/>
      <c r="E1761" s="198">
        <v>0</v>
      </c>
      <c r="F1761" s="197" t="s">
        <v>227</v>
      </c>
      <c r="G1761" s="199" t="s">
        <v>823</v>
      </c>
      <c r="H1761" s="200"/>
      <c r="I1761" s="200"/>
      <c r="J1761" s="200"/>
      <c r="K1761" s="199"/>
      <c r="L1761" s="200"/>
      <c r="M1761" s="200"/>
      <c r="N1761" s="197"/>
    </row>
    <row r="1762" spans="1:14">
      <c r="A1762" s="262"/>
      <c r="B1762" s="262"/>
      <c r="C1762" s="197">
        <v>60</v>
      </c>
      <c r="D1762" s="262"/>
      <c r="E1762" s="198">
        <v>0</v>
      </c>
      <c r="F1762" s="197" t="s">
        <v>227</v>
      </c>
      <c r="G1762" s="199" t="s">
        <v>824</v>
      </c>
      <c r="H1762" s="200"/>
      <c r="I1762" s="200"/>
      <c r="J1762" s="200"/>
      <c r="K1762" s="199"/>
      <c r="L1762" s="200"/>
      <c r="M1762" s="200"/>
      <c r="N1762" s="197"/>
    </row>
    <row r="1763" spans="1:14">
      <c r="A1763" s="262"/>
      <c r="B1763" s="262"/>
      <c r="C1763" s="197">
        <v>61</v>
      </c>
      <c r="D1763" s="262"/>
      <c r="E1763" s="198">
        <v>428.37197400000002</v>
      </c>
      <c r="F1763" s="197"/>
      <c r="G1763" s="199" t="s">
        <v>1589</v>
      </c>
      <c r="H1763" s="200"/>
      <c r="I1763" s="200"/>
      <c r="J1763" s="200"/>
      <c r="K1763" s="199"/>
      <c r="L1763" s="200"/>
      <c r="M1763" s="200"/>
      <c r="N1763" s="197"/>
    </row>
    <row r="1764" spans="1:14">
      <c r="A1764" s="262"/>
      <c r="B1764" s="262"/>
      <c r="C1764" s="197">
        <v>62</v>
      </c>
      <c r="D1764" s="262"/>
      <c r="E1764" s="198">
        <v>0</v>
      </c>
      <c r="F1764" s="197" t="s">
        <v>227</v>
      </c>
      <c r="G1764" s="199" t="s">
        <v>294</v>
      </c>
      <c r="H1764" s="200"/>
      <c r="I1764" s="200"/>
      <c r="J1764" s="200"/>
      <c r="K1764" s="199"/>
      <c r="L1764" s="200"/>
      <c r="M1764" s="200"/>
      <c r="N1764" s="197"/>
    </row>
    <row r="1765" spans="1:14">
      <c r="A1765" s="262"/>
      <c r="B1765" s="262"/>
      <c r="C1765" s="197">
        <v>63</v>
      </c>
      <c r="D1765" s="261">
        <v>14</v>
      </c>
      <c r="E1765" s="198">
        <v>0</v>
      </c>
      <c r="F1765" s="197" t="s">
        <v>227</v>
      </c>
      <c r="G1765" s="199" t="s">
        <v>660</v>
      </c>
      <c r="H1765" s="200">
        <v>0.51500000000000001</v>
      </c>
      <c r="I1765" s="200">
        <v>0.98499999999999999</v>
      </c>
      <c r="J1765" s="200">
        <v>0.51</v>
      </c>
      <c r="K1765" s="199" t="s">
        <v>671</v>
      </c>
      <c r="L1765" s="200"/>
      <c r="M1765" s="200"/>
      <c r="N1765" s="197"/>
    </row>
    <row r="1766" spans="1:14">
      <c r="A1766" s="262"/>
      <c r="B1766" s="262"/>
      <c r="C1766" s="197">
        <v>64</v>
      </c>
      <c r="D1766" s="262"/>
      <c r="E1766" s="198">
        <v>0</v>
      </c>
      <c r="F1766" s="197" t="s">
        <v>227</v>
      </c>
      <c r="G1766" s="199" t="s">
        <v>769</v>
      </c>
      <c r="H1766" s="200"/>
      <c r="I1766" s="200"/>
      <c r="J1766" s="200"/>
      <c r="K1766" s="199"/>
      <c r="L1766" s="200"/>
      <c r="M1766" s="200"/>
      <c r="N1766" s="197"/>
    </row>
    <row r="1767" spans="1:14">
      <c r="A1767" s="262"/>
      <c r="B1767" s="262"/>
      <c r="C1767" s="197">
        <v>65</v>
      </c>
      <c r="D1767" s="262"/>
      <c r="E1767" s="198">
        <v>0</v>
      </c>
      <c r="F1767" s="197" t="s">
        <v>227</v>
      </c>
      <c r="G1767" s="199" t="s">
        <v>1555</v>
      </c>
      <c r="H1767" s="200"/>
      <c r="I1767" s="200"/>
      <c r="J1767" s="200"/>
      <c r="K1767" s="199"/>
      <c r="L1767" s="200"/>
      <c r="M1767" s="200"/>
      <c r="N1767" s="197"/>
    </row>
    <row r="1768" spans="1:14">
      <c r="A1768" s="262"/>
      <c r="B1768" s="262"/>
      <c r="C1768" s="197">
        <v>66</v>
      </c>
      <c r="D1768" s="261">
        <v>15</v>
      </c>
      <c r="E1768" s="198">
        <v>0</v>
      </c>
      <c r="F1768" s="197" t="s">
        <v>227</v>
      </c>
      <c r="G1768" s="199" t="s">
        <v>830</v>
      </c>
      <c r="H1768" s="200">
        <v>0.45</v>
      </c>
      <c r="I1768" s="200">
        <v>0.98</v>
      </c>
      <c r="J1768" s="200">
        <v>0.53</v>
      </c>
      <c r="K1768" s="199" t="s">
        <v>229</v>
      </c>
      <c r="L1768" s="200"/>
      <c r="M1768" s="200"/>
      <c r="N1768" s="197"/>
    </row>
    <row r="1769" spans="1:14">
      <c r="A1769" s="262"/>
      <c r="B1769" s="262"/>
      <c r="C1769" s="197">
        <v>67</v>
      </c>
      <c r="D1769" s="262"/>
      <c r="E1769" s="198">
        <v>0</v>
      </c>
      <c r="F1769" s="197" t="s">
        <v>227</v>
      </c>
      <c r="G1769" s="199" t="s">
        <v>771</v>
      </c>
      <c r="H1769" s="200"/>
      <c r="I1769" s="200"/>
      <c r="J1769" s="200"/>
      <c r="K1769" s="199"/>
      <c r="L1769" s="200"/>
      <c r="M1769" s="200"/>
      <c r="N1769" s="197"/>
    </row>
    <row r="1770" spans="1:14">
      <c r="A1770" s="262"/>
      <c r="B1770" s="262"/>
      <c r="C1770" s="197">
        <v>68</v>
      </c>
      <c r="D1770" s="262"/>
      <c r="E1770" s="198">
        <v>0</v>
      </c>
      <c r="F1770" s="197" t="s">
        <v>227</v>
      </c>
      <c r="G1770" s="199" t="s">
        <v>772</v>
      </c>
      <c r="H1770" s="200"/>
      <c r="I1770" s="200"/>
      <c r="J1770" s="200"/>
      <c r="K1770" s="199"/>
      <c r="L1770" s="200"/>
      <c r="M1770" s="200"/>
      <c r="N1770" s="197"/>
    </row>
    <row r="1771" spans="1:14">
      <c r="A1771" s="262"/>
      <c r="B1771" s="262"/>
      <c r="C1771" s="197">
        <v>69</v>
      </c>
      <c r="D1771" s="262"/>
      <c r="E1771" s="198">
        <v>0</v>
      </c>
      <c r="F1771" s="197" t="s">
        <v>227</v>
      </c>
      <c r="G1771" s="199" t="s">
        <v>773</v>
      </c>
      <c r="H1771" s="200"/>
      <c r="I1771" s="200"/>
      <c r="J1771" s="200"/>
      <c r="K1771" s="199"/>
      <c r="L1771" s="200"/>
      <c r="M1771" s="200"/>
      <c r="N1771" s="197"/>
    </row>
    <row r="1772" spans="1:14">
      <c r="A1772" s="262"/>
      <c r="B1772" s="262"/>
      <c r="C1772" s="197">
        <v>70</v>
      </c>
      <c r="D1772" s="261">
        <v>16</v>
      </c>
      <c r="E1772" s="198">
        <v>295.714294</v>
      </c>
      <c r="F1772" s="197"/>
      <c r="G1772" s="199" t="s">
        <v>1590</v>
      </c>
      <c r="H1772" s="200">
        <v>0.48</v>
      </c>
      <c r="I1772" s="200">
        <v>0.995</v>
      </c>
      <c r="J1772" s="200">
        <v>0.53500000000000003</v>
      </c>
      <c r="K1772" s="199" t="s">
        <v>229</v>
      </c>
      <c r="L1772" s="200"/>
      <c r="M1772" s="200"/>
      <c r="N1772" s="197"/>
    </row>
    <row r="1773" spans="1:14">
      <c r="A1773" s="262"/>
      <c r="B1773" s="262"/>
      <c r="C1773" s="197">
        <v>71</v>
      </c>
      <c r="D1773" s="262"/>
      <c r="E1773" s="198">
        <v>292.17955999999998</v>
      </c>
      <c r="F1773" s="197"/>
      <c r="G1773" s="199" t="s">
        <v>1591</v>
      </c>
      <c r="H1773" s="200"/>
      <c r="I1773" s="200"/>
      <c r="J1773" s="200"/>
      <c r="K1773" s="199"/>
      <c r="L1773" s="200"/>
      <c r="M1773" s="200"/>
      <c r="N1773" s="197"/>
    </row>
    <row r="1774" spans="1:14">
      <c r="A1774" s="262"/>
      <c r="B1774" s="262"/>
      <c r="C1774" s="197">
        <v>72</v>
      </c>
      <c r="D1774" s="262"/>
      <c r="E1774" s="198">
        <v>0</v>
      </c>
      <c r="F1774" s="197" t="s">
        <v>227</v>
      </c>
      <c r="G1774" s="199" t="s">
        <v>669</v>
      </c>
      <c r="H1774" s="200"/>
      <c r="I1774" s="200"/>
      <c r="J1774" s="200"/>
      <c r="K1774" s="199"/>
      <c r="L1774" s="200"/>
      <c r="M1774" s="200"/>
      <c r="N1774" s="197"/>
    </row>
    <row r="1775" spans="1:14">
      <c r="A1775" s="262"/>
      <c r="B1775" s="262"/>
      <c r="C1775" s="197">
        <v>73</v>
      </c>
      <c r="D1775" s="262"/>
      <c r="E1775" s="198">
        <v>0</v>
      </c>
      <c r="F1775" s="197" t="s">
        <v>227</v>
      </c>
      <c r="G1775" s="199" t="s">
        <v>305</v>
      </c>
      <c r="H1775" s="200"/>
      <c r="I1775" s="200"/>
      <c r="J1775" s="200"/>
      <c r="K1775" s="199"/>
      <c r="L1775" s="200"/>
      <c r="M1775" s="200"/>
      <c r="N1775" s="197"/>
    </row>
    <row r="1776" spans="1:14">
      <c r="A1776" s="262"/>
      <c r="B1776" s="262"/>
      <c r="C1776" s="197">
        <v>74</v>
      </c>
      <c r="D1776" s="262"/>
      <c r="E1776" s="198">
        <v>0</v>
      </c>
      <c r="F1776" s="197" t="s">
        <v>227</v>
      </c>
      <c r="G1776" s="199" t="s">
        <v>306</v>
      </c>
      <c r="H1776" s="200"/>
      <c r="I1776" s="200"/>
      <c r="J1776" s="200"/>
      <c r="K1776" s="199"/>
      <c r="L1776" s="200"/>
      <c r="M1776" s="200"/>
      <c r="N1776" s="197"/>
    </row>
    <row r="1777" spans="1:14">
      <c r="A1777" s="262"/>
      <c r="B1777" s="262"/>
      <c r="C1777" s="197">
        <v>75</v>
      </c>
      <c r="D1777" s="262"/>
      <c r="E1777" s="198">
        <v>0</v>
      </c>
      <c r="F1777" s="197" t="s">
        <v>227</v>
      </c>
      <c r="G1777" s="199" t="s">
        <v>307</v>
      </c>
      <c r="H1777" s="200"/>
      <c r="I1777" s="200"/>
      <c r="J1777" s="200"/>
      <c r="K1777" s="199"/>
      <c r="L1777" s="200"/>
      <c r="M1777" s="200"/>
      <c r="N1777" s="197"/>
    </row>
    <row r="1778" spans="1:14">
      <c r="A1778" s="262"/>
      <c r="B1778" s="262"/>
      <c r="C1778" s="197">
        <v>76</v>
      </c>
      <c r="D1778" s="262"/>
      <c r="E1778" s="198">
        <v>0</v>
      </c>
      <c r="F1778" s="197" t="s">
        <v>227</v>
      </c>
      <c r="G1778" s="199" t="s">
        <v>308</v>
      </c>
      <c r="H1778" s="200"/>
      <c r="I1778" s="200"/>
      <c r="J1778" s="200"/>
      <c r="K1778" s="199"/>
      <c r="L1778" s="200"/>
      <c r="M1778" s="200"/>
      <c r="N1778" s="197"/>
    </row>
    <row r="1779" spans="1:14">
      <c r="A1779" s="262"/>
      <c r="B1779" s="262"/>
      <c r="C1779" s="197">
        <v>77</v>
      </c>
      <c r="D1779" s="262"/>
      <c r="E1779" s="198">
        <v>0</v>
      </c>
      <c r="F1779" s="197" t="s">
        <v>227</v>
      </c>
      <c r="G1779" s="199" t="s">
        <v>309</v>
      </c>
      <c r="H1779" s="200"/>
      <c r="I1779" s="200"/>
      <c r="J1779" s="200"/>
      <c r="K1779" s="199"/>
      <c r="L1779" s="200"/>
      <c r="M1779" s="200"/>
      <c r="N1779" s="197"/>
    </row>
    <row r="1780" spans="1:14">
      <c r="A1780" s="262"/>
      <c r="B1780" s="262"/>
      <c r="C1780" s="197">
        <v>78</v>
      </c>
      <c r="D1780" s="262"/>
      <c r="E1780" s="198">
        <v>0</v>
      </c>
      <c r="F1780" s="197" t="s">
        <v>227</v>
      </c>
      <c r="G1780" s="199" t="s">
        <v>310</v>
      </c>
      <c r="H1780" s="200"/>
      <c r="I1780" s="200"/>
      <c r="J1780" s="200"/>
      <c r="K1780" s="199"/>
      <c r="L1780" s="200"/>
      <c r="M1780" s="200"/>
      <c r="N1780" s="197"/>
    </row>
    <row r="1781" spans="1:14">
      <c r="A1781" s="261" t="s">
        <v>1592</v>
      </c>
      <c r="B1781" s="261">
        <v>4</v>
      </c>
      <c r="C1781" s="197">
        <v>1</v>
      </c>
      <c r="D1781" s="261">
        <v>1</v>
      </c>
      <c r="E1781" s="198">
        <v>0</v>
      </c>
      <c r="F1781" s="197" t="s">
        <v>227</v>
      </c>
      <c r="G1781" s="199" t="s">
        <v>228</v>
      </c>
      <c r="H1781" s="200">
        <v>0.5</v>
      </c>
      <c r="I1781" s="200">
        <v>0.99</v>
      </c>
      <c r="J1781" s="200">
        <v>0.51500000000000001</v>
      </c>
      <c r="K1781" s="199" t="s">
        <v>229</v>
      </c>
      <c r="L1781" s="200">
        <v>1.9324531042175401E-2</v>
      </c>
      <c r="M1781" s="200"/>
      <c r="N1781" s="197"/>
    </row>
    <row r="1782" spans="1:14">
      <c r="A1782" s="262"/>
      <c r="B1782" s="262"/>
      <c r="C1782" s="197">
        <v>2</v>
      </c>
      <c r="D1782" s="262"/>
      <c r="E1782" s="198">
        <v>0</v>
      </c>
      <c r="F1782" s="197" t="s">
        <v>227</v>
      </c>
      <c r="G1782" s="199" t="s">
        <v>230</v>
      </c>
      <c r="H1782" s="200"/>
      <c r="I1782" s="200"/>
      <c r="J1782" s="200"/>
      <c r="K1782" s="199"/>
      <c r="L1782" s="200">
        <v>3.7728470681966428E-2</v>
      </c>
      <c r="M1782" s="200"/>
      <c r="N1782" s="197"/>
    </row>
    <row r="1783" spans="1:14">
      <c r="A1783" s="262"/>
      <c r="B1783" s="262"/>
      <c r="C1783" s="197">
        <v>3</v>
      </c>
      <c r="D1783" s="262"/>
      <c r="E1783" s="198">
        <v>0</v>
      </c>
      <c r="F1783" s="197" t="s">
        <v>227</v>
      </c>
      <c r="G1783" s="199" t="s">
        <v>324</v>
      </c>
      <c r="H1783" s="200"/>
      <c r="I1783" s="200"/>
      <c r="J1783" s="200"/>
      <c r="K1783" s="199"/>
      <c r="L1783" s="200">
        <v>2.3181940034216298E-2</v>
      </c>
      <c r="M1783" s="200"/>
      <c r="N1783" s="197"/>
    </row>
    <row r="1784" spans="1:14">
      <c r="A1784" s="262"/>
      <c r="B1784" s="262"/>
      <c r="C1784" s="197">
        <v>4</v>
      </c>
      <c r="D1784" s="262"/>
      <c r="E1784" s="198">
        <v>0</v>
      </c>
      <c r="F1784" s="197" t="s">
        <v>227</v>
      </c>
      <c r="G1784" s="199" t="s">
        <v>325</v>
      </c>
      <c r="H1784" s="200"/>
      <c r="I1784" s="200"/>
      <c r="J1784" s="200"/>
      <c r="K1784" s="199"/>
      <c r="L1784" s="200"/>
      <c r="M1784" s="200" t="s">
        <v>233</v>
      </c>
      <c r="N1784" s="197" t="s">
        <v>1593</v>
      </c>
    </row>
    <row r="1785" spans="1:14">
      <c r="A1785" s="262"/>
      <c r="B1785" s="262"/>
      <c r="C1785" s="197">
        <v>5</v>
      </c>
      <c r="D1785" s="262"/>
      <c r="E1785" s="198">
        <v>0</v>
      </c>
      <c r="F1785" s="197" t="s">
        <v>227</v>
      </c>
      <c r="G1785" s="199" t="s">
        <v>327</v>
      </c>
      <c r="H1785" s="200"/>
      <c r="I1785" s="200"/>
      <c r="J1785" s="200"/>
      <c r="K1785" s="199"/>
      <c r="L1785" s="200"/>
      <c r="M1785" s="200"/>
      <c r="N1785" s="197"/>
    </row>
    <row r="1786" spans="1:14">
      <c r="A1786" s="262"/>
      <c r="B1786" s="262"/>
      <c r="C1786" s="197">
        <v>6</v>
      </c>
      <c r="D1786" s="262"/>
      <c r="E1786" s="198">
        <v>414.26727499999998</v>
      </c>
      <c r="F1786" s="197"/>
      <c r="G1786" s="199" t="s">
        <v>1594</v>
      </c>
      <c r="H1786" s="200"/>
      <c r="I1786" s="200"/>
      <c r="J1786" s="200"/>
      <c r="K1786" s="199"/>
      <c r="L1786" s="200"/>
      <c r="M1786" s="200"/>
      <c r="N1786" s="197"/>
    </row>
    <row r="1787" spans="1:14">
      <c r="A1787" s="262"/>
      <c r="B1787" s="262"/>
      <c r="C1787" s="197">
        <v>7</v>
      </c>
      <c r="D1787" s="262"/>
      <c r="E1787" s="198">
        <v>417.33325500000001</v>
      </c>
      <c r="F1787" s="197"/>
      <c r="G1787" s="199" t="s">
        <v>1595</v>
      </c>
      <c r="H1787" s="200"/>
      <c r="I1787" s="200"/>
      <c r="J1787" s="200"/>
      <c r="K1787" s="199"/>
      <c r="L1787" s="200"/>
      <c r="M1787" s="200"/>
      <c r="N1787" s="197"/>
    </row>
    <row r="1788" spans="1:14">
      <c r="A1788" s="262"/>
      <c r="B1788" s="262"/>
      <c r="C1788" s="197">
        <v>8</v>
      </c>
      <c r="D1788" s="262"/>
      <c r="E1788" s="198">
        <v>407.775102</v>
      </c>
      <c r="F1788" s="197"/>
      <c r="G1788" s="199" t="s">
        <v>1596</v>
      </c>
      <c r="H1788" s="200"/>
      <c r="I1788" s="200"/>
      <c r="J1788" s="200"/>
      <c r="K1788" s="199"/>
      <c r="L1788" s="200"/>
      <c r="M1788" s="200"/>
      <c r="N1788" s="197"/>
    </row>
    <row r="1789" spans="1:14">
      <c r="A1789" s="262"/>
      <c r="B1789" s="262"/>
      <c r="C1789" s="197">
        <v>9</v>
      </c>
      <c r="D1789" s="261">
        <v>2</v>
      </c>
      <c r="E1789" s="198">
        <v>521.21279000000004</v>
      </c>
      <c r="F1789" s="197" t="s">
        <v>227</v>
      </c>
      <c r="G1789" s="199" t="s">
        <v>1597</v>
      </c>
      <c r="H1789" s="200">
        <v>0.52500000000000002</v>
      </c>
      <c r="I1789" s="200">
        <v>0.94499999999999995</v>
      </c>
      <c r="J1789" s="200">
        <v>0.54</v>
      </c>
      <c r="K1789" s="199" t="s">
        <v>229</v>
      </c>
      <c r="L1789" s="200"/>
      <c r="M1789" s="200"/>
      <c r="N1789" s="197"/>
    </row>
    <row r="1790" spans="1:14">
      <c r="A1790" s="262"/>
      <c r="B1790" s="262"/>
      <c r="C1790" s="197">
        <v>10</v>
      </c>
      <c r="D1790" s="262"/>
      <c r="E1790" s="198">
        <v>574.85360900000001</v>
      </c>
      <c r="F1790" s="197"/>
      <c r="G1790" s="199" t="s">
        <v>1598</v>
      </c>
      <c r="H1790" s="200"/>
      <c r="I1790" s="200"/>
      <c r="J1790" s="200"/>
      <c r="K1790" s="199"/>
      <c r="L1790" s="200"/>
      <c r="M1790" s="200"/>
      <c r="N1790" s="197"/>
    </row>
    <row r="1791" spans="1:14">
      <c r="A1791" s="262"/>
      <c r="B1791" s="262"/>
      <c r="C1791" s="197">
        <v>11</v>
      </c>
      <c r="D1791" s="262"/>
      <c r="E1791" s="198">
        <v>561.65488800000003</v>
      </c>
      <c r="F1791" s="197"/>
      <c r="G1791" s="199" t="s">
        <v>1599</v>
      </c>
      <c r="H1791" s="200"/>
      <c r="I1791" s="200"/>
      <c r="J1791" s="200"/>
      <c r="K1791" s="199"/>
      <c r="L1791" s="200"/>
      <c r="M1791" s="200"/>
      <c r="N1791" s="197"/>
    </row>
    <row r="1792" spans="1:14">
      <c r="A1792" s="262"/>
      <c r="B1792" s="262"/>
      <c r="C1792" s="197">
        <v>12</v>
      </c>
      <c r="D1792" s="261">
        <v>3</v>
      </c>
      <c r="E1792" s="198">
        <v>758.47668499999997</v>
      </c>
      <c r="F1792" s="197" t="s">
        <v>281</v>
      </c>
      <c r="G1792" s="199" t="s">
        <v>1600</v>
      </c>
      <c r="H1792" s="200">
        <v>0.54</v>
      </c>
      <c r="I1792" s="200">
        <v>0.99</v>
      </c>
      <c r="J1792" s="200">
        <v>0.53500000000000003</v>
      </c>
      <c r="K1792" s="199" t="s">
        <v>229</v>
      </c>
      <c r="L1792" s="200"/>
      <c r="M1792" s="200"/>
      <c r="N1792" s="197"/>
    </row>
    <row r="1793" spans="1:14">
      <c r="A1793" s="262"/>
      <c r="B1793" s="262"/>
      <c r="C1793" s="197">
        <v>13</v>
      </c>
      <c r="D1793" s="262"/>
      <c r="E1793" s="198">
        <v>426.45521400000001</v>
      </c>
      <c r="F1793" s="197"/>
      <c r="G1793" s="199" t="s">
        <v>1601</v>
      </c>
      <c r="H1793" s="200"/>
      <c r="I1793" s="200"/>
      <c r="J1793" s="200"/>
      <c r="K1793" s="199"/>
      <c r="L1793" s="200"/>
      <c r="M1793" s="200"/>
      <c r="N1793" s="197"/>
    </row>
    <row r="1794" spans="1:14">
      <c r="A1794" s="262"/>
      <c r="B1794" s="262"/>
      <c r="C1794" s="197">
        <v>14</v>
      </c>
      <c r="D1794" s="262"/>
      <c r="E1794" s="198">
        <v>425.545816</v>
      </c>
      <c r="F1794" s="197"/>
      <c r="G1794" s="199" t="s">
        <v>1602</v>
      </c>
      <c r="H1794" s="200"/>
      <c r="I1794" s="200"/>
      <c r="J1794" s="200"/>
      <c r="K1794" s="199"/>
      <c r="L1794" s="200"/>
      <c r="M1794" s="200"/>
      <c r="N1794" s="197"/>
    </row>
    <row r="1795" spans="1:14">
      <c r="A1795" s="262"/>
      <c r="B1795" s="262"/>
      <c r="C1795" s="197">
        <v>15</v>
      </c>
      <c r="D1795" s="261">
        <v>4</v>
      </c>
      <c r="E1795" s="198">
        <v>424.28613999999999</v>
      </c>
      <c r="F1795" s="197" t="s">
        <v>227</v>
      </c>
      <c r="G1795" s="199" t="s">
        <v>1603</v>
      </c>
      <c r="H1795" s="200">
        <v>0.505</v>
      </c>
      <c r="I1795" s="200">
        <v>0.96499999999999997</v>
      </c>
      <c r="J1795" s="200">
        <v>0.505</v>
      </c>
      <c r="K1795" s="199" t="s">
        <v>229</v>
      </c>
      <c r="L1795" s="200"/>
      <c r="M1795" s="200"/>
      <c r="N1795" s="197"/>
    </row>
    <row r="1796" spans="1:14">
      <c r="A1796" s="262"/>
      <c r="B1796" s="262"/>
      <c r="C1796" s="197">
        <v>16</v>
      </c>
      <c r="D1796" s="262"/>
      <c r="E1796" s="198">
        <v>206.503647</v>
      </c>
      <c r="F1796" s="197" t="s">
        <v>281</v>
      </c>
      <c r="G1796" s="199" t="s">
        <v>1604</v>
      </c>
      <c r="H1796" s="200"/>
      <c r="I1796" s="200"/>
      <c r="J1796" s="200"/>
      <c r="K1796" s="199"/>
      <c r="L1796" s="200"/>
      <c r="M1796" s="200"/>
      <c r="N1796" s="197"/>
    </row>
    <row r="1797" spans="1:14">
      <c r="A1797" s="262"/>
      <c r="B1797" s="262"/>
      <c r="C1797" s="197">
        <v>17</v>
      </c>
      <c r="D1797" s="262"/>
      <c r="E1797" s="198">
        <v>410.66884700000003</v>
      </c>
      <c r="F1797" s="197"/>
      <c r="G1797" s="199" t="s">
        <v>1605</v>
      </c>
      <c r="H1797" s="200"/>
      <c r="I1797" s="200"/>
      <c r="J1797" s="200"/>
      <c r="K1797" s="199"/>
      <c r="L1797" s="200"/>
      <c r="M1797" s="200"/>
      <c r="N1797" s="197"/>
    </row>
    <row r="1798" spans="1:14">
      <c r="A1798" s="262"/>
      <c r="B1798" s="262"/>
      <c r="C1798" s="197">
        <v>18</v>
      </c>
      <c r="D1798" s="262"/>
      <c r="E1798" s="198">
        <v>415.45314500000001</v>
      </c>
      <c r="F1798" s="197"/>
      <c r="G1798" s="199" t="s">
        <v>1606</v>
      </c>
      <c r="H1798" s="200"/>
      <c r="I1798" s="200"/>
      <c r="J1798" s="200"/>
      <c r="K1798" s="199"/>
      <c r="L1798" s="200"/>
      <c r="M1798" s="200"/>
      <c r="N1798" s="197"/>
    </row>
    <row r="1799" spans="1:14">
      <c r="A1799" s="262"/>
      <c r="B1799" s="262"/>
      <c r="C1799" s="197">
        <v>19</v>
      </c>
      <c r="D1799" s="262"/>
      <c r="E1799" s="198">
        <v>417.19226900000001</v>
      </c>
      <c r="F1799" s="197"/>
      <c r="G1799" s="199" t="s">
        <v>1607</v>
      </c>
      <c r="H1799" s="200"/>
      <c r="I1799" s="200"/>
      <c r="J1799" s="200"/>
      <c r="K1799" s="199"/>
      <c r="L1799" s="200"/>
      <c r="M1799" s="200"/>
      <c r="N1799" s="197"/>
    </row>
    <row r="1800" spans="1:14">
      <c r="A1800" s="262"/>
      <c r="B1800" s="262"/>
      <c r="C1800" s="197">
        <v>20</v>
      </c>
      <c r="D1800" s="262"/>
      <c r="E1800" s="198">
        <v>414.89554900000002</v>
      </c>
      <c r="F1800" s="197"/>
      <c r="G1800" s="199" t="s">
        <v>1608</v>
      </c>
      <c r="H1800" s="200"/>
      <c r="I1800" s="200"/>
      <c r="J1800" s="200"/>
      <c r="K1800" s="199"/>
      <c r="L1800" s="200"/>
      <c r="M1800" s="200"/>
      <c r="N1800" s="197"/>
    </row>
    <row r="1801" spans="1:14">
      <c r="A1801" s="262"/>
      <c r="B1801" s="262"/>
      <c r="C1801" s="197">
        <v>21</v>
      </c>
      <c r="D1801" s="262"/>
      <c r="E1801" s="198">
        <v>385.99563599999999</v>
      </c>
      <c r="F1801" s="197" t="s">
        <v>281</v>
      </c>
      <c r="G1801" s="199" t="s">
        <v>1609</v>
      </c>
      <c r="H1801" s="200"/>
      <c r="I1801" s="200"/>
      <c r="J1801" s="200"/>
      <c r="K1801" s="199"/>
      <c r="L1801" s="200"/>
      <c r="M1801" s="200"/>
      <c r="N1801" s="197"/>
    </row>
    <row r="1802" spans="1:14">
      <c r="A1802" s="262"/>
      <c r="B1802" s="262"/>
      <c r="C1802" s="197">
        <v>22</v>
      </c>
      <c r="D1802" s="262"/>
      <c r="E1802" s="198">
        <v>414.379189</v>
      </c>
      <c r="F1802" s="197"/>
      <c r="G1802" s="199" t="s">
        <v>1610</v>
      </c>
      <c r="H1802" s="200"/>
      <c r="I1802" s="200"/>
      <c r="J1802" s="200"/>
      <c r="K1802" s="199"/>
      <c r="L1802" s="200"/>
      <c r="M1802" s="200"/>
      <c r="N1802" s="197"/>
    </row>
    <row r="1803" spans="1:14">
      <c r="A1803" s="262"/>
      <c r="B1803" s="262"/>
      <c r="C1803" s="197">
        <v>23</v>
      </c>
      <c r="D1803" s="262"/>
      <c r="E1803" s="198">
        <v>416.03775000000002</v>
      </c>
      <c r="F1803" s="197"/>
      <c r="G1803" s="199" t="s">
        <v>1611</v>
      </c>
      <c r="H1803" s="200"/>
      <c r="I1803" s="200"/>
      <c r="J1803" s="200"/>
      <c r="K1803" s="199"/>
      <c r="L1803" s="200"/>
      <c r="M1803" s="200"/>
      <c r="N1803" s="197"/>
    </row>
    <row r="1804" spans="1:14">
      <c r="A1804" s="262"/>
      <c r="B1804" s="262"/>
      <c r="C1804" s="197">
        <v>24</v>
      </c>
      <c r="D1804" s="262"/>
      <c r="E1804" s="198">
        <v>0</v>
      </c>
      <c r="F1804" s="197" t="s">
        <v>227</v>
      </c>
      <c r="G1804" s="199" t="s">
        <v>688</v>
      </c>
      <c r="H1804" s="200"/>
      <c r="I1804" s="200"/>
      <c r="J1804" s="200"/>
      <c r="K1804" s="199"/>
      <c r="L1804" s="200"/>
      <c r="M1804" s="200"/>
      <c r="N1804" s="197"/>
    </row>
    <row r="1805" spans="1:14">
      <c r="A1805" s="262"/>
      <c r="B1805" s="262"/>
      <c r="C1805" s="197">
        <v>25</v>
      </c>
      <c r="D1805" s="261">
        <v>5</v>
      </c>
      <c r="E1805" s="198">
        <v>0</v>
      </c>
      <c r="F1805" s="197" t="s">
        <v>227</v>
      </c>
      <c r="G1805" s="199" t="s">
        <v>632</v>
      </c>
      <c r="H1805" s="200">
        <v>0.51500000000000001</v>
      </c>
      <c r="I1805" s="200">
        <v>0.98499999999999999</v>
      </c>
      <c r="J1805" s="200">
        <v>0.495</v>
      </c>
      <c r="K1805" s="199" t="s">
        <v>229</v>
      </c>
      <c r="L1805" s="200"/>
      <c r="M1805" s="200"/>
      <c r="N1805" s="197"/>
    </row>
    <row r="1806" spans="1:14">
      <c r="A1806" s="262"/>
      <c r="B1806" s="262"/>
      <c r="C1806" s="197">
        <v>26</v>
      </c>
      <c r="D1806" s="262"/>
      <c r="E1806" s="198">
        <v>426.86481600000002</v>
      </c>
      <c r="F1806" s="197"/>
      <c r="G1806" s="199" t="s">
        <v>1612</v>
      </c>
      <c r="H1806" s="200"/>
      <c r="I1806" s="200"/>
      <c r="J1806" s="200"/>
      <c r="K1806" s="199"/>
      <c r="L1806" s="200"/>
      <c r="M1806" s="200"/>
      <c r="N1806" s="197"/>
    </row>
    <row r="1807" spans="1:14">
      <c r="A1807" s="262"/>
      <c r="B1807" s="262"/>
      <c r="C1807" s="197">
        <v>27</v>
      </c>
      <c r="D1807" s="262"/>
      <c r="E1807" s="198">
        <v>424.92999600000002</v>
      </c>
      <c r="F1807" s="197"/>
      <c r="G1807" s="199" t="s">
        <v>1613</v>
      </c>
      <c r="H1807" s="200"/>
      <c r="I1807" s="200"/>
      <c r="J1807" s="200"/>
      <c r="K1807" s="199"/>
      <c r="L1807" s="200"/>
      <c r="M1807" s="200"/>
      <c r="N1807" s="197"/>
    </row>
    <row r="1808" spans="1:14">
      <c r="A1808" s="262"/>
      <c r="B1808" s="262"/>
      <c r="C1808" s="197">
        <v>28</v>
      </c>
      <c r="D1808" s="262"/>
      <c r="E1808" s="198">
        <v>426.00904200000002</v>
      </c>
      <c r="F1808" s="197"/>
      <c r="G1808" s="199" t="s">
        <v>1614</v>
      </c>
      <c r="H1808" s="200"/>
      <c r="I1808" s="200"/>
      <c r="J1808" s="200"/>
      <c r="K1808" s="199"/>
      <c r="L1808" s="200"/>
      <c r="M1808" s="200"/>
      <c r="N1808" s="197"/>
    </row>
    <row r="1809" spans="1:14">
      <c r="A1809" s="262"/>
      <c r="B1809" s="262"/>
      <c r="C1809" s="197">
        <v>29</v>
      </c>
      <c r="D1809" s="261">
        <v>6</v>
      </c>
      <c r="E1809" s="198">
        <v>374.75172199999997</v>
      </c>
      <c r="F1809" s="197" t="s">
        <v>227</v>
      </c>
      <c r="G1809" s="199" t="s">
        <v>1615</v>
      </c>
      <c r="H1809" s="200">
        <v>0.505</v>
      </c>
      <c r="I1809" s="200">
        <v>0.995</v>
      </c>
      <c r="J1809" s="200">
        <v>0.505</v>
      </c>
      <c r="K1809" s="199" t="s">
        <v>229</v>
      </c>
      <c r="L1809" s="200"/>
      <c r="M1809" s="200"/>
      <c r="N1809" s="197"/>
    </row>
    <row r="1810" spans="1:14">
      <c r="A1810" s="262"/>
      <c r="B1810" s="262"/>
      <c r="C1810" s="197">
        <v>30</v>
      </c>
      <c r="D1810" s="262"/>
      <c r="E1810" s="198">
        <v>386.93275599999998</v>
      </c>
      <c r="F1810" s="197"/>
      <c r="G1810" s="199" t="s">
        <v>1616</v>
      </c>
      <c r="H1810" s="200"/>
      <c r="I1810" s="200"/>
      <c r="J1810" s="200"/>
      <c r="K1810" s="199"/>
      <c r="L1810" s="200"/>
      <c r="M1810" s="200"/>
      <c r="N1810" s="197"/>
    </row>
    <row r="1811" spans="1:14">
      <c r="A1811" s="262"/>
      <c r="B1811" s="262"/>
      <c r="C1811" s="197">
        <v>31</v>
      </c>
      <c r="D1811" s="262"/>
      <c r="E1811" s="198">
        <v>386.94221700000003</v>
      </c>
      <c r="F1811" s="197"/>
      <c r="G1811" s="199" t="s">
        <v>1617</v>
      </c>
      <c r="H1811" s="200"/>
      <c r="I1811" s="200"/>
      <c r="J1811" s="200"/>
      <c r="K1811" s="199"/>
      <c r="L1811" s="200"/>
      <c r="M1811" s="200"/>
      <c r="N1811" s="197"/>
    </row>
    <row r="1812" spans="1:14">
      <c r="A1812" s="262"/>
      <c r="B1812" s="262"/>
      <c r="C1812" s="197">
        <v>32</v>
      </c>
      <c r="D1812" s="261">
        <v>7</v>
      </c>
      <c r="E1812" s="198">
        <v>0</v>
      </c>
      <c r="F1812" s="197" t="s">
        <v>227</v>
      </c>
      <c r="G1812" s="199" t="s">
        <v>263</v>
      </c>
      <c r="H1812" s="200">
        <v>0.55500000000000005</v>
      </c>
      <c r="I1812" s="200">
        <v>1.0049999999999999</v>
      </c>
      <c r="J1812" s="200">
        <v>0.54</v>
      </c>
      <c r="K1812" s="199" t="s">
        <v>229</v>
      </c>
      <c r="L1812" s="200"/>
      <c r="M1812" s="200"/>
      <c r="N1812" s="197"/>
    </row>
    <row r="1813" spans="1:14">
      <c r="A1813" s="262"/>
      <c r="B1813" s="262"/>
      <c r="C1813" s="197">
        <v>33</v>
      </c>
      <c r="D1813" s="262"/>
      <c r="E1813" s="198">
        <v>286.93991399999999</v>
      </c>
      <c r="F1813" s="197"/>
      <c r="G1813" s="199" t="s">
        <v>1618</v>
      </c>
      <c r="H1813" s="200"/>
      <c r="I1813" s="200"/>
      <c r="J1813" s="200"/>
      <c r="K1813" s="199"/>
      <c r="L1813" s="200"/>
      <c r="M1813" s="200"/>
      <c r="N1813" s="197"/>
    </row>
    <row r="1814" spans="1:14">
      <c r="A1814" s="262"/>
      <c r="B1814" s="262"/>
      <c r="C1814" s="197">
        <v>34</v>
      </c>
      <c r="D1814" s="262"/>
      <c r="E1814" s="198">
        <v>285.64124900000002</v>
      </c>
      <c r="F1814" s="197"/>
      <c r="G1814" s="199" t="s">
        <v>1619</v>
      </c>
      <c r="H1814" s="200"/>
      <c r="I1814" s="200"/>
      <c r="J1814" s="200"/>
      <c r="K1814" s="199"/>
      <c r="L1814" s="200"/>
      <c r="M1814" s="200"/>
      <c r="N1814" s="197"/>
    </row>
    <row r="1815" spans="1:14">
      <c r="A1815" s="262"/>
      <c r="B1815" s="262"/>
      <c r="C1815" s="197">
        <v>35</v>
      </c>
      <c r="D1815" s="262"/>
      <c r="E1815" s="198">
        <v>284.57909899999999</v>
      </c>
      <c r="F1815" s="197"/>
      <c r="G1815" s="199" t="s">
        <v>1620</v>
      </c>
      <c r="H1815" s="200"/>
      <c r="I1815" s="200"/>
      <c r="J1815" s="200"/>
      <c r="K1815" s="199"/>
      <c r="L1815" s="200"/>
      <c r="M1815" s="200"/>
      <c r="N1815" s="197"/>
    </row>
    <row r="1816" spans="1:14">
      <c r="A1816" s="262"/>
      <c r="B1816" s="262"/>
      <c r="C1816" s="197">
        <v>36</v>
      </c>
      <c r="D1816" s="261">
        <v>8</v>
      </c>
      <c r="E1816" s="198">
        <v>285.24225799999999</v>
      </c>
      <c r="F1816" s="197" t="s">
        <v>227</v>
      </c>
      <c r="G1816" s="199" t="s">
        <v>1621</v>
      </c>
      <c r="H1816" s="200">
        <v>0.56000000000000005</v>
      </c>
      <c r="I1816" s="200">
        <v>0.995</v>
      </c>
      <c r="J1816" s="200">
        <v>0.48499999999999999</v>
      </c>
      <c r="K1816" s="199" t="s">
        <v>229</v>
      </c>
      <c r="L1816" s="200"/>
      <c r="M1816" s="200"/>
      <c r="N1816" s="197"/>
    </row>
    <row r="1817" spans="1:14">
      <c r="A1817" s="262"/>
      <c r="B1817" s="262"/>
      <c r="C1817" s="197">
        <v>37</v>
      </c>
      <c r="D1817" s="262"/>
      <c r="E1817" s="198">
        <v>283.94790999999998</v>
      </c>
      <c r="F1817" s="197"/>
      <c r="G1817" s="199" t="s">
        <v>1622</v>
      </c>
      <c r="H1817" s="200"/>
      <c r="I1817" s="200"/>
      <c r="J1817" s="200"/>
      <c r="K1817" s="199"/>
      <c r="L1817" s="200"/>
      <c r="M1817" s="200"/>
      <c r="N1817" s="197"/>
    </row>
    <row r="1818" spans="1:14">
      <c r="A1818" s="262"/>
      <c r="B1818" s="262"/>
      <c r="C1818" s="197">
        <v>38</v>
      </c>
      <c r="D1818" s="262"/>
      <c r="E1818" s="198">
        <v>281.94455900000003</v>
      </c>
      <c r="F1818" s="197"/>
      <c r="G1818" s="199" t="s">
        <v>1623</v>
      </c>
      <c r="H1818" s="200"/>
      <c r="I1818" s="200"/>
      <c r="J1818" s="200"/>
      <c r="K1818" s="199"/>
      <c r="L1818" s="200"/>
      <c r="M1818" s="200"/>
      <c r="N1818" s="197"/>
    </row>
    <row r="1819" spans="1:14">
      <c r="A1819" s="262"/>
      <c r="B1819" s="262"/>
      <c r="C1819" s="197">
        <v>39</v>
      </c>
      <c r="D1819" s="262"/>
      <c r="E1819" s="198">
        <v>286.82345400000003</v>
      </c>
      <c r="F1819" s="197"/>
      <c r="G1819" s="199" t="s">
        <v>1624</v>
      </c>
      <c r="H1819" s="200"/>
      <c r="I1819" s="200"/>
      <c r="J1819" s="200"/>
      <c r="K1819" s="199"/>
      <c r="L1819" s="200"/>
      <c r="M1819" s="200"/>
      <c r="N1819" s="197"/>
    </row>
    <row r="1820" spans="1:14">
      <c r="A1820" s="262"/>
      <c r="B1820" s="262"/>
      <c r="C1820" s="197">
        <v>40</v>
      </c>
      <c r="D1820" s="262"/>
      <c r="E1820" s="198">
        <v>287.35628600000001</v>
      </c>
      <c r="F1820" s="197"/>
      <c r="G1820" s="199" t="s">
        <v>1625</v>
      </c>
      <c r="H1820" s="200"/>
      <c r="I1820" s="200"/>
      <c r="J1820" s="200"/>
      <c r="K1820" s="199"/>
      <c r="L1820" s="200"/>
      <c r="M1820" s="200"/>
      <c r="N1820" s="197"/>
    </row>
    <row r="1821" spans="1:14">
      <c r="A1821" s="262"/>
      <c r="B1821" s="262"/>
      <c r="C1821" s="197">
        <v>41</v>
      </c>
      <c r="D1821" s="262"/>
      <c r="E1821" s="198">
        <v>288.21578799999997</v>
      </c>
      <c r="F1821" s="197"/>
      <c r="G1821" s="199" t="s">
        <v>1626</v>
      </c>
      <c r="H1821" s="200"/>
      <c r="I1821" s="200"/>
      <c r="J1821" s="200"/>
      <c r="K1821" s="199"/>
      <c r="L1821" s="200"/>
      <c r="M1821" s="200"/>
      <c r="N1821" s="197"/>
    </row>
    <row r="1822" spans="1:14">
      <c r="A1822" s="262"/>
      <c r="B1822" s="262"/>
      <c r="C1822" s="197">
        <v>42</v>
      </c>
      <c r="D1822" s="262"/>
      <c r="E1822" s="198">
        <v>0</v>
      </c>
      <c r="F1822" s="197" t="s">
        <v>227</v>
      </c>
      <c r="G1822" s="199" t="s">
        <v>364</v>
      </c>
      <c r="H1822" s="200"/>
      <c r="I1822" s="200"/>
      <c r="J1822" s="200"/>
      <c r="K1822" s="199"/>
      <c r="L1822" s="200"/>
      <c r="M1822" s="200"/>
      <c r="N1822" s="197"/>
    </row>
    <row r="1823" spans="1:14">
      <c r="A1823" s="262"/>
      <c r="B1823" s="262"/>
      <c r="C1823" s="197">
        <v>43</v>
      </c>
      <c r="D1823" s="262"/>
      <c r="E1823" s="198">
        <v>0</v>
      </c>
      <c r="F1823" s="197" t="s">
        <v>227</v>
      </c>
      <c r="G1823" s="199" t="s">
        <v>1003</v>
      </c>
      <c r="H1823" s="200"/>
      <c r="I1823" s="200"/>
      <c r="J1823" s="200"/>
      <c r="K1823" s="199"/>
      <c r="L1823" s="200"/>
      <c r="M1823" s="200"/>
      <c r="N1823" s="197"/>
    </row>
    <row r="1824" spans="1:14">
      <c r="A1824" s="262"/>
      <c r="B1824" s="262"/>
      <c r="C1824" s="197">
        <v>44</v>
      </c>
      <c r="D1824" s="262"/>
      <c r="E1824" s="198">
        <v>0</v>
      </c>
      <c r="F1824" s="197" t="s">
        <v>227</v>
      </c>
      <c r="G1824" s="199" t="s">
        <v>1004</v>
      </c>
      <c r="H1824" s="200"/>
      <c r="I1824" s="200"/>
      <c r="J1824" s="200"/>
      <c r="K1824" s="199"/>
      <c r="L1824" s="200"/>
      <c r="M1824" s="200"/>
      <c r="N1824" s="197"/>
    </row>
    <row r="1825" spans="1:14">
      <c r="A1825" s="262"/>
      <c r="B1825" s="262"/>
      <c r="C1825" s="197">
        <v>45</v>
      </c>
      <c r="D1825" s="261">
        <v>9</v>
      </c>
      <c r="E1825" s="198">
        <v>0</v>
      </c>
      <c r="F1825" s="197" t="s">
        <v>227</v>
      </c>
      <c r="G1825" s="199" t="s">
        <v>1124</v>
      </c>
      <c r="H1825" s="200">
        <v>0.54500000000000004</v>
      </c>
      <c r="I1825" s="200">
        <v>0.98499999999999999</v>
      </c>
      <c r="J1825" s="200">
        <v>0.51</v>
      </c>
      <c r="K1825" s="199" t="s">
        <v>229</v>
      </c>
      <c r="L1825" s="200"/>
      <c r="M1825" s="200"/>
      <c r="N1825" s="197"/>
    </row>
    <row r="1826" spans="1:14">
      <c r="A1826" s="262"/>
      <c r="B1826" s="262"/>
      <c r="C1826" s="197">
        <v>46</v>
      </c>
      <c r="D1826" s="262"/>
      <c r="E1826" s="198">
        <v>385.857034</v>
      </c>
      <c r="F1826" s="197"/>
      <c r="G1826" s="199" t="s">
        <v>1627</v>
      </c>
      <c r="H1826" s="200"/>
      <c r="I1826" s="200"/>
      <c r="J1826" s="200"/>
      <c r="K1826" s="199"/>
      <c r="L1826" s="200"/>
      <c r="M1826" s="200"/>
      <c r="N1826" s="197"/>
    </row>
    <row r="1827" spans="1:14">
      <c r="A1827" s="262"/>
      <c r="B1827" s="262"/>
      <c r="C1827" s="197">
        <v>47</v>
      </c>
      <c r="D1827" s="262"/>
      <c r="E1827" s="198">
        <v>384.86587400000002</v>
      </c>
      <c r="F1827" s="197"/>
      <c r="G1827" s="199" t="s">
        <v>1628</v>
      </c>
      <c r="H1827" s="200"/>
      <c r="I1827" s="200"/>
      <c r="J1827" s="200"/>
      <c r="K1827" s="199"/>
      <c r="L1827" s="200"/>
      <c r="M1827" s="200"/>
      <c r="N1827" s="197"/>
    </row>
    <row r="1828" spans="1:14">
      <c r="A1828" s="262"/>
      <c r="B1828" s="262"/>
      <c r="C1828" s="197">
        <v>48</v>
      </c>
      <c r="D1828" s="262"/>
      <c r="E1828" s="198">
        <v>386.65635400000002</v>
      </c>
      <c r="F1828" s="197"/>
      <c r="G1828" s="199" t="s">
        <v>1629</v>
      </c>
      <c r="H1828" s="200"/>
      <c r="I1828" s="200"/>
      <c r="J1828" s="200"/>
      <c r="K1828" s="199"/>
      <c r="L1828" s="200"/>
      <c r="M1828" s="200"/>
      <c r="N1828" s="197"/>
    </row>
    <row r="1829" spans="1:14">
      <c r="A1829" s="262"/>
      <c r="B1829" s="262"/>
      <c r="C1829" s="197">
        <v>49</v>
      </c>
      <c r="D1829" s="261">
        <v>10</v>
      </c>
      <c r="E1829" s="198">
        <v>386.27809300000001</v>
      </c>
      <c r="F1829" s="197" t="s">
        <v>227</v>
      </c>
      <c r="G1829" s="199" t="s">
        <v>1630</v>
      </c>
      <c r="H1829" s="200">
        <v>0.56000000000000005</v>
      </c>
      <c r="I1829" s="200">
        <v>0.99</v>
      </c>
      <c r="J1829" s="200">
        <v>0.51500000000000001</v>
      </c>
      <c r="K1829" s="199" t="s">
        <v>229</v>
      </c>
      <c r="L1829" s="200"/>
      <c r="M1829" s="200"/>
      <c r="N1829" s="197"/>
    </row>
    <row r="1830" spans="1:14">
      <c r="A1830" s="262"/>
      <c r="B1830" s="262"/>
      <c r="C1830" s="197">
        <v>50</v>
      </c>
      <c r="D1830" s="262"/>
      <c r="E1830" s="198">
        <v>0</v>
      </c>
      <c r="F1830" s="197" t="s">
        <v>227</v>
      </c>
      <c r="G1830" s="199" t="s">
        <v>1201</v>
      </c>
      <c r="H1830" s="200"/>
      <c r="I1830" s="200"/>
      <c r="J1830" s="200"/>
      <c r="K1830" s="199"/>
      <c r="L1830" s="200"/>
      <c r="M1830" s="200"/>
      <c r="N1830" s="197"/>
    </row>
    <row r="1831" spans="1:14">
      <c r="A1831" s="262"/>
      <c r="B1831" s="262"/>
      <c r="C1831" s="197">
        <v>51</v>
      </c>
      <c r="D1831" s="262"/>
      <c r="E1831" s="198">
        <v>282.40669600000001</v>
      </c>
      <c r="F1831" s="197"/>
      <c r="G1831" s="199" t="s">
        <v>1631</v>
      </c>
      <c r="H1831" s="200"/>
      <c r="I1831" s="200"/>
      <c r="J1831" s="200"/>
      <c r="K1831" s="199"/>
      <c r="L1831" s="200"/>
      <c r="M1831" s="200"/>
      <c r="N1831" s="197"/>
    </row>
    <row r="1832" spans="1:14">
      <c r="A1832" s="262"/>
      <c r="B1832" s="262"/>
      <c r="C1832" s="197">
        <v>52</v>
      </c>
      <c r="D1832" s="262"/>
      <c r="E1832" s="198">
        <v>285.170593</v>
      </c>
      <c r="F1832" s="197"/>
      <c r="G1832" s="199" t="s">
        <v>1632</v>
      </c>
      <c r="H1832" s="200"/>
      <c r="I1832" s="200"/>
      <c r="J1832" s="200"/>
      <c r="K1832" s="199"/>
      <c r="L1832" s="200"/>
      <c r="M1832" s="200"/>
      <c r="N1832" s="197"/>
    </row>
    <row r="1833" spans="1:14">
      <c r="A1833" s="262"/>
      <c r="B1833" s="262"/>
      <c r="C1833" s="197">
        <v>53</v>
      </c>
      <c r="D1833" s="262"/>
      <c r="E1833" s="198">
        <v>284.13766199999998</v>
      </c>
      <c r="F1833" s="197"/>
      <c r="G1833" s="199" t="s">
        <v>1633</v>
      </c>
      <c r="H1833" s="200"/>
      <c r="I1833" s="200"/>
      <c r="J1833" s="200"/>
      <c r="K1833" s="199"/>
      <c r="L1833" s="200"/>
      <c r="M1833" s="200"/>
      <c r="N1833" s="197"/>
    </row>
    <row r="1834" spans="1:14">
      <c r="A1834" s="262"/>
      <c r="B1834" s="262"/>
      <c r="C1834" s="197">
        <v>54</v>
      </c>
      <c r="D1834" s="261">
        <v>11</v>
      </c>
      <c r="E1834" s="198">
        <v>511.09271200000001</v>
      </c>
      <c r="F1834" s="197" t="s">
        <v>227</v>
      </c>
      <c r="G1834" s="199" t="s">
        <v>1634</v>
      </c>
      <c r="H1834" s="200">
        <v>0.51</v>
      </c>
      <c r="I1834" s="200">
        <v>1.02</v>
      </c>
      <c r="J1834" s="200">
        <v>0.49</v>
      </c>
      <c r="K1834" s="199" t="s">
        <v>229</v>
      </c>
      <c r="L1834" s="200"/>
      <c r="M1834" s="200"/>
      <c r="N1834" s="197"/>
    </row>
    <row r="1835" spans="1:14">
      <c r="A1835" s="262"/>
      <c r="B1835" s="262"/>
      <c r="C1835" s="197">
        <v>55</v>
      </c>
      <c r="D1835" s="262"/>
      <c r="E1835" s="198">
        <v>548.02473399999997</v>
      </c>
      <c r="F1835" s="197"/>
      <c r="G1835" s="199" t="s">
        <v>1635</v>
      </c>
      <c r="H1835" s="200"/>
      <c r="I1835" s="200"/>
      <c r="J1835" s="200"/>
      <c r="K1835" s="199"/>
      <c r="L1835" s="200"/>
      <c r="M1835" s="200"/>
      <c r="N1835" s="197"/>
    </row>
    <row r="1836" spans="1:14">
      <c r="A1836" s="262"/>
      <c r="B1836" s="262"/>
      <c r="C1836" s="197">
        <v>56</v>
      </c>
      <c r="D1836" s="262"/>
      <c r="E1836" s="198">
        <v>564.70182199999999</v>
      </c>
      <c r="F1836" s="197"/>
      <c r="G1836" s="199" t="s">
        <v>1636</v>
      </c>
      <c r="H1836" s="200"/>
      <c r="I1836" s="200"/>
      <c r="J1836" s="200"/>
      <c r="K1836" s="199"/>
      <c r="L1836" s="200"/>
      <c r="M1836" s="200"/>
      <c r="N1836" s="197"/>
    </row>
    <row r="1837" spans="1:14">
      <c r="A1837" s="262"/>
      <c r="B1837" s="262"/>
      <c r="C1837" s="197">
        <v>57</v>
      </c>
      <c r="D1837" s="261">
        <v>12</v>
      </c>
      <c r="E1837" s="198">
        <v>547.77689399999997</v>
      </c>
      <c r="F1837" s="197" t="s">
        <v>227</v>
      </c>
      <c r="G1837" s="199" t="s">
        <v>1637</v>
      </c>
      <c r="H1837" s="200">
        <v>0.51500000000000001</v>
      </c>
      <c r="I1837" s="200">
        <v>0.85</v>
      </c>
      <c r="J1837" s="200">
        <v>0.56999999999999995</v>
      </c>
      <c r="K1837" s="199" t="s">
        <v>229</v>
      </c>
      <c r="L1837" s="200"/>
      <c r="M1837" s="200"/>
      <c r="N1837" s="197"/>
    </row>
    <row r="1838" spans="1:14">
      <c r="A1838" s="262"/>
      <c r="B1838" s="262"/>
      <c r="C1838" s="197">
        <v>58</v>
      </c>
      <c r="D1838" s="262"/>
      <c r="E1838" s="198">
        <v>374.09425499999998</v>
      </c>
      <c r="F1838" s="197"/>
      <c r="G1838" s="199" t="s">
        <v>1638</v>
      </c>
      <c r="H1838" s="200"/>
      <c r="I1838" s="200"/>
      <c r="J1838" s="200"/>
      <c r="K1838" s="199"/>
      <c r="L1838" s="200"/>
      <c r="M1838" s="200"/>
      <c r="N1838" s="197"/>
    </row>
    <row r="1839" spans="1:14">
      <c r="A1839" s="262"/>
      <c r="B1839" s="262"/>
      <c r="C1839" s="197">
        <v>59</v>
      </c>
      <c r="D1839" s="262"/>
      <c r="E1839" s="198">
        <v>377.24551400000001</v>
      </c>
      <c r="F1839" s="197"/>
      <c r="G1839" s="199" t="s">
        <v>1639</v>
      </c>
      <c r="H1839" s="200"/>
      <c r="I1839" s="200"/>
      <c r="J1839" s="200"/>
      <c r="K1839" s="199"/>
      <c r="L1839" s="200"/>
      <c r="M1839" s="200"/>
      <c r="N1839" s="197"/>
    </row>
    <row r="1840" spans="1:14">
      <c r="A1840" s="262"/>
      <c r="B1840" s="262"/>
      <c r="C1840" s="197">
        <v>60</v>
      </c>
      <c r="D1840" s="262"/>
      <c r="E1840" s="198">
        <v>382.281588</v>
      </c>
      <c r="F1840" s="197"/>
      <c r="G1840" s="199" t="s">
        <v>1640</v>
      </c>
      <c r="H1840" s="200"/>
      <c r="I1840" s="200"/>
      <c r="J1840" s="200"/>
      <c r="K1840" s="199"/>
      <c r="L1840" s="200"/>
      <c r="M1840" s="200"/>
      <c r="N1840" s="197"/>
    </row>
    <row r="1841" spans="1:14">
      <c r="A1841" s="262"/>
      <c r="B1841" s="262"/>
      <c r="C1841" s="197">
        <v>61</v>
      </c>
      <c r="D1841" s="262"/>
      <c r="E1841" s="198">
        <v>381.99646799999999</v>
      </c>
      <c r="F1841" s="197"/>
      <c r="G1841" s="199" t="s">
        <v>1641</v>
      </c>
      <c r="H1841" s="200"/>
      <c r="I1841" s="200"/>
      <c r="J1841" s="200"/>
      <c r="K1841" s="199"/>
      <c r="L1841" s="200"/>
      <c r="M1841" s="200"/>
      <c r="N1841" s="197"/>
    </row>
    <row r="1842" spans="1:14">
      <c r="A1842" s="262"/>
      <c r="B1842" s="262"/>
      <c r="C1842" s="197">
        <v>62</v>
      </c>
      <c r="D1842" s="262"/>
      <c r="E1842" s="198">
        <v>379.70477299999999</v>
      </c>
      <c r="F1842" s="197"/>
      <c r="G1842" s="199" t="s">
        <v>1642</v>
      </c>
      <c r="H1842" s="200"/>
      <c r="I1842" s="200"/>
      <c r="J1842" s="200"/>
      <c r="K1842" s="199"/>
      <c r="L1842" s="200"/>
      <c r="M1842" s="200"/>
      <c r="N1842" s="197"/>
    </row>
    <row r="1843" spans="1:14">
      <c r="A1843" s="262"/>
      <c r="B1843" s="262"/>
      <c r="C1843" s="197">
        <v>63</v>
      </c>
      <c r="D1843" s="262"/>
      <c r="E1843" s="198">
        <v>385.073802</v>
      </c>
      <c r="F1843" s="197"/>
      <c r="G1843" s="199" t="s">
        <v>1643</v>
      </c>
      <c r="H1843" s="200"/>
      <c r="I1843" s="200"/>
      <c r="J1843" s="200"/>
      <c r="K1843" s="199"/>
      <c r="L1843" s="200"/>
      <c r="M1843" s="200"/>
      <c r="N1843" s="197"/>
    </row>
    <row r="1844" spans="1:14">
      <c r="A1844" s="262"/>
      <c r="B1844" s="262"/>
      <c r="C1844" s="197">
        <v>64</v>
      </c>
      <c r="D1844" s="262"/>
      <c r="E1844" s="198">
        <v>385.383398</v>
      </c>
      <c r="F1844" s="197"/>
      <c r="G1844" s="199" t="s">
        <v>1644</v>
      </c>
      <c r="H1844" s="200"/>
      <c r="I1844" s="200"/>
      <c r="J1844" s="200"/>
      <c r="K1844" s="199"/>
      <c r="L1844" s="200"/>
      <c r="M1844" s="200"/>
      <c r="N1844" s="197"/>
    </row>
    <row r="1845" spans="1:14">
      <c r="A1845" s="262"/>
      <c r="B1845" s="262"/>
      <c r="C1845" s="197">
        <v>65</v>
      </c>
      <c r="D1845" s="262"/>
      <c r="E1845" s="198">
        <v>385.49544800000001</v>
      </c>
      <c r="F1845" s="197"/>
      <c r="G1845" s="199" t="s">
        <v>1645</v>
      </c>
      <c r="H1845" s="200"/>
      <c r="I1845" s="200"/>
      <c r="J1845" s="200"/>
      <c r="K1845" s="199"/>
      <c r="L1845" s="200"/>
      <c r="M1845" s="200"/>
      <c r="N1845" s="197"/>
    </row>
    <row r="1846" spans="1:14">
      <c r="A1846" s="262"/>
      <c r="B1846" s="262"/>
      <c r="C1846" s="197">
        <v>66</v>
      </c>
      <c r="D1846" s="262"/>
      <c r="E1846" s="198">
        <v>0</v>
      </c>
      <c r="F1846" s="197" t="s">
        <v>227</v>
      </c>
      <c r="G1846" s="199" t="s">
        <v>1143</v>
      </c>
      <c r="H1846" s="200"/>
      <c r="I1846" s="200"/>
      <c r="J1846" s="200"/>
      <c r="K1846" s="199"/>
      <c r="L1846" s="200"/>
      <c r="M1846" s="200"/>
      <c r="N1846" s="197"/>
    </row>
    <row r="1847" spans="1:14">
      <c r="A1847" s="262"/>
      <c r="B1847" s="262"/>
      <c r="C1847" s="197">
        <v>67</v>
      </c>
      <c r="D1847" s="261">
        <v>13</v>
      </c>
      <c r="E1847" s="198">
        <v>417.54805299999998</v>
      </c>
      <c r="F1847" s="197"/>
      <c r="G1847" s="199" t="s">
        <v>1646</v>
      </c>
      <c r="H1847" s="200">
        <v>0.51500000000000001</v>
      </c>
      <c r="I1847" s="200">
        <v>0.95</v>
      </c>
      <c r="J1847" s="200">
        <v>0.53500000000000003</v>
      </c>
      <c r="K1847" s="199" t="s">
        <v>229</v>
      </c>
      <c r="L1847" s="200"/>
      <c r="M1847" s="200"/>
      <c r="N1847" s="197"/>
    </row>
    <row r="1848" spans="1:14">
      <c r="A1848" s="262"/>
      <c r="B1848" s="262"/>
      <c r="C1848" s="197">
        <v>68</v>
      </c>
      <c r="D1848" s="262"/>
      <c r="E1848" s="198">
        <v>423.99316499999998</v>
      </c>
      <c r="F1848" s="197"/>
      <c r="G1848" s="199" t="s">
        <v>1647</v>
      </c>
      <c r="H1848" s="200"/>
      <c r="I1848" s="200"/>
      <c r="J1848" s="200"/>
      <c r="K1848" s="199"/>
      <c r="L1848" s="200"/>
      <c r="M1848" s="200"/>
      <c r="N1848" s="197"/>
    </row>
    <row r="1849" spans="1:14">
      <c r="A1849" s="262"/>
      <c r="B1849" s="262"/>
      <c r="C1849" s="197">
        <v>69</v>
      </c>
      <c r="D1849" s="262"/>
      <c r="E1849" s="198">
        <v>423.46407099999999</v>
      </c>
      <c r="F1849" s="197"/>
      <c r="G1849" s="199" t="s">
        <v>1648</v>
      </c>
      <c r="H1849" s="200"/>
      <c r="I1849" s="200"/>
      <c r="J1849" s="200"/>
      <c r="K1849" s="199"/>
      <c r="L1849" s="200"/>
      <c r="M1849" s="200"/>
      <c r="N1849" s="197"/>
    </row>
    <row r="1850" spans="1:14">
      <c r="A1850" s="262"/>
      <c r="B1850" s="262"/>
      <c r="C1850" s="197">
        <v>70</v>
      </c>
      <c r="D1850" s="262"/>
      <c r="E1850" s="198">
        <v>426.15241900000001</v>
      </c>
      <c r="F1850" s="197"/>
      <c r="G1850" s="199" t="s">
        <v>1649</v>
      </c>
      <c r="H1850" s="200"/>
      <c r="I1850" s="200"/>
      <c r="J1850" s="200"/>
      <c r="K1850" s="199"/>
      <c r="L1850" s="200"/>
      <c r="M1850" s="200"/>
      <c r="N1850" s="197"/>
    </row>
    <row r="1851" spans="1:14">
      <c r="A1851" s="262"/>
      <c r="B1851" s="262"/>
      <c r="C1851" s="197">
        <v>71</v>
      </c>
      <c r="D1851" s="261">
        <v>14</v>
      </c>
      <c r="E1851" s="198">
        <v>390.43002300000001</v>
      </c>
      <c r="F1851" s="197" t="s">
        <v>227</v>
      </c>
      <c r="G1851" s="199" t="s">
        <v>1650</v>
      </c>
      <c r="H1851" s="200">
        <v>0.52</v>
      </c>
      <c r="I1851" s="200">
        <v>0.96</v>
      </c>
      <c r="J1851" s="200">
        <v>0.55000000000000004</v>
      </c>
      <c r="K1851" s="199" t="s">
        <v>229</v>
      </c>
      <c r="L1851" s="200"/>
      <c r="M1851" s="200"/>
      <c r="N1851" s="197"/>
    </row>
    <row r="1852" spans="1:14">
      <c r="A1852" s="262"/>
      <c r="B1852" s="262"/>
      <c r="C1852" s="197">
        <v>72</v>
      </c>
      <c r="D1852" s="262"/>
      <c r="E1852" s="198">
        <v>387.21091100000001</v>
      </c>
      <c r="F1852" s="197"/>
      <c r="G1852" s="199" t="s">
        <v>1651</v>
      </c>
      <c r="H1852" s="200"/>
      <c r="I1852" s="200"/>
      <c r="J1852" s="200"/>
      <c r="K1852" s="199"/>
      <c r="L1852" s="200"/>
      <c r="M1852" s="200"/>
      <c r="N1852" s="197"/>
    </row>
    <row r="1853" spans="1:14">
      <c r="A1853" s="262"/>
      <c r="B1853" s="262"/>
      <c r="C1853" s="197">
        <v>73</v>
      </c>
      <c r="D1853" s="262"/>
      <c r="E1853" s="198">
        <v>385.693106</v>
      </c>
      <c r="F1853" s="197"/>
      <c r="G1853" s="199" t="s">
        <v>1652</v>
      </c>
      <c r="H1853" s="200"/>
      <c r="I1853" s="200"/>
      <c r="J1853" s="200"/>
      <c r="K1853" s="199"/>
      <c r="L1853" s="200"/>
      <c r="M1853" s="200"/>
      <c r="N1853" s="197"/>
    </row>
    <row r="1854" spans="1:14">
      <c r="A1854" s="262"/>
      <c r="B1854" s="262"/>
      <c r="C1854" s="197">
        <v>74</v>
      </c>
      <c r="D1854" s="261">
        <v>15</v>
      </c>
      <c r="E1854" s="198">
        <v>0</v>
      </c>
      <c r="F1854" s="197" t="s">
        <v>227</v>
      </c>
      <c r="G1854" s="199" t="s">
        <v>1653</v>
      </c>
      <c r="H1854" s="200">
        <v>0.52</v>
      </c>
      <c r="I1854" s="200">
        <v>0.94499999999999995</v>
      </c>
      <c r="J1854" s="200">
        <v>0.54500000000000004</v>
      </c>
      <c r="K1854" s="199" t="s">
        <v>229</v>
      </c>
      <c r="L1854" s="200"/>
      <c r="M1854" s="200"/>
      <c r="N1854" s="197"/>
    </row>
    <row r="1855" spans="1:14">
      <c r="A1855" s="262"/>
      <c r="B1855" s="262"/>
      <c r="C1855" s="197">
        <v>75</v>
      </c>
      <c r="D1855" s="262"/>
      <c r="E1855" s="198">
        <v>0</v>
      </c>
      <c r="F1855" s="197"/>
      <c r="G1855" s="199" t="s">
        <v>1654</v>
      </c>
      <c r="H1855" s="200"/>
      <c r="I1855" s="200"/>
      <c r="J1855" s="200"/>
      <c r="K1855" s="199"/>
      <c r="L1855" s="200"/>
      <c r="M1855" s="200"/>
      <c r="N1855" s="197"/>
    </row>
    <row r="1856" spans="1:14">
      <c r="A1856" s="262"/>
      <c r="B1856" s="262"/>
      <c r="C1856" s="197">
        <v>76</v>
      </c>
      <c r="D1856" s="262"/>
      <c r="E1856" s="198">
        <v>0</v>
      </c>
      <c r="F1856" s="197" t="s">
        <v>227</v>
      </c>
      <c r="G1856" s="199" t="s">
        <v>1655</v>
      </c>
      <c r="H1856" s="200"/>
      <c r="I1856" s="200"/>
      <c r="J1856" s="200"/>
      <c r="K1856" s="199"/>
      <c r="L1856" s="200"/>
      <c r="M1856" s="200"/>
      <c r="N1856" s="197"/>
    </row>
    <row r="1857" spans="1:14">
      <c r="A1857" s="262"/>
      <c r="B1857" s="262"/>
      <c r="C1857" s="197">
        <v>77</v>
      </c>
      <c r="D1857" s="262"/>
      <c r="E1857" s="198">
        <v>0</v>
      </c>
      <c r="F1857" s="197" t="s">
        <v>227</v>
      </c>
      <c r="G1857" s="199" t="s">
        <v>561</v>
      </c>
      <c r="H1857" s="200"/>
      <c r="I1857" s="200"/>
      <c r="J1857" s="200"/>
      <c r="K1857" s="199"/>
      <c r="L1857" s="200"/>
      <c r="M1857" s="200"/>
      <c r="N1857" s="197"/>
    </row>
    <row r="1858" spans="1:14">
      <c r="A1858" s="262"/>
      <c r="B1858" s="262"/>
      <c r="C1858" s="197">
        <v>78</v>
      </c>
      <c r="D1858" s="262"/>
      <c r="E1858" s="198">
        <v>0</v>
      </c>
      <c r="F1858" s="197" t="s">
        <v>227</v>
      </c>
      <c r="G1858" s="199" t="s">
        <v>1656</v>
      </c>
      <c r="H1858" s="200"/>
      <c r="I1858" s="200"/>
      <c r="J1858" s="200"/>
      <c r="K1858" s="199"/>
      <c r="L1858" s="200"/>
      <c r="M1858" s="200"/>
      <c r="N1858" s="197"/>
    </row>
    <row r="1859" spans="1:14">
      <c r="A1859" s="262"/>
      <c r="B1859" s="262"/>
      <c r="C1859" s="197">
        <v>79</v>
      </c>
      <c r="D1859" s="262"/>
      <c r="E1859" s="198">
        <v>0</v>
      </c>
      <c r="F1859" s="197" t="s">
        <v>227</v>
      </c>
      <c r="G1859" s="199" t="s">
        <v>401</v>
      </c>
      <c r="H1859" s="200"/>
      <c r="I1859" s="200"/>
      <c r="J1859" s="200"/>
      <c r="K1859" s="199"/>
      <c r="L1859" s="200"/>
      <c r="M1859" s="200"/>
      <c r="N1859" s="197"/>
    </row>
    <row r="1860" spans="1:14">
      <c r="A1860" s="262"/>
      <c r="B1860" s="262"/>
      <c r="C1860" s="197">
        <v>80</v>
      </c>
      <c r="D1860" s="262"/>
      <c r="E1860" s="198">
        <v>0</v>
      </c>
      <c r="F1860" s="197" t="s">
        <v>227</v>
      </c>
      <c r="G1860" s="199" t="s">
        <v>1526</v>
      </c>
      <c r="H1860" s="200"/>
      <c r="I1860" s="200"/>
      <c r="J1860" s="200"/>
      <c r="K1860" s="199"/>
      <c r="L1860" s="200"/>
      <c r="M1860" s="200"/>
      <c r="N1860" s="197"/>
    </row>
    <row r="1861" spans="1:14">
      <c r="A1861" s="262"/>
      <c r="B1861" s="262"/>
      <c r="C1861" s="197">
        <v>81</v>
      </c>
      <c r="D1861" s="262"/>
      <c r="E1861" s="198">
        <v>0</v>
      </c>
      <c r="F1861" s="197" t="s">
        <v>227</v>
      </c>
      <c r="G1861" s="199" t="s">
        <v>403</v>
      </c>
      <c r="H1861" s="200"/>
      <c r="I1861" s="200"/>
      <c r="J1861" s="200"/>
      <c r="K1861" s="199"/>
      <c r="L1861" s="200"/>
      <c r="M1861" s="200"/>
      <c r="N1861" s="197"/>
    </row>
    <row r="1862" spans="1:14">
      <c r="A1862" s="262"/>
      <c r="B1862" s="262"/>
      <c r="C1862" s="197">
        <v>82</v>
      </c>
      <c r="D1862" s="197">
        <v>16</v>
      </c>
      <c r="E1862" s="198">
        <v>0</v>
      </c>
      <c r="F1862" s="197" t="s">
        <v>227</v>
      </c>
      <c r="G1862" s="199" t="s">
        <v>314</v>
      </c>
      <c r="H1862" s="200">
        <v>0.53</v>
      </c>
      <c r="I1862" s="200">
        <v>0.97</v>
      </c>
      <c r="J1862" s="200">
        <v>0.53</v>
      </c>
      <c r="K1862" s="199" t="s">
        <v>229</v>
      </c>
      <c r="L1862" s="200"/>
      <c r="M1862" s="200"/>
      <c r="N1862" s="197"/>
    </row>
    <row r="1863" spans="1:14">
      <c r="A1863" s="261" t="s">
        <v>1657</v>
      </c>
      <c r="B1863" s="261">
        <v>5</v>
      </c>
      <c r="C1863" s="197">
        <v>1</v>
      </c>
      <c r="D1863" s="261">
        <v>1</v>
      </c>
      <c r="E1863" s="198">
        <v>0</v>
      </c>
      <c r="F1863" s="197" t="s">
        <v>227</v>
      </c>
      <c r="G1863" s="199" t="s">
        <v>228</v>
      </c>
      <c r="H1863" s="200">
        <v>0.51</v>
      </c>
      <c r="I1863" s="200">
        <v>0.995</v>
      </c>
      <c r="J1863" s="200">
        <v>0.495</v>
      </c>
      <c r="K1863" s="199" t="s">
        <v>417</v>
      </c>
      <c r="L1863" s="200">
        <v>6.3417484527139675E-2</v>
      </c>
      <c r="M1863" s="200"/>
      <c r="N1863" s="197"/>
    </row>
    <row r="1864" spans="1:14">
      <c r="A1864" s="262"/>
      <c r="B1864" s="262"/>
      <c r="C1864" s="197">
        <v>2</v>
      </c>
      <c r="D1864" s="262"/>
      <c r="E1864" s="198">
        <v>0</v>
      </c>
      <c r="F1864" s="197" t="s">
        <v>227</v>
      </c>
      <c r="G1864" s="199" t="s">
        <v>230</v>
      </c>
      <c r="H1864" s="200"/>
      <c r="I1864" s="200"/>
      <c r="J1864" s="200"/>
      <c r="K1864" s="199"/>
      <c r="L1864" s="200">
        <v>3.5934782505950953E-2</v>
      </c>
      <c r="M1864" s="200"/>
      <c r="N1864" s="197"/>
    </row>
    <row r="1865" spans="1:14">
      <c r="A1865" s="262"/>
      <c r="B1865" s="262"/>
      <c r="C1865" s="197">
        <v>3</v>
      </c>
      <c r="D1865" s="262"/>
      <c r="E1865" s="198">
        <v>416.899204</v>
      </c>
      <c r="F1865" s="197"/>
      <c r="G1865" s="199" t="s">
        <v>1658</v>
      </c>
      <c r="H1865" s="200"/>
      <c r="I1865" s="200"/>
      <c r="J1865" s="200"/>
      <c r="K1865" s="199"/>
      <c r="L1865" s="200">
        <v>7.4453739832193805E-2</v>
      </c>
      <c r="M1865" s="200"/>
      <c r="N1865" s="197"/>
    </row>
    <row r="1866" spans="1:14">
      <c r="A1866" s="262"/>
      <c r="B1866" s="262"/>
      <c r="C1866" s="197">
        <v>4</v>
      </c>
      <c r="D1866" s="262"/>
      <c r="E1866" s="198">
        <v>417.32557800000001</v>
      </c>
      <c r="F1866" s="197"/>
      <c r="G1866" s="199" t="s">
        <v>1659</v>
      </c>
      <c r="H1866" s="200"/>
      <c r="I1866" s="200"/>
      <c r="J1866" s="200"/>
      <c r="K1866" s="199"/>
      <c r="L1866" s="200"/>
      <c r="M1866" s="200" t="s">
        <v>1660</v>
      </c>
      <c r="N1866" s="197" t="s">
        <v>1661</v>
      </c>
    </row>
    <row r="1867" spans="1:14">
      <c r="A1867" s="262"/>
      <c r="B1867" s="262"/>
      <c r="C1867" s="197">
        <v>5</v>
      </c>
      <c r="D1867" s="262"/>
      <c r="E1867" s="198">
        <v>417.00948899999997</v>
      </c>
      <c r="F1867" s="197"/>
      <c r="G1867" s="199" t="s">
        <v>1662</v>
      </c>
      <c r="H1867" s="200"/>
      <c r="I1867" s="200"/>
      <c r="J1867" s="200"/>
      <c r="K1867" s="199"/>
      <c r="L1867" s="200"/>
      <c r="M1867" s="200"/>
      <c r="N1867" s="197"/>
    </row>
    <row r="1868" spans="1:14">
      <c r="A1868" s="262"/>
      <c r="B1868" s="262"/>
      <c r="C1868" s="197">
        <v>6</v>
      </c>
      <c r="D1868" s="262"/>
      <c r="E1868" s="198">
        <v>0</v>
      </c>
      <c r="F1868" s="197" t="s">
        <v>227</v>
      </c>
      <c r="G1868" s="199" t="s">
        <v>720</v>
      </c>
      <c r="H1868" s="200"/>
      <c r="I1868" s="200"/>
      <c r="J1868" s="200"/>
      <c r="K1868" s="199"/>
      <c r="L1868" s="200"/>
      <c r="M1868" s="200"/>
      <c r="N1868" s="197"/>
    </row>
    <row r="1869" spans="1:14">
      <c r="A1869" s="262"/>
      <c r="B1869" s="262"/>
      <c r="C1869" s="197">
        <v>7</v>
      </c>
      <c r="D1869" s="261">
        <v>2</v>
      </c>
      <c r="E1869" s="198">
        <v>0</v>
      </c>
      <c r="F1869" s="197" t="s">
        <v>227</v>
      </c>
      <c r="G1869" s="199" t="s">
        <v>238</v>
      </c>
      <c r="H1869" s="200">
        <v>0.53</v>
      </c>
      <c r="I1869" s="200">
        <v>0.94</v>
      </c>
      <c r="J1869" s="200">
        <v>0.5</v>
      </c>
      <c r="K1869" s="199" t="s">
        <v>671</v>
      </c>
      <c r="L1869" s="200"/>
      <c r="M1869" s="200"/>
      <c r="N1869" s="197"/>
    </row>
    <row r="1870" spans="1:14">
      <c r="A1870" s="262"/>
      <c r="B1870" s="262"/>
      <c r="C1870" s="197">
        <v>8</v>
      </c>
      <c r="D1870" s="262"/>
      <c r="E1870" s="198">
        <v>516.52429099999995</v>
      </c>
      <c r="F1870" s="197"/>
      <c r="G1870" s="199" t="s">
        <v>1663</v>
      </c>
      <c r="H1870" s="200"/>
      <c r="I1870" s="200"/>
      <c r="J1870" s="200"/>
      <c r="K1870" s="199"/>
      <c r="L1870" s="200"/>
      <c r="M1870" s="200"/>
      <c r="N1870" s="197"/>
    </row>
    <row r="1871" spans="1:14">
      <c r="A1871" s="262"/>
      <c r="B1871" s="262"/>
      <c r="C1871" s="197">
        <v>9</v>
      </c>
      <c r="D1871" s="262"/>
      <c r="E1871" s="198">
        <v>524.37573199999997</v>
      </c>
      <c r="F1871" s="197"/>
      <c r="G1871" s="199" t="s">
        <v>1664</v>
      </c>
      <c r="H1871" s="200"/>
      <c r="I1871" s="200"/>
      <c r="J1871" s="200"/>
      <c r="K1871" s="199"/>
      <c r="L1871" s="200"/>
      <c r="M1871" s="200"/>
      <c r="N1871" s="197"/>
    </row>
    <row r="1872" spans="1:14">
      <c r="A1872" s="262"/>
      <c r="B1872" s="262"/>
      <c r="C1872" s="197">
        <v>10</v>
      </c>
      <c r="D1872" s="262"/>
      <c r="E1872" s="198">
        <v>551.84098800000004</v>
      </c>
      <c r="F1872" s="197"/>
      <c r="G1872" s="199" t="s">
        <v>1665</v>
      </c>
      <c r="H1872" s="200"/>
      <c r="I1872" s="200"/>
      <c r="J1872" s="200"/>
      <c r="K1872" s="199"/>
      <c r="L1872" s="200"/>
      <c r="M1872" s="200"/>
      <c r="N1872" s="197"/>
    </row>
    <row r="1873" spans="1:14">
      <c r="A1873" s="262"/>
      <c r="B1873" s="262"/>
      <c r="C1873" s="197">
        <v>11</v>
      </c>
      <c r="D1873" s="261">
        <v>3</v>
      </c>
      <c r="E1873" s="198">
        <v>546.98376399999995</v>
      </c>
      <c r="F1873" s="197" t="s">
        <v>227</v>
      </c>
      <c r="G1873" s="199" t="s">
        <v>1666</v>
      </c>
      <c r="H1873" s="200">
        <v>0.495</v>
      </c>
      <c r="I1873" s="200">
        <v>0.99</v>
      </c>
      <c r="J1873" s="200">
        <v>0.52</v>
      </c>
      <c r="K1873" s="199" t="s">
        <v>417</v>
      </c>
      <c r="L1873" s="200"/>
      <c r="M1873" s="200"/>
      <c r="N1873" s="197"/>
    </row>
    <row r="1874" spans="1:14">
      <c r="A1874" s="262"/>
      <c r="B1874" s="262"/>
      <c r="C1874" s="197">
        <v>12</v>
      </c>
      <c r="D1874" s="262"/>
      <c r="E1874" s="198">
        <v>418.08765399999999</v>
      </c>
      <c r="F1874" s="197"/>
      <c r="G1874" s="199" t="s">
        <v>1667</v>
      </c>
      <c r="H1874" s="200"/>
      <c r="I1874" s="200"/>
      <c r="J1874" s="200"/>
      <c r="K1874" s="199"/>
      <c r="L1874" s="200"/>
      <c r="M1874" s="200"/>
      <c r="N1874" s="197"/>
    </row>
    <row r="1875" spans="1:14">
      <c r="A1875" s="262"/>
      <c r="B1875" s="262"/>
      <c r="C1875" s="197">
        <v>13</v>
      </c>
      <c r="D1875" s="262"/>
      <c r="E1875" s="198">
        <v>421.72602499999999</v>
      </c>
      <c r="F1875" s="197"/>
      <c r="G1875" s="199" t="s">
        <v>1668</v>
      </c>
      <c r="H1875" s="200"/>
      <c r="I1875" s="200"/>
      <c r="J1875" s="200"/>
      <c r="K1875" s="199"/>
      <c r="L1875" s="200"/>
      <c r="M1875" s="200"/>
      <c r="N1875" s="197"/>
    </row>
    <row r="1876" spans="1:14">
      <c r="A1876" s="262"/>
      <c r="B1876" s="262"/>
      <c r="C1876" s="197">
        <v>14</v>
      </c>
      <c r="D1876" s="261">
        <v>4</v>
      </c>
      <c r="E1876" s="198">
        <v>423.26595300000002</v>
      </c>
      <c r="F1876" s="197" t="s">
        <v>227</v>
      </c>
      <c r="G1876" s="199" t="s">
        <v>1669</v>
      </c>
      <c r="H1876" s="200">
        <v>0.52500000000000002</v>
      </c>
      <c r="I1876" s="200">
        <v>1.01</v>
      </c>
      <c r="J1876" s="200">
        <v>0.505</v>
      </c>
      <c r="K1876" s="199" t="s">
        <v>229</v>
      </c>
      <c r="L1876" s="200"/>
      <c r="M1876" s="200"/>
      <c r="N1876" s="197"/>
    </row>
    <row r="1877" spans="1:14">
      <c r="A1877" s="262"/>
      <c r="B1877" s="262"/>
      <c r="C1877" s="197">
        <v>15</v>
      </c>
      <c r="D1877" s="262"/>
      <c r="E1877" s="198">
        <v>424.240454</v>
      </c>
      <c r="F1877" s="197"/>
      <c r="G1877" s="199" t="s">
        <v>1670</v>
      </c>
      <c r="H1877" s="200"/>
      <c r="I1877" s="200"/>
      <c r="J1877" s="200"/>
      <c r="K1877" s="199"/>
      <c r="L1877" s="200"/>
      <c r="M1877" s="200"/>
      <c r="N1877" s="197"/>
    </row>
    <row r="1878" spans="1:14">
      <c r="A1878" s="262"/>
      <c r="B1878" s="262"/>
      <c r="C1878" s="197">
        <v>16</v>
      </c>
      <c r="D1878" s="262"/>
      <c r="E1878" s="198">
        <v>0</v>
      </c>
      <c r="F1878" s="197" t="s">
        <v>227</v>
      </c>
      <c r="G1878" s="199" t="s">
        <v>247</v>
      </c>
      <c r="H1878" s="200"/>
      <c r="I1878" s="200"/>
      <c r="J1878" s="200"/>
      <c r="K1878" s="199"/>
      <c r="L1878" s="200"/>
      <c r="M1878" s="200"/>
      <c r="N1878" s="197"/>
    </row>
    <row r="1879" spans="1:14">
      <c r="A1879" s="262"/>
      <c r="B1879" s="262"/>
      <c r="C1879" s="197">
        <v>17</v>
      </c>
      <c r="D1879" s="262"/>
      <c r="E1879" s="198">
        <v>0</v>
      </c>
      <c r="F1879" s="197" t="s">
        <v>227</v>
      </c>
      <c r="G1879" s="199" t="s">
        <v>248</v>
      </c>
      <c r="H1879" s="200"/>
      <c r="I1879" s="200"/>
      <c r="J1879" s="200"/>
      <c r="K1879" s="199"/>
      <c r="L1879" s="200"/>
      <c r="M1879" s="200"/>
      <c r="N1879" s="197"/>
    </row>
    <row r="1880" spans="1:14">
      <c r="A1880" s="262"/>
      <c r="B1880" s="262"/>
      <c r="C1880" s="197">
        <v>18</v>
      </c>
      <c r="D1880" s="262"/>
      <c r="E1880" s="198">
        <v>407.70053799999999</v>
      </c>
      <c r="F1880" s="197"/>
      <c r="G1880" s="199" t="s">
        <v>1671</v>
      </c>
      <c r="H1880" s="200"/>
      <c r="I1880" s="200"/>
      <c r="J1880" s="200"/>
      <c r="K1880" s="199"/>
      <c r="L1880" s="200"/>
      <c r="M1880" s="200"/>
      <c r="N1880" s="197"/>
    </row>
    <row r="1881" spans="1:14">
      <c r="A1881" s="262"/>
      <c r="B1881" s="262"/>
      <c r="C1881" s="197">
        <v>19</v>
      </c>
      <c r="D1881" s="262"/>
      <c r="E1881" s="198">
        <v>408.24311899999998</v>
      </c>
      <c r="F1881" s="197"/>
      <c r="G1881" s="199" t="s">
        <v>1672</v>
      </c>
      <c r="H1881" s="200"/>
      <c r="I1881" s="200"/>
      <c r="J1881" s="200"/>
      <c r="K1881" s="199"/>
      <c r="L1881" s="200"/>
      <c r="M1881" s="200"/>
      <c r="N1881" s="197"/>
    </row>
    <row r="1882" spans="1:14">
      <c r="A1882" s="262"/>
      <c r="B1882" s="262"/>
      <c r="C1882" s="197">
        <v>20</v>
      </c>
      <c r="D1882" s="262"/>
      <c r="E1882" s="198">
        <v>412.50233200000002</v>
      </c>
      <c r="F1882" s="197"/>
      <c r="G1882" s="199" t="s">
        <v>1673</v>
      </c>
      <c r="H1882" s="200"/>
      <c r="I1882" s="200"/>
      <c r="J1882" s="200"/>
      <c r="K1882" s="199"/>
      <c r="L1882" s="200"/>
      <c r="M1882" s="200"/>
      <c r="N1882" s="197"/>
    </row>
    <row r="1883" spans="1:14">
      <c r="A1883" s="262"/>
      <c r="B1883" s="262"/>
      <c r="C1883" s="197">
        <v>21</v>
      </c>
      <c r="D1883" s="262"/>
      <c r="E1883" s="198">
        <v>397.856786</v>
      </c>
      <c r="F1883" s="197"/>
      <c r="G1883" s="199" t="s">
        <v>1674</v>
      </c>
      <c r="H1883" s="200"/>
      <c r="I1883" s="200"/>
      <c r="J1883" s="200"/>
      <c r="K1883" s="199"/>
      <c r="L1883" s="200"/>
      <c r="M1883" s="200"/>
      <c r="N1883" s="197"/>
    </row>
    <row r="1884" spans="1:14">
      <c r="A1884" s="262"/>
      <c r="B1884" s="262"/>
      <c r="C1884" s="197">
        <v>22</v>
      </c>
      <c r="D1884" s="262"/>
      <c r="E1884" s="198">
        <v>395.15814899999998</v>
      </c>
      <c r="F1884" s="197"/>
      <c r="G1884" s="199" t="s">
        <v>1675</v>
      </c>
      <c r="H1884" s="200"/>
      <c r="I1884" s="200"/>
      <c r="J1884" s="200"/>
      <c r="K1884" s="199"/>
      <c r="L1884" s="200"/>
      <c r="M1884" s="200"/>
      <c r="N1884" s="197"/>
    </row>
    <row r="1885" spans="1:14">
      <c r="A1885" s="262"/>
      <c r="B1885" s="262"/>
      <c r="C1885" s="197">
        <v>23</v>
      </c>
      <c r="D1885" s="262"/>
      <c r="E1885" s="198">
        <v>0</v>
      </c>
      <c r="F1885" s="197" t="s">
        <v>227</v>
      </c>
      <c r="G1885" s="199" t="s">
        <v>687</v>
      </c>
      <c r="H1885" s="200"/>
      <c r="I1885" s="200"/>
      <c r="J1885" s="200"/>
      <c r="K1885" s="199"/>
      <c r="L1885" s="200"/>
      <c r="M1885" s="200"/>
      <c r="N1885" s="197"/>
    </row>
    <row r="1886" spans="1:14">
      <c r="A1886" s="262"/>
      <c r="B1886" s="262"/>
      <c r="C1886" s="197">
        <v>24</v>
      </c>
      <c r="D1886" s="261">
        <v>5</v>
      </c>
      <c r="E1886" s="198">
        <v>424.90575799999999</v>
      </c>
      <c r="F1886" s="197"/>
      <c r="G1886" s="199" t="s">
        <v>1676</v>
      </c>
      <c r="H1886" s="200">
        <v>0.51</v>
      </c>
      <c r="I1886" s="200">
        <v>0.99</v>
      </c>
      <c r="J1886" s="200">
        <v>0.505</v>
      </c>
      <c r="K1886" s="199" t="s">
        <v>229</v>
      </c>
      <c r="L1886" s="200"/>
      <c r="M1886" s="200"/>
      <c r="N1886" s="197"/>
    </row>
    <row r="1887" spans="1:14">
      <c r="A1887" s="262"/>
      <c r="B1887" s="262"/>
      <c r="C1887" s="197">
        <v>25</v>
      </c>
      <c r="D1887" s="262"/>
      <c r="E1887" s="198">
        <v>428.63451800000001</v>
      </c>
      <c r="F1887" s="197"/>
      <c r="G1887" s="199" t="s">
        <v>1677</v>
      </c>
      <c r="H1887" s="200"/>
      <c r="I1887" s="200"/>
      <c r="J1887" s="200"/>
      <c r="K1887" s="199"/>
      <c r="L1887" s="200"/>
      <c r="M1887" s="200"/>
      <c r="N1887" s="197"/>
    </row>
    <row r="1888" spans="1:14">
      <c r="A1888" s="262"/>
      <c r="B1888" s="262"/>
      <c r="C1888" s="197">
        <v>26</v>
      </c>
      <c r="D1888" s="261">
        <v>6</v>
      </c>
      <c r="E1888" s="198">
        <v>419.63727999999998</v>
      </c>
      <c r="F1888" s="197" t="s">
        <v>227</v>
      </c>
      <c r="G1888" s="199" t="s">
        <v>1678</v>
      </c>
      <c r="H1888" s="200">
        <v>0.48</v>
      </c>
      <c r="I1888" s="200">
        <v>0.92</v>
      </c>
      <c r="J1888" s="200">
        <v>0.54</v>
      </c>
      <c r="K1888" s="199" t="s">
        <v>417</v>
      </c>
      <c r="L1888" s="200"/>
      <c r="M1888" s="200"/>
      <c r="N1888" s="197"/>
    </row>
    <row r="1889" spans="1:14">
      <c r="A1889" s="262"/>
      <c r="B1889" s="262"/>
      <c r="C1889" s="197">
        <v>27</v>
      </c>
      <c r="D1889" s="262"/>
      <c r="E1889" s="198">
        <v>383.87460399999998</v>
      </c>
      <c r="F1889" s="197"/>
      <c r="G1889" s="199" t="s">
        <v>1679</v>
      </c>
      <c r="H1889" s="200"/>
      <c r="I1889" s="200"/>
      <c r="J1889" s="200"/>
      <c r="K1889" s="199"/>
      <c r="L1889" s="200"/>
      <c r="M1889" s="200"/>
      <c r="N1889" s="197"/>
    </row>
    <row r="1890" spans="1:14">
      <c r="A1890" s="262"/>
      <c r="B1890" s="262"/>
      <c r="C1890" s="197">
        <v>28</v>
      </c>
      <c r="D1890" s="262"/>
      <c r="E1890" s="198">
        <v>378.62128000000001</v>
      </c>
      <c r="F1890" s="197"/>
      <c r="G1890" s="199" t="s">
        <v>1680</v>
      </c>
      <c r="H1890" s="200"/>
      <c r="I1890" s="200"/>
      <c r="J1890" s="200"/>
      <c r="K1890" s="199"/>
      <c r="L1890" s="200"/>
      <c r="M1890" s="200"/>
      <c r="N1890" s="197"/>
    </row>
    <row r="1891" spans="1:14">
      <c r="A1891" s="262"/>
      <c r="B1891" s="262"/>
      <c r="C1891" s="197">
        <v>29</v>
      </c>
      <c r="D1891" s="262"/>
      <c r="E1891" s="198">
        <v>375.89485999999999</v>
      </c>
      <c r="F1891" s="197"/>
      <c r="G1891" s="199" t="s">
        <v>1681</v>
      </c>
      <c r="H1891" s="200"/>
      <c r="I1891" s="200"/>
      <c r="J1891" s="200"/>
      <c r="K1891" s="199"/>
      <c r="L1891" s="200"/>
      <c r="M1891" s="200"/>
      <c r="N1891" s="197"/>
    </row>
    <row r="1892" spans="1:14">
      <c r="A1892" s="262"/>
      <c r="B1892" s="262"/>
      <c r="C1892" s="197">
        <v>30</v>
      </c>
      <c r="D1892" s="261">
        <v>7</v>
      </c>
      <c r="E1892" s="198">
        <v>0</v>
      </c>
      <c r="F1892" s="197" t="s">
        <v>227</v>
      </c>
      <c r="G1892" s="199" t="s">
        <v>1539</v>
      </c>
      <c r="H1892" s="200">
        <v>0.5</v>
      </c>
      <c r="I1892" s="200">
        <v>0.95499999999999996</v>
      </c>
      <c r="J1892" s="200">
        <v>0.54500000000000004</v>
      </c>
      <c r="K1892" s="199" t="s">
        <v>229</v>
      </c>
      <c r="L1892" s="200"/>
      <c r="M1892" s="200"/>
      <c r="N1892" s="197"/>
    </row>
    <row r="1893" spans="1:14">
      <c r="A1893" s="262"/>
      <c r="B1893" s="262"/>
      <c r="C1893" s="197">
        <v>31</v>
      </c>
      <c r="D1893" s="262"/>
      <c r="E1893" s="198">
        <v>287.09982500000001</v>
      </c>
      <c r="F1893" s="197"/>
      <c r="G1893" s="199" t="s">
        <v>1682</v>
      </c>
      <c r="H1893" s="200"/>
      <c r="I1893" s="200"/>
      <c r="J1893" s="200"/>
      <c r="K1893" s="199"/>
      <c r="L1893" s="200"/>
      <c r="M1893" s="200"/>
      <c r="N1893" s="197"/>
    </row>
    <row r="1894" spans="1:14">
      <c r="A1894" s="262"/>
      <c r="B1894" s="262"/>
      <c r="C1894" s="197">
        <v>32</v>
      </c>
      <c r="D1894" s="262"/>
      <c r="E1894" s="198">
        <v>279.63661200000001</v>
      </c>
      <c r="F1894" s="197"/>
      <c r="G1894" s="199" t="s">
        <v>1683</v>
      </c>
      <c r="H1894" s="200"/>
      <c r="I1894" s="200"/>
      <c r="J1894" s="200"/>
      <c r="K1894" s="199"/>
      <c r="L1894" s="200"/>
      <c r="M1894" s="200"/>
      <c r="N1894" s="197"/>
    </row>
    <row r="1895" spans="1:14">
      <c r="A1895" s="262"/>
      <c r="B1895" s="262"/>
      <c r="C1895" s="197">
        <v>33</v>
      </c>
      <c r="D1895" s="261">
        <v>8</v>
      </c>
      <c r="E1895" s="198">
        <v>285.755202</v>
      </c>
      <c r="F1895" s="197" t="s">
        <v>227</v>
      </c>
      <c r="G1895" s="199" t="s">
        <v>1684</v>
      </c>
      <c r="H1895" s="200">
        <v>0.45</v>
      </c>
      <c r="I1895" s="200">
        <v>0.97499999999999998</v>
      </c>
      <c r="J1895" s="200">
        <v>0.52</v>
      </c>
      <c r="K1895" s="199" t="s">
        <v>229</v>
      </c>
      <c r="L1895" s="200"/>
      <c r="M1895" s="200"/>
      <c r="N1895" s="197"/>
    </row>
    <row r="1896" spans="1:14">
      <c r="A1896" s="262"/>
      <c r="B1896" s="262"/>
      <c r="C1896" s="197">
        <v>34</v>
      </c>
      <c r="D1896" s="262"/>
      <c r="E1896" s="198">
        <v>284.03302200000002</v>
      </c>
      <c r="F1896" s="197"/>
      <c r="G1896" s="199" t="s">
        <v>1685</v>
      </c>
      <c r="H1896" s="200"/>
      <c r="I1896" s="200"/>
      <c r="J1896" s="200"/>
      <c r="K1896" s="199"/>
      <c r="L1896" s="200"/>
      <c r="M1896" s="200"/>
      <c r="N1896" s="197"/>
    </row>
    <row r="1897" spans="1:14">
      <c r="A1897" s="262"/>
      <c r="B1897" s="262"/>
      <c r="C1897" s="197">
        <v>35</v>
      </c>
      <c r="D1897" s="262"/>
      <c r="E1897" s="198">
        <v>280.98273399999999</v>
      </c>
      <c r="F1897" s="197"/>
      <c r="G1897" s="199" t="s">
        <v>1686</v>
      </c>
      <c r="H1897" s="200"/>
      <c r="I1897" s="200"/>
      <c r="J1897" s="200"/>
      <c r="K1897" s="199"/>
      <c r="L1897" s="200"/>
      <c r="M1897" s="200"/>
      <c r="N1897" s="197"/>
    </row>
    <row r="1898" spans="1:14">
      <c r="A1898" s="262"/>
      <c r="B1898" s="262"/>
      <c r="C1898" s="197">
        <v>36</v>
      </c>
      <c r="D1898" s="262"/>
      <c r="E1898" s="198">
        <v>265.66265900000002</v>
      </c>
      <c r="F1898" s="197"/>
      <c r="G1898" s="199" t="s">
        <v>1687</v>
      </c>
      <c r="H1898" s="200"/>
      <c r="I1898" s="200"/>
      <c r="J1898" s="200"/>
      <c r="K1898" s="199"/>
      <c r="L1898" s="200"/>
      <c r="M1898" s="200"/>
      <c r="N1898" s="197"/>
    </row>
    <row r="1899" spans="1:14">
      <c r="A1899" s="262"/>
      <c r="B1899" s="262"/>
      <c r="C1899" s="197">
        <v>37</v>
      </c>
      <c r="D1899" s="262"/>
      <c r="E1899" s="198">
        <v>277.29317200000003</v>
      </c>
      <c r="F1899" s="197"/>
      <c r="G1899" s="199" t="s">
        <v>1688</v>
      </c>
      <c r="H1899" s="200"/>
      <c r="I1899" s="200"/>
      <c r="J1899" s="200"/>
      <c r="K1899" s="199"/>
      <c r="L1899" s="200"/>
      <c r="M1899" s="200"/>
      <c r="N1899" s="197"/>
    </row>
    <row r="1900" spans="1:14">
      <c r="A1900" s="262"/>
      <c r="B1900" s="262"/>
      <c r="C1900" s="197">
        <v>38</v>
      </c>
      <c r="D1900" s="262"/>
      <c r="E1900" s="198">
        <v>273.57322900000003</v>
      </c>
      <c r="F1900" s="197"/>
      <c r="G1900" s="199" t="s">
        <v>1689</v>
      </c>
      <c r="H1900" s="200"/>
      <c r="I1900" s="200"/>
      <c r="J1900" s="200"/>
      <c r="K1900" s="199"/>
      <c r="L1900" s="200"/>
      <c r="M1900" s="200"/>
      <c r="N1900" s="197"/>
    </row>
    <row r="1901" spans="1:14">
      <c r="A1901" s="262"/>
      <c r="B1901" s="262"/>
      <c r="C1901" s="197">
        <v>39</v>
      </c>
      <c r="D1901" s="262"/>
      <c r="E1901" s="198">
        <v>276.86908499999998</v>
      </c>
      <c r="F1901" s="197"/>
      <c r="G1901" s="199" t="s">
        <v>1690</v>
      </c>
      <c r="H1901" s="200"/>
      <c r="I1901" s="200"/>
      <c r="J1901" s="200"/>
      <c r="K1901" s="199"/>
      <c r="L1901" s="200"/>
      <c r="M1901" s="200"/>
      <c r="N1901" s="197"/>
    </row>
    <row r="1902" spans="1:14">
      <c r="A1902" s="262"/>
      <c r="B1902" s="262"/>
      <c r="C1902" s="197">
        <v>40</v>
      </c>
      <c r="D1902" s="262"/>
      <c r="E1902" s="198">
        <v>0</v>
      </c>
      <c r="F1902" s="197" t="s">
        <v>227</v>
      </c>
      <c r="G1902" s="199" t="s">
        <v>271</v>
      </c>
      <c r="H1902" s="200"/>
      <c r="I1902" s="200"/>
      <c r="J1902" s="200"/>
      <c r="K1902" s="199"/>
      <c r="L1902" s="200"/>
      <c r="M1902" s="200"/>
      <c r="N1902" s="197"/>
    </row>
    <row r="1903" spans="1:14">
      <c r="A1903" s="262"/>
      <c r="B1903" s="262"/>
      <c r="C1903" s="197">
        <v>41</v>
      </c>
      <c r="D1903" s="261">
        <v>9</v>
      </c>
      <c r="E1903" s="198">
        <v>0</v>
      </c>
      <c r="F1903" s="197" t="s">
        <v>227</v>
      </c>
      <c r="G1903" s="199" t="s">
        <v>272</v>
      </c>
      <c r="H1903" s="200">
        <v>0.5</v>
      </c>
      <c r="I1903" s="200">
        <v>1.0349999999999999</v>
      </c>
      <c r="J1903" s="200">
        <v>0.45500000000000002</v>
      </c>
      <c r="K1903" s="199" t="s">
        <v>417</v>
      </c>
      <c r="L1903" s="200"/>
      <c r="M1903" s="200"/>
      <c r="N1903" s="197"/>
    </row>
    <row r="1904" spans="1:14">
      <c r="A1904" s="262"/>
      <c r="B1904" s="262"/>
      <c r="C1904" s="197">
        <v>42</v>
      </c>
      <c r="D1904" s="262"/>
      <c r="E1904" s="198">
        <v>379.19174199999998</v>
      </c>
      <c r="F1904" s="197"/>
      <c r="G1904" s="199" t="s">
        <v>1691</v>
      </c>
      <c r="H1904" s="200"/>
      <c r="I1904" s="200"/>
      <c r="J1904" s="200"/>
      <c r="K1904" s="199"/>
      <c r="L1904" s="200"/>
      <c r="M1904" s="200"/>
      <c r="N1904" s="197"/>
    </row>
    <row r="1905" spans="1:14">
      <c r="A1905" s="262"/>
      <c r="B1905" s="262"/>
      <c r="C1905" s="197">
        <v>43</v>
      </c>
      <c r="D1905" s="262"/>
      <c r="E1905" s="198">
        <v>381.720978</v>
      </c>
      <c r="F1905" s="197"/>
      <c r="G1905" s="199" t="s">
        <v>1692</v>
      </c>
      <c r="H1905" s="200"/>
      <c r="I1905" s="200"/>
      <c r="J1905" s="200"/>
      <c r="K1905" s="199"/>
      <c r="L1905" s="200"/>
      <c r="M1905" s="200"/>
      <c r="N1905" s="197"/>
    </row>
    <row r="1906" spans="1:14">
      <c r="A1906" s="262"/>
      <c r="B1906" s="262"/>
      <c r="C1906" s="197">
        <v>44</v>
      </c>
      <c r="D1906" s="262"/>
      <c r="E1906" s="198">
        <v>382.70588299999997</v>
      </c>
      <c r="F1906" s="197"/>
      <c r="G1906" s="199" t="s">
        <v>1693</v>
      </c>
      <c r="H1906" s="200"/>
      <c r="I1906" s="200"/>
      <c r="J1906" s="200"/>
      <c r="K1906" s="199"/>
      <c r="L1906" s="200"/>
      <c r="M1906" s="200"/>
      <c r="N1906" s="197"/>
    </row>
    <row r="1907" spans="1:14">
      <c r="A1907" s="262"/>
      <c r="B1907" s="262"/>
      <c r="C1907" s="197">
        <v>45</v>
      </c>
      <c r="D1907" s="261">
        <v>10</v>
      </c>
      <c r="E1907" s="198">
        <v>0</v>
      </c>
      <c r="F1907" s="197" t="s">
        <v>227</v>
      </c>
      <c r="G1907" s="199" t="s">
        <v>646</v>
      </c>
      <c r="H1907" s="200">
        <v>0.505</v>
      </c>
      <c r="I1907" s="200">
        <v>0.92500000000000004</v>
      </c>
      <c r="J1907" s="200">
        <v>0.55000000000000004</v>
      </c>
      <c r="K1907" s="199" t="s">
        <v>229</v>
      </c>
      <c r="L1907" s="200"/>
      <c r="M1907" s="200"/>
      <c r="N1907" s="197"/>
    </row>
    <row r="1908" spans="1:14">
      <c r="A1908" s="262"/>
      <c r="B1908" s="262"/>
      <c r="C1908" s="197">
        <v>46</v>
      </c>
      <c r="D1908" s="262"/>
      <c r="E1908" s="198">
        <v>286.121104</v>
      </c>
      <c r="F1908" s="197"/>
      <c r="G1908" s="199" t="s">
        <v>1694</v>
      </c>
      <c r="H1908" s="200"/>
      <c r="I1908" s="200"/>
      <c r="J1908" s="200"/>
      <c r="K1908" s="199"/>
      <c r="L1908" s="200"/>
      <c r="M1908" s="200"/>
      <c r="N1908" s="197"/>
    </row>
    <row r="1909" spans="1:14">
      <c r="A1909" s="262"/>
      <c r="B1909" s="262"/>
      <c r="C1909" s="197">
        <v>47</v>
      </c>
      <c r="D1909" s="262"/>
      <c r="E1909" s="198">
        <v>284.53589799999997</v>
      </c>
      <c r="F1909" s="197"/>
      <c r="G1909" s="199" t="s">
        <v>1695</v>
      </c>
      <c r="H1909" s="200"/>
      <c r="I1909" s="200"/>
      <c r="J1909" s="200"/>
      <c r="K1909" s="199"/>
      <c r="L1909" s="200"/>
      <c r="M1909" s="200"/>
      <c r="N1909" s="197"/>
    </row>
    <row r="1910" spans="1:14">
      <c r="A1910" s="262"/>
      <c r="B1910" s="262"/>
      <c r="C1910" s="197">
        <v>48</v>
      </c>
      <c r="D1910" s="261">
        <v>11</v>
      </c>
      <c r="E1910" s="198">
        <v>0</v>
      </c>
      <c r="F1910" s="197" t="s">
        <v>227</v>
      </c>
      <c r="G1910" s="199" t="s">
        <v>1696</v>
      </c>
      <c r="H1910" s="200">
        <v>0.68500000000000005</v>
      </c>
      <c r="I1910" s="200">
        <v>0.97499999999999998</v>
      </c>
      <c r="J1910" s="200">
        <v>0.53500000000000003</v>
      </c>
      <c r="K1910" s="199" t="s">
        <v>408</v>
      </c>
      <c r="L1910" s="200"/>
      <c r="M1910" s="200"/>
      <c r="N1910" s="197"/>
    </row>
    <row r="1911" spans="1:14">
      <c r="A1911" s="262"/>
      <c r="B1911" s="262"/>
      <c r="C1911" s="197">
        <v>49</v>
      </c>
      <c r="D1911" s="262"/>
      <c r="E1911" s="198">
        <v>557.65568299999995</v>
      </c>
      <c r="F1911" s="197"/>
      <c r="G1911" s="199" t="s">
        <v>1697</v>
      </c>
      <c r="H1911" s="200"/>
      <c r="I1911" s="200"/>
      <c r="J1911" s="200"/>
      <c r="K1911" s="199"/>
      <c r="L1911" s="200"/>
      <c r="M1911" s="200"/>
      <c r="N1911" s="197"/>
    </row>
    <row r="1912" spans="1:14">
      <c r="A1912" s="262"/>
      <c r="B1912" s="262"/>
      <c r="C1912" s="197">
        <v>50</v>
      </c>
      <c r="D1912" s="262"/>
      <c r="E1912" s="198">
        <v>562.18384800000001</v>
      </c>
      <c r="F1912" s="197"/>
      <c r="G1912" s="199" t="s">
        <v>1698</v>
      </c>
      <c r="H1912" s="200"/>
      <c r="I1912" s="200"/>
      <c r="J1912" s="200"/>
      <c r="K1912" s="199"/>
      <c r="L1912" s="200"/>
      <c r="M1912" s="200"/>
      <c r="N1912" s="197"/>
    </row>
    <row r="1913" spans="1:14">
      <c r="A1913" s="262"/>
      <c r="B1913" s="262"/>
      <c r="C1913" s="197">
        <v>51</v>
      </c>
      <c r="D1913" s="262"/>
      <c r="E1913" s="198">
        <v>544.88378899999998</v>
      </c>
      <c r="F1913" s="197"/>
      <c r="G1913" s="199" t="s">
        <v>1699</v>
      </c>
      <c r="H1913" s="200"/>
      <c r="I1913" s="200"/>
      <c r="J1913" s="200"/>
      <c r="K1913" s="199"/>
      <c r="L1913" s="200"/>
      <c r="M1913" s="200"/>
      <c r="N1913" s="197"/>
    </row>
    <row r="1914" spans="1:14">
      <c r="A1914" s="262"/>
      <c r="B1914" s="262"/>
      <c r="C1914" s="197">
        <v>52</v>
      </c>
      <c r="D1914" s="261">
        <v>12</v>
      </c>
      <c r="E1914" s="198">
        <v>392.85497700000002</v>
      </c>
      <c r="F1914" s="197" t="s">
        <v>227</v>
      </c>
      <c r="G1914" s="199" t="s">
        <v>1700</v>
      </c>
      <c r="H1914" s="200">
        <v>0.52</v>
      </c>
      <c r="I1914" s="200">
        <v>1</v>
      </c>
      <c r="J1914" s="200">
        <v>0.51</v>
      </c>
      <c r="K1914" s="199" t="s">
        <v>417</v>
      </c>
      <c r="L1914" s="200"/>
      <c r="M1914" s="200"/>
      <c r="N1914" s="197"/>
    </row>
    <row r="1915" spans="1:14">
      <c r="A1915" s="262"/>
      <c r="B1915" s="262"/>
      <c r="C1915" s="197">
        <v>53</v>
      </c>
      <c r="D1915" s="262"/>
      <c r="E1915" s="198">
        <v>386.34155399999997</v>
      </c>
      <c r="F1915" s="197"/>
      <c r="G1915" s="199" t="s">
        <v>1701</v>
      </c>
      <c r="H1915" s="200"/>
      <c r="I1915" s="200"/>
      <c r="J1915" s="200"/>
      <c r="K1915" s="199"/>
      <c r="L1915" s="200"/>
      <c r="M1915" s="200"/>
      <c r="N1915" s="197"/>
    </row>
    <row r="1916" spans="1:14">
      <c r="A1916" s="262"/>
      <c r="B1916" s="262"/>
      <c r="C1916" s="197">
        <v>54</v>
      </c>
      <c r="D1916" s="262"/>
      <c r="E1916" s="198">
        <v>382.00254699999999</v>
      </c>
      <c r="F1916" s="197"/>
      <c r="G1916" s="199" t="s">
        <v>1702</v>
      </c>
      <c r="H1916" s="200"/>
      <c r="I1916" s="200"/>
      <c r="J1916" s="200"/>
      <c r="K1916" s="199"/>
      <c r="L1916" s="200"/>
      <c r="M1916" s="200"/>
      <c r="N1916" s="197"/>
    </row>
    <row r="1917" spans="1:14">
      <c r="A1917" s="262"/>
      <c r="B1917" s="262"/>
      <c r="C1917" s="197">
        <v>55</v>
      </c>
      <c r="D1917" s="262"/>
      <c r="E1917" s="198">
        <v>383.248222</v>
      </c>
      <c r="F1917" s="197"/>
      <c r="G1917" s="199" t="s">
        <v>1703</v>
      </c>
      <c r="H1917" s="200"/>
      <c r="I1917" s="200"/>
      <c r="J1917" s="200"/>
      <c r="K1917" s="199"/>
      <c r="L1917" s="200"/>
      <c r="M1917" s="200"/>
      <c r="N1917" s="197"/>
    </row>
    <row r="1918" spans="1:14">
      <c r="A1918" s="262"/>
      <c r="B1918" s="262"/>
      <c r="C1918" s="197">
        <v>56</v>
      </c>
      <c r="D1918" s="262"/>
      <c r="E1918" s="198">
        <v>383.849152</v>
      </c>
      <c r="F1918" s="197"/>
      <c r="G1918" s="199" t="s">
        <v>1704</v>
      </c>
      <c r="H1918" s="200"/>
      <c r="I1918" s="200"/>
      <c r="J1918" s="200"/>
      <c r="K1918" s="199"/>
      <c r="L1918" s="200"/>
      <c r="M1918" s="200"/>
      <c r="N1918" s="197"/>
    </row>
    <row r="1919" spans="1:14">
      <c r="A1919" s="262"/>
      <c r="B1919" s="262"/>
      <c r="C1919" s="197">
        <v>57</v>
      </c>
      <c r="D1919" s="262"/>
      <c r="E1919" s="198">
        <v>379.44549599999999</v>
      </c>
      <c r="F1919" s="197"/>
      <c r="G1919" s="199" t="s">
        <v>1705</v>
      </c>
      <c r="H1919" s="200"/>
      <c r="I1919" s="200"/>
      <c r="J1919" s="200"/>
      <c r="K1919" s="199"/>
      <c r="L1919" s="200"/>
      <c r="M1919" s="200"/>
      <c r="N1919" s="197"/>
    </row>
    <row r="1920" spans="1:14">
      <c r="A1920" s="262"/>
      <c r="B1920" s="262"/>
      <c r="C1920" s="197">
        <v>58</v>
      </c>
      <c r="D1920" s="262"/>
      <c r="E1920" s="198">
        <v>380.27502299999998</v>
      </c>
      <c r="F1920" s="197"/>
      <c r="G1920" s="199" t="s">
        <v>1706</v>
      </c>
      <c r="H1920" s="200"/>
      <c r="I1920" s="200"/>
      <c r="J1920" s="200"/>
      <c r="K1920" s="199"/>
      <c r="L1920" s="200"/>
      <c r="M1920" s="200"/>
      <c r="N1920" s="197"/>
    </row>
    <row r="1921" spans="1:14">
      <c r="A1921" s="262"/>
      <c r="B1921" s="262"/>
      <c r="C1921" s="197">
        <v>59</v>
      </c>
      <c r="D1921" s="262"/>
      <c r="E1921" s="198">
        <v>365.53534999999999</v>
      </c>
      <c r="F1921" s="197"/>
      <c r="G1921" s="199" t="s">
        <v>1707</v>
      </c>
      <c r="H1921" s="200"/>
      <c r="I1921" s="200"/>
      <c r="J1921" s="200"/>
      <c r="K1921" s="199"/>
      <c r="L1921" s="200"/>
      <c r="M1921" s="200"/>
      <c r="N1921" s="197"/>
    </row>
    <row r="1922" spans="1:14">
      <c r="A1922" s="262"/>
      <c r="B1922" s="262"/>
      <c r="C1922" s="197">
        <v>60</v>
      </c>
      <c r="D1922" s="262"/>
      <c r="E1922" s="198">
        <v>0</v>
      </c>
      <c r="F1922" s="197" t="s">
        <v>227</v>
      </c>
      <c r="G1922" s="199" t="s">
        <v>292</v>
      </c>
      <c r="H1922" s="200"/>
      <c r="I1922" s="200"/>
      <c r="J1922" s="200"/>
      <c r="K1922" s="199"/>
      <c r="L1922" s="200"/>
      <c r="M1922" s="200"/>
      <c r="N1922" s="197"/>
    </row>
    <row r="1923" spans="1:14">
      <c r="A1923" s="262"/>
      <c r="B1923" s="262"/>
      <c r="C1923" s="197">
        <v>61</v>
      </c>
      <c r="D1923" s="261">
        <v>13</v>
      </c>
      <c r="E1923" s="198">
        <v>414.95169900000002</v>
      </c>
      <c r="F1923" s="197"/>
      <c r="G1923" s="199" t="s">
        <v>1708</v>
      </c>
      <c r="H1923" s="200">
        <v>0.53</v>
      </c>
      <c r="I1923" s="200">
        <v>1.0349999999999999</v>
      </c>
      <c r="J1923" s="200">
        <v>0.46500000000000002</v>
      </c>
      <c r="K1923" s="199" t="s">
        <v>229</v>
      </c>
      <c r="L1923" s="200"/>
      <c r="M1923" s="200"/>
      <c r="N1923" s="197"/>
    </row>
    <row r="1924" spans="1:14">
      <c r="A1924" s="262"/>
      <c r="B1924" s="262"/>
      <c r="C1924" s="197">
        <v>62</v>
      </c>
      <c r="D1924" s="262"/>
      <c r="E1924" s="198">
        <v>422.330759</v>
      </c>
      <c r="F1924" s="197"/>
      <c r="G1924" s="199" t="s">
        <v>1709</v>
      </c>
      <c r="H1924" s="200"/>
      <c r="I1924" s="200"/>
      <c r="J1924" s="200"/>
      <c r="K1924" s="199"/>
      <c r="L1924" s="200"/>
      <c r="M1924" s="200"/>
      <c r="N1924" s="197"/>
    </row>
    <row r="1925" spans="1:14">
      <c r="A1925" s="262"/>
      <c r="B1925" s="262"/>
      <c r="C1925" s="197">
        <v>63</v>
      </c>
      <c r="D1925" s="262"/>
      <c r="E1925" s="198">
        <v>423.10510900000003</v>
      </c>
      <c r="F1925" s="197"/>
      <c r="G1925" s="199" t="s">
        <v>1710</v>
      </c>
      <c r="H1925" s="200"/>
      <c r="I1925" s="200"/>
      <c r="J1925" s="200"/>
      <c r="K1925" s="199"/>
      <c r="L1925" s="200"/>
      <c r="M1925" s="200"/>
      <c r="N1925" s="197"/>
    </row>
    <row r="1926" spans="1:14">
      <c r="A1926" s="262"/>
      <c r="B1926" s="262"/>
      <c r="C1926" s="197">
        <v>64</v>
      </c>
      <c r="D1926" s="261">
        <v>14</v>
      </c>
      <c r="E1926" s="198">
        <v>389.29364199999998</v>
      </c>
      <c r="F1926" s="197" t="s">
        <v>227</v>
      </c>
      <c r="G1926" s="199" t="s">
        <v>1711</v>
      </c>
      <c r="H1926" s="200">
        <v>0.52</v>
      </c>
      <c r="I1926" s="200">
        <v>0.95499999999999996</v>
      </c>
      <c r="J1926" s="200">
        <v>0.53</v>
      </c>
      <c r="K1926" s="199" t="s">
        <v>229</v>
      </c>
      <c r="L1926" s="200"/>
      <c r="M1926" s="200"/>
      <c r="N1926" s="197"/>
    </row>
    <row r="1927" spans="1:14">
      <c r="A1927" s="262"/>
      <c r="B1927" s="262"/>
      <c r="C1927" s="197">
        <v>65</v>
      </c>
      <c r="D1927" s="262"/>
      <c r="E1927" s="198">
        <v>382.92330900000002</v>
      </c>
      <c r="F1927" s="197"/>
      <c r="G1927" s="199" t="s">
        <v>1712</v>
      </c>
      <c r="H1927" s="200"/>
      <c r="I1927" s="200"/>
      <c r="J1927" s="200"/>
      <c r="K1927" s="199"/>
      <c r="L1927" s="200"/>
      <c r="M1927" s="200"/>
      <c r="N1927" s="197"/>
    </row>
    <row r="1928" spans="1:14">
      <c r="A1928" s="262"/>
      <c r="B1928" s="262"/>
      <c r="C1928" s="197">
        <v>66</v>
      </c>
      <c r="D1928" s="262"/>
      <c r="E1928" s="198">
        <v>380.320043</v>
      </c>
      <c r="F1928" s="197"/>
      <c r="G1928" s="199" t="s">
        <v>1713</v>
      </c>
      <c r="H1928" s="200"/>
      <c r="I1928" s="200"/>
      <c r="J1928" s="200"/>
      <c r="K1928" s="199"/>
      <c r="L1928" s="200"/>
      <c r="M1928" s="200"/>
      <c r="N1928" s="197"/>
    </row>
    <row r="1929" spans="1:14">
      <c r="A1929" s="262"/>
      <c r="B1929" s="262"/>
      <c r="C1929" s="197">
        <v>67</v>
      </c>
      <c r="D1929" s="261">
        <v>15</v>
      </c>
      <c r="E1929" s="198">
        <v>0</v>
      </c>
      <c r="F1929" s="197" t="s">
        <v>227</v>
      </c>
      <c r="G1929" s="199" t="s">
        <v>771</v>
      </c>
      <c r="H1929" s="200">
        <v>0.495</v>
      </c>
      <c r="I1929" s="200">
        <v>1.02</v>
      </c>
      <c r="J1929" s="200">
        <v>0.495</v>
      </c>
      <c r="K1929" s="199" t="s">
        <v>671</v>
      </c>
      <c r="L1929" s="200"/>
      <c r="M1929" s="200"/>
      <c r="N1929" s="197"/>
    </row>
    <row r="1930" spans="1:14">
      <c r="A1930" s="262"/>
      <c r="B1930" s="262"/>
      <c r="C1930" s="197">
        <v>68</v>
      </c>
      <c r="D1930" s="262"/>
      <c r="E1930" s="198">
        <v>359.26681500000001</v>
      </c>
      <c r="F1930" s="197" t="s">
        <v>281</v>
      </c>
      <c r="G1930" s="199" t="s">
        <v>1714</v>
      </c>
      <c r="H1930" s="200"/>
      <c r="I1930" s="200"/>
      <c r="J1930" s="200"/>
      <c r="K1930" s="199"/>
      <c r="L1930" s="200"/>
      <c r="M1930" s="200"/>
      <c r="N1930" s="197"/>
    </row>
    <row r="1931" spans="1:14">
      <c r="A1931" s="262"/>
      <c r="B1931" s="262"/>
      <c r="C1931" s="197">
        <v>69</v>
      </c>
      <c r="D1931" s="262"/>
      <c r="E1931" s="198">
        <v>288.752768</v>
      </c>
      <c r="F1931" s="197"/>
      <c r="G1931" s="199" t="s">
        <v>1715</v>
      </c>
      <c r="H1931" s="200"/>
      <c r="I1931" s="200"/>
      <c r="J1931" s="200"/>
      <c r="K1931" s="199"/>
      <c r="L1931" s="200"/>
      <c r="M1931" s="200"/>
      <c r="N1931" s="197"/>
    </row>
    <row r="1932" spans="1:14">
      <c r="A1932" s="262"/>
      <c r="B1932" s="262"/>
      <c r="C1932" s="197">
        <v>70</v>
      </c>
      <c r="D1932" s="262"/>
      <c r="E1932" s="198">
        <v>292.88872700000002</v>
      </c>
      <c r="F1932" s="197"/>
      <c r="G1932" s="199" t="s">
        <v>1716</v>
      </c>
      <c r="H1932" s="200"/>
      <c r="I1932" s="200"/>
      <c r="J1932" s="200"/>
      <c r="K1932" s="199"/>
      <c r="L1932" s="200"/>
      <c r="M1932" s="200"/>
      <c r="N1932" s="197"/>
    </row>
    <row r="1933" spans="1:14">
      <c r="A1933" s="262"/>
      <c r="B1933" s="262"/>
      <c r="C1933" s="197">
        <v>71</v>
      </c>
      <c r="D1933" s="261">
        <v>16</v>
      </c>
      <c r="E1933" s="198">
        <v>292.00060500000001</v>
      </c>
      <c r="F1933" s="197" t="s">
        <v>227</v>
      </c>
      <c r="G1933" s="199" t="s">
        <v>1717</v>
      </c>
      <c r="H1933" s="200">
        <v>0.69</v>
      </c>
      <c r="I1933" s="200">
        <v>1.0249999999999999</v>
      </c>
      <c r="J1933" s="200">
        <v>0.8</v>
      </c>
      <c r="K1933" s="199" t="s">
        <v>417</v>
      </c>
      <c r="L1933" s="200"/>
      <c r="M1933" s="200"/>
      <c r="N1933" s="197"/>
    </row>
    <row r="1934" spans="1:14">
      <c r="A1934" s="262"/>
      <c r="B1934" s="262"/>
      <c r="C1934" s="197">
        <v>72</v>
      </c>
      <c r="D1934" s="262"/>
      <c r="E1934" s="198">
        <v>279.113922</v>
      </c>
      <c r="F1934" s="197"/>
      <c r="G1934" s="199" t="s">
        <v>1718</v>
      </c>
      <c r="H1934" s="200"/>
      <c r="I1934" s="200"/>
      <c r="J1934" s="200"/>
      <c r="K1934" s="199"/>
      <c r="L1934" s="200"/>
      <c r="M1934" s="200"/>
      <c r="N1934" s="197"/>
    </row>
    <row r="1935" spans="1:14">
      <c r="A1935" s="262"/>
      <c r="B1935" s="262"/>
      <c r="C1935" s="197">
        <v>73</v>
      </c>
      <c r="D1935" s="262"/>
      <c r="E1935" s="198">
        <v>271.08273500000001</v>
      </c>
      <c r="F1935" s="197"/>
      <c r="G1935" s="199" t="s">
        <v>1719</v>
      </c>
      <c r="H1935" s="200"/>
      <c r="I1935" s="200"/>
      <c r="J1935" s="200"/>
      <c r="K1935" s="199"/>
      <c r="L1935" s="200"/>
      <c r="M1935" s="200"/>
      <c r="N1935" s="197"/>
    </row>
    <row r="1936" spans="1:14">
      <c r="A1936" s="262"/>
      <c r="B1936" s="262"/>
      <c r="C1936" s="197">
        <v>74</v>
      </c>
      <c r="D1936" s="262"/>
      <c r="E1936" s="198">
        <v>534.295974</v>
      </c>
      <c r="F1936" s="197" t="s">
        <v>281</v>
      </c>
      <c r="G1936" s="199" t="s">
        <v>1720</v>
      </c>
      <c r="H1936" s="200"/>
      <c r="I1936" s="200"/>
      <c r="J1936" s="200"/>
      <c r="K1936" s="199"/>
      <c r="L1936" s="200"/>
      <c r="M1936" s="200"/>
      <c r="N1936" s="197"/>
    </row>
    <row r="1937" spans="1:14">
      <c r="A1937" s="262"/>
      <c r="B1937" s="262"/>
      <c r="C1937" s="197">
        <v>75</v>
      </c>
      <c r="D1937" s="262"/>
      <c r="E1937" s="198">
        <v>537.039086</v>
      </c>
      <c r="F1937" s="197" t="s">
        <v>281</v>
      </c>
      <c r="G1937" s="199" t="s">
        <v>1721</v>
      </c>
      <c r="H1937" s="200"/>
      <c r="I1937" s="200"/>
      <c r="J1937" s="200"/>
      <c r="K1937" s="199"/>
      <c r="L1937" s="200"/>
      <c r="M1937" s="200"/>
      <c r="N1937" s="197"/>
    </row>
    <row r="1938" spans="1:14">
      <c r="A1938" s="262"/>
      <c r="B1938" s="262"/>
      <c r="C1938" s="197">
        <v>76</v>
      </c>
      <c r="D1938" s="262"/>
      <c r="E1938" s="198">
        <v>0</v>
      </c>
      <c r="F1938" s="197" t="s">
        <v>227</v>
      </c>
      <c r="G1938" s="199" t="s">
        <v>308</v>
      </c>
      <c r="H1938" s="200"/>
      <c r="I1938" s="200"/>
      <c r="J1938" s="200"/>
      <c r="K1938" s="199"/>
      <c r="L1938" s="200"/>
      <c r="M1938" s="200"/>
      <c r="N1938" s="197"/>
    </row>
    <row r="1939" spans="1:14">
      <c r="A1939" s="262"/>
      <c r="B1939" s="262"/>
      <c r="C1939" s="197">
        <v>77</v>
      </c>
      <c r="D1939" s="262"/>
      <c r="E1939" s="198">
        <v>0</v>
      </c>
      <c r="F1939" s="197" t="s">
        <v>227</v>
      </c>
      <c r="G1939" s="199" t="s">
        <v>309</v>
      </c>
      <c r="H1939" s="200"/>
      <c r="I1939" s="200"/>
      <c r="J1939" s="200"/>
      <c r="K1939" s="199"/>
      <c r="L1939" s="200"/>
      <c r="M1939" s="200"/>
      <c r="N1939" s="197"/>
    </row>
    <row r="1940" spans="1:14">
      <c r="A1940" s="262"/>
      <c r="B1940" s="262"/>
      <c r="C1940" s="197">
        <v>78</v>
      </c>
      <c r="D1940" s="262"/>
      <c r="E1940" s="198">
        <v>0</v>
      </c>
      <c r="F1940" s="197" t="s">
        <v>227</v>
      </c>
      <c r="G1940" s="199" t="s">
        <v>310</v>
      </c>
      <c r="H1940" s="200"/>
      <c r="I1940" s="200"/>
      <c r="J1940" s="200"/>
      <c r="K1940" s="199"/>
      <c r="L1940" s="200"/>
      <c r="M1940" s="200"/>
      <c r="N1940" s="197"/>
    </row>
    <row r="1941" spans="1:14">
      <c r="A1941" s="262"/>
      <c r="B1941" s="262"/>
      <c r="C1941" s="197">
        <v>79</v>
      </c>
      <c r="D1941" s="262"/>
      <c r="E1941" s="198">
        <v>0</v>
      </c>
      <c r="F1941" s="197" t="s">
        <v>227</v>
      </c>
      <c r="G1941" s="199" t="s">
        <v>311</v>
      </c>
      <c r="H1941" s="200"/>
      <c r="I1941" s="200"/>
      <c r="J1941" s="200"/>
      <c r="K1941" s="199"/>
      <c r="L1941" s="200"/>
      <c r="M1941" s="200"/>
      <c r="N1941" s="197"/>
    </row>
    <row r="1942" spans="1:14">
      <c r="A1942" s="261" t="s">
        <v>1722</v>
      </c>
      <c r="B1942" s="261">
        <v>8</v>
      </c>
      <c r="C1942" s="197">
        <v>1</v>
      </c>
      <c r="D1942" s="261">
        <v>1</v>
      </c>
      <c r="E1942" s="198">
        <v>0</v>
      </c>
      <c r="F1942" s="197" t="s">
        <v>227</v>
      </c>
      <c r="G1942" s="199" t="s">
        <v>228</v>
      </c>
      <c r="H1942" s="200">
        <v>0.5</v>
      </c>
      <c r="I1942" s="200">
        <v>1.01</v>
      </c>
      <c r="J1942" s="200">
        <v>0.5</v>
      </c>
      <c r="K1942" s="199" t="s">
        <v>229</v>
      </c>
      <c r="L1942" s="200">
        <v>2.8497532787944996E-2</v>
      </c>
      <c r="M1942" s="200"/>
      <c r="N1942" s="197"/>
    </row>
    <row r="1943" spans="1:14">
      <c r="A1943" s="262"/>
      <c r="B1943" s="262"/>
      <c r="C1943" s="197">
        <v>2</v>
      </c>
      <c r="D1943" s="262"/>
      <c r="E1943" s="198">
        <v>0</v>
      </c>
      <c r="F1943" s="197" t="s">
        <v>227</v>
      </c>
      <c r="G1943" s="199" t="s">
        <v>230</v>
      </c>
      <c r="H1943" s="200"/>
      <c r="I1943" s="200"/>
      <c r="J1943" s="200"/>
      <c r="K1943" s="199"/>
      <c r="L1943" s="200">
        <v>5.7377587087642519E-2</v>
      </c>
      <c r="M1943" s="200"/>
      <c r="N1943" s="197"/>
    </row>
    <row r="1944" spans="1:14">
      <c r="A1944" s="262"/>
      <c r="B1944" s="262"/>
      <c r="C1944" s="197">
        <v>3</v>
      </c>
      <c r="D1944" s="262"/>
      <c r="E1944" s="198">
        <v>0</v>
      </c>
      <c r="F1944" s="197" t="s">
        <v>227</v>
      </c>
      <c r="G1944" s="199" t="s">
        <v>324</v>
      </c>
      <c r="H1944" s="200"/>
      <c r="I1944" s="200"/>
      <c r="J1944" s="200"/>
      <c r="K1944" s="199"/>
      <c r="L1944" s="200">
        <v>5.1126948312509322E-2</v>
      </c>
      <c r="M1944" s="200"/>
      <c r="N1944" s="197"/>
    </row>
    <row r="1945" spans="1:14">
      <c r="A1945" s="262"/>
      <c r="B1945" s="262"/>
      <c r="C1945" s="197">
        <v>4</v>
      </c>
      <c r="D1945" s="262"/>
      <c r="E1945" s="198">
        <v>226.73521400000001</v>
      </c>
      <c r="F1945" s="197"/>
      <c r="G1945" s="199" t="s">
        <v>1723</v>
      </c>
      <c r="H1945" s="200"/>
      <c r="I1945" s="200"/>
      <c r="J1945" s="200"/>
      <c r="K1945" s="199"/>
      <c r="L1945" s="200"/>
      <c r="M1945" s="200" t="s">
        <v>233</v>
      </c>
      <c r="N1945" s="197" t="s">
        <v>1724</v>
      </c>
    </row>
    <row r="1946" spans="1:14">
      <c r="A1946" s="262"/>
      <c r="B1946" s="262"/>
      <c r="C1946" s="197">
        <v>5</v>
      </c>
      <c r="D1946" s="262"/>
      <c r="E1946" s="198">
        <v>213.85654400000001</v>
      </c>
      <c r="F1946" s="197"/>
      <c r="G1946" s="199" t="s">
        <v>1725</v>
      </c>
      <c r="H1946" s="200"/>
      <c r="I1946" s="200"/>
      <c r="J1946" s="200"/>
      <c r="K1946" s="199"/>
      <c r="L1946" s="200"/>
      <c r="M1946" s="200"/>
      <c r="N1946" s="197"/>
    </row>
    <row r="1947" spans="1:14">
      <c r="A1947" s="262"/>
      <c r="B1947" s="262"/>
      <c r="C1947" s="197">
        <v>6</v>
      </c>
      <c r="D1947" s="262"/>
      <c r="E1947" s="198">
        <v>200.090744</v>
      </c>
      <c r="F1947" s="197"/>
      <c r="G1947" s="199" t="s">
        <v>1726</v>
      </c>
      <c r="H1947" s="200"/>
      <c r="I1947" s="200"/>
      <c r="J1947" s="200"/>
      <c r="K1947" s="199"/>
      <c r="L1947" s="200"/>
      <c r="M1947" s="200"/>
      <c r="N1947" s="197"/>
    </row>
    <row r="1948" spans="1:14">
      <c r="A1948" s="262"/>
      <c r="B1948" s="262"/>
      <c r="C1948" s="197">
        <v>7</v>
      </c>
      <c r="D1948" s="261">
        <v>2</v>
      </c>
      <c r="E1948" s="198">
        <v>0</v>
      </c>
      <c r="F1948" s="197" t="s">
        <v>227</v>
      </c>
      <c r="G1948" s="199" t="s">
        <v>238</v>
      </c>
      <c r="H1948" s="200">
        <v>0.52</v>
      </c>
      <c r="I1948" s="200">
        <v>1.02</v>
      </c>
      <c r="J1948" s="200">
        <v>0.47</v>
      </c>
      <c r="K1948" s="199" t="s">
        <v>229</v>
      </c>
      <c r="L1948" s="200"/>
      <c r="M1948" s="200"/>
      <c r="N1948" s="197"/>
    </row>
    <row r="1949" spans="1:14">
      <c r="A1949" s="262"/>
      <c r="B1949" s="262"/>
      <c r="C1949" s="197">
        <v>8</v>
      </c>
      <c r="D1949" s="262"/>
      <c r="E1949" s="198">
        <v>483.76172000000003</v>
      </c>
      <c r="F1949" s="197" t="s">
        <v>281</v>
      </c>
      <c r="G1949" s="199" t="s">
        <v>1727</v>
      </c>
      <c r="H1949" s="200"/>
      <c r="I1949" s="200"/>
      <c r="J1949" s="200"/>
      <c r="K1949" s="199"/>
      <c r="L1949" s="200"/>
      <c r="M1949" s="200"/>
      <c r="N1949" s="197"/>
    </row>
    <row r="1950" spans="1:14">
      <c r="A1950" s="262"/>
      <c r="B1950" s="262"/>
      <c r="C1950" s="197">
        <v>9</v>
      </c>
      <c r="D1950" s="262"/>
      <c r="E1950" s="198">
        <v>544.04992900000002</v>
      </c>
      <c r="F1950" s="197"/>
      <c r="G1950" s="199" t="s">
        <v>1728</v>
      </c>
      <c r="H1950" s="200"/>
      <c r="I1950" s="200"/>
      <c r="J1950" s="200"/>
      <c r="K1950" s="199"/>
      <c r="L1950" s="200"/>
      <c r="M1950" s="200"/>
      <c r="N1950" s="197"/>
    </row>
    <row r="1951" spans="1:14">
      <c r="A1951" s="262"/>
      <c r="B1951" s="262"/>
      <c r="C1951" s="197">
        <v>10</v>
      </c>
      <c r="D1951" s="262"/>
      <c r="E1951" s="198">
        <v>564.74640799999997</v>
      </c>
      <c r="F1951" s="197"/>
      <c r="G1951" s="199" t="s">
        <v>1729</v>
      </c>
      <c r="H1951" s="200"/>
      <c r="I1951" s="200"/>
      <c r="J1951" s="200"/>
      <c r="K1951" s="199"/>
      <c r="L1951" s="200"/>
      <c r="M1951" s="200"/>
      <c r="N1951" s="197"/>
    </row>
    <row r="1952" spans="1:14">
      <c r="A1952" s="262"/>
      <c r="B1952" s="262"/>
      <c r="C1952" s="197">
        <v>11</v>
      </c>
      <c r="D1952" s="261">
        <v>3</v>
      </c>
      <c r="E1952" s="198">
        <v>209.33543399999999</v>
      </c>
      <c r="F1952" s="197" t="s">
        <v>227</v>
      </c>
      <c r="G1952" s="199" t="s">
        <v>1730</v>
      </c>
      <c r="H1952" s="200">
        <v>0.54500000000000004</v>
      </c>
      <c r="I1952" s="200">
        <v>0.98499999999999999</v>
      </c>
      <c r="J1952" s="200">
        <v>0.49</v>
      </c>
      <c r="K1952" s="199" t="s">
        <v>229</v>
      </c>
      <c r="L1952" s="200"/>
      <c r="M1952" s="200"/>
      <c r="N1952" s="197"/>
    </row>
    <row r="1953" spans="1:14">
      <c r="A1953" s="262"/>
      <c r="B1953" s="262"/>
      <c r="C1953" s="197">
        <v>12</v>
      </c>
      <c r="D1953" s="262"/>
      <c r="E1953" s="198">
        <v>428.31841200000002</v>
      </c>
      <c r="F1953" s="197"/>
      <c r="G1953" s="199" t="s">
        <v>1731</v>
      </c>
      <c r="H1953" s="200"/>
      <c r="I1953" s="200"/>
      <c r="J1953" s="200"/>
      <c r="K1953" s="199"/>
      <c r="L1953" s="200"/>
      <c r="M1953" s="200"/>
      <c r="N1953" s="197"/>
    </row>
    <row r="1954" spans="1:14">
      <c r="A1954" s="262"/>
      <c r="B1954" s="262"/>
      <c r="C1954" s="197">
        <v>13</v>
      </c>
      <c r="D1954" s="262"/>
      <c r="E1954" s="198">
        <v>426.04954199999997</v>
      </c>
      <c r="F1954" s="197"/>
      <c r="G1954" s="199" t="s">
        <v>1732</v>
      </c>
      <c r="H1954" s="200"/>
      <c r="I1954" s="200"/>
      <c r="J1954" s="200"/>
      <c r="K1954" s="199"/>
      <c r="L1954" s="200"/>
      <c r="M1954" s="200"/>
      <c r="N1954" s="197"/>
    </row>
    <row r="1955" spans="1:14">
      <c r="A1955" s="262"/>
      <c r="B1955" s="262"/>
      <c r="C1955" s="197">
        <v>14</v>
      </c>
      <c r="D1955" s="262"/>
      <c r="E1955" s="198">
        <v>399.33459499999998</v>
      </c>
      <c r="F1955" s="197"/>
      <c r="G1955" s="199" t="s">
        <v>1733</v>
      </c>
      <c r="H1955" s="200"/>
      <c r="I1955" s="200"/>
      <c r="J1955" s="200"/>
      <c r="K1955" s="199"/>
      <c r="L1955" s="200"/>
      <c r="M1955" s="200"/>
      <c r="N1955" s="197"/>
    </row>
    <row r="1956" spans="1:14">
      <c r="A1956" s="262"/>
      <c r="B1956" s="262"/>
      <c r="C1956" s="197">
        <v>15</v>
      </c>
      <c r="D1956" s="261">
        <v>4</v>
      </c>
      <c r="E1956" s="198">
        <v>200.588673</v>
      </c>
      <c r="F1956" s="197" t="s">
        <v>227</v>
      </c>
      <c r="G1956" s="199" t="s">
        <v>1734</v>
      </c>
      <c r="H1956" s="200">
        <v>0.48499999999999999</v>
      </c>
      <c r="I1956" s="200">
        <v>0.96499999999999997</v>
      </c>
      <c r="J1956" s="200">
        <v>0.505</v>
      </c>
      <c r="K1956" s="199" t="s">
        <v>229</v>
      </c>
      <c r="L1956" s="200"/>
      <c r="M1956" s="200"/>
      <c r="N1956" s="197"/>
    </row>
    <row r="1957" spans="1:14">
      <c r="A1957" s="262"/>
      <c r="B1957" s="262"/>
      <c r="C1957" s="197">
        <v>16</v>
      </c>
      <c r="D1957" s="262"/>
      <c r="E1957" s="198">
        <v>417.75685800000002</v>
      </c>
      <c r="F1957" s="197"/>
      <c r="G1957" s="199" t="s">
        <v>1735</v>
      </c>
      <c r="H1957" s="200"/>
      <c r="I1957" s="200"/>
      <c r="J1957" s="200"/>
      <c r="K1957" s="199"/>
      <c r="L1957" s="200"/>
      <c r="M1957" s="200"/>
      <c r="N1957" s="197"/>
    </row>
    <row r="1958" spans="1:14">
      <c r="A1958" s="262"/>
      <c r="B1958" s="262"/>
      <c r="C1958" s="197">
        <v>17</v>
      </c>
      <c r="D1958" s="262"/>
      <c r="E1958" s="198">
        <v>417.108541</v>
      </c>
      <c r="F1958" s="197"/>
      <c r="G1958" s="199" t="s">
        <v>1736</v>
      </c>
      <c r="H1958" s="200"/>
      <c r="I1958" s="200"/>
      <c r="J1958" s="200"/>
      <c r="K1958" s="199"/>
      <c r="L1958" s="200"/>
      <c r="M1958" s="200"/>
      <c r="N1958" s="197"/>
    </row>
    <row r="1959" spans="1:14">
      <c r="A1959" s="262"/>
      <c r="B1959" s="262"/>
      <c r="C1959" s="197">
        <v>18</v>
      </c>
      <c r="D1959" s="262"/>
      <c r="E1959" s="198">
        <v>417.915504</v>
      </c>
      <c r="F1959" s="197"/>
      <c r="G1959" s="199" t="s">
        <v>1737</v>
      </c>
      <c r="H1959" s="200"/>
      <c r="I1959" s="200"/>
      <c r="J1959" s="200"/>
      <c r="K1959" s="199"/>
      <c r="L1959" s="200"/>
      <c r="M1959" s="200"/>
      <c r="N1959" s="197"/>
    </row>
    <row r="1960" spans="1:14">
      <c r="A1960" s="262"/>
      <c r="B1960" s="262"/>
      <c r="C1960" s="197">
        <v>19</v>
      </c>
      <c r="D1960" s="262"/>
      <c r="E1960" s="198">
        <v>422.17635999999999</v>
      </c>
      <c r="F1960" s="197"/>
      <c r="G1960" s="199" t="s">
        <v>1738</v>
      </c>
      <c r="H1960" s="200"/>
      <c r="I1960" s="200"/>
      <c r="J1960" s="200"/>
      <c r="K1960" s="199"/>
      <c r="L1960" s="200"/>
      <c r="M1960" s="200"/>
      <c r="N1960" s="197"/>
    </row>
    <row r="1961" spans="1:14">
      <c r="A1961" s="262"/>
      <c r="B1961" s="262"/>
      <c r="C1961" s="197">
        <v>20</v>
      </c>
      <c r="D1961" s="262"/>
      <c r="E1961" s="198">
        <v>419.50104599999997</v>
      </c>
      <c r="F1961" s="197"/>
      <c r="G1961" s="199" t="s">
        <v>1739</v>
      </c>
      <c r="H1961" s="200"/>
      <c r="I1961" s="200"/>
      <c r="J1961" s="200"/>
      <c r="K1961" s="199"/>
      <c r="L1961" s="200"/>
      <c r="M1961" s="200"/>
      <c r="N1961" s="197"/>
    </row>
    <row r="1962" spans="1:14">
      <c r="A1962" s="262"/>
      <c r="B1962" s="262"/>
      <c r="C1962" s="197">
        <v>21</v>
      </c>
      <c r="D1962" s="262"/>
      <c r="E1962" s="198">
        <v>411.96657900000002</v>
      </c>
      <c r="F1962" s="197"/>
      <c r="G1962" s="199" t="s">
        <v>1740</v>
      </c>
      <c r="H1962" s="200"/>
      <c r="I1962" s="200"/>
      <c r="J1962" s="200"/>
      <c r="K1962" s="199"/>
      <c r="L1962" s="200"/>
      <c r="M1962" s="200"/>
      <c r="N1962" s="197"/>
    </row>
    <row r="1963" spans="1:14">
      <c r="A1963" s="262"/>
      <c r="B1963" s="262"/>
      <c r="C1963" s="197">
        <v>22</v>
      </c>
      <c r="D1963" s="262"/>
      <c r="E1963" s="198">
        <v>0</v>
      </c>
      <c r="F1963" s="197" t="s">
        <v>227</v>
      </c>
      <c r="G1963" s="199" t="s">
        <v>253</v>
      </c>
      <c r="H1963" s="200"/>
      <c r="I1963" s="200"/>
      <c r="J1963" s="200"/>
      <c r="K1963" s="199"/>
      <c r="L1963" s="200"/>
      <c r="M1963" s="200"/>
      <c r="N1963" s="197"/>
    </row>
    <row r="1964" spans="1:14">
      <c r="A1964" s="262"/>
      <c r="B1964" s="262"/>
      <c r="C1964" s="197">
        <v>23</v>
      </c>
      <c r="D1964" s="261">
        <v>5</v>
      </c>
      <c r="E1964" s="198">
        <v>424.32160399999998</v>
      </c>
      <c r="F1964" s="197"/>
      <c r="G1964" s="199" t="s">
        <v>1741</v>
      </c>
      <c r="H1964" s="200">
        <v>0.505</v>
      </c>
      <c r="I1964" s="200">
        <v>0.99</v>
      </c>
      <c r="J1964" s="200">
        <v>0.51</v>
      </c>
      <c r="K1964" s="199" t="s">
        <v>229</v>
      </c>
      <c r="L1964" s="200"/>
      <c r="M1964" s="200"/>
      <c r="N1964" s="197"/>
    </row>
    <row r="1965" spans="1:14">
      <c r="A1965" s="262"/>
      <c r="B1965" s="262"/>
      <c r="C1965" s="197">
        <v>24</v>
      </c>
      <c r="D1965" s="262"/>
      <c r="E1965" s="198">
        <v>424.45046500000001</v>
      </c>
      <c r="F1965" s="197"/>
      <c r="G1965" s="199" t="s">
        <v>1742</v>
      </c>
      <c r="H1965" s="200"/>
      <c r="I1965" s="200"/>
      <c r="J1965" s="200"/>
      <c r="K1965" s="199"/>
      <c r="L1965" s="200"/>
      <c r="M1965" s="200"/>
      <c r="N1965" s="197"/>
    </row>
    <row r="1966" spans="1:14">
      <c r="A1966" s="262"/>
      <c r="B1966" s="262"/>
      <c r="C1966" s="197">
        <v>25</v>
      </c>
      <c r="D1966" s="262"/>
      <c r="E1966" s="198">
        <v>422.60994099999999</v>
      </c>
      <c r="F1966" s="197"/>
      <c r="G1966" s="199" t="s">
        <v>1743</v>
      </c>
      <c r="H1966" s="200"/>
      <c r="I1966" s="200"/>
      <c r="J1966" s="200"/>
      <c r="K1966" s="199"/>
      <c r="L1966" s="200"/>
      <c r="M1966" s="200"/>
      <c r="N1966" s="197"/>
    </row>
    <row r="1967" spans="1:14">
      <c r="A1967" s="262"/>
      <c r="B1967" s="262"/>
      <c r="C1967" s="197">
        <v>26</v>
      </c>
      <c r="D1967" s="262"/>
      <c r="E1967" s="198">
        <v>411.30869799999999</v>
      </c>
      <c r="F1967" s="197"/>
      <c r="G1967" s="199" t="s">
        <v>1744</v>
      </c>
      <c r="H1967" s="200"/>
      <c r="I1967" s="200"/>
      <c r="J1967" s="200"/>
      <c r="K1967" s="199"/>
      <c r="L1967" s="200"/>
      <c r="M1967" s="200"/>
      <c r="N1967" s="197"/>
    </row>
    <row r="1968" spans="1:14">
      <c r="A1968" s="262"/>
      <c r="B1968" s="262"/>
      <c r="C1968" s="197">
        <v>27</v>
      </c>
      <c r="D1968" s="261">
        <v>6</v>
      </c>
      <c r="E1968" s="198">
        <v>383.30847399999999</v>
      </c>
      <c r="F1968" s="197" t="s">
        <v>227</v>
      </c>
      <c r="G1968" s="199" t="s">
        <v>1745</v>
      </c>
      <c r="H1968" s="200">
        <v>0.56000000000000005</v>
      </c>
      <c r="I1968" s="200">
        <v>1.02</v>
      </c>
      <c r="J1968" s="200">
        <v>0.60499999999999998</v>
      </c>
      <c r="K1968" s="199" t="s">
        <v>229</v>
      </c>
      <c r="L1968" s="200"/>
      <c r="M1968" s="200"/>
      <c r="N1968" s="197"/>
    </row>
    <row r="1969" spans="1:14">
      <c r="A1969" s="262"/>
      <c r="B1969" s="262"/>
      <c r="C1969" s="197">
        <v>28</v>
      </c>
      <c r="D1969" s="262"/>
      <c r="E1969" s="198">
        <v>381.81817599999999</v>
      </c>
      <c r="F1969" s="197"/>
      <c r="G1969" s="199" t="s">
        <v>1746</v>
      </c>
      <c r="H1969" s="200"/>
      <c r="I1969" s="200"/>
      <c r="J1969" s="200"/>
      <c r="K1969" s="199"/>
      <c r="L1969" s="200"/>
      <c r="M1969" s="200"/>
      <c r="N1969" s="197"/>
    </row>
    <row r="1970" spans="1:14">
      <c r="A1970" s="262"/>
      <c r="B1970" s="262"/>
      <c r="C1970" s="197">
        <v>29</v>
      </c>
      <c r="D1970" s="261">
        <v>7</v>
      </c>
      <c r="E1970" s="198">
        <v>0</v>
      </c>
      <c r="F1970" s="197" t="s">
        <v>227</v>
      </c>
      <c r="G1970" s="199" t="s">
        <v>901</v>
      </c>
      <c r="H1970" s="200">
        <v>0.53</v>
      </c>
      <c r="I1970" s="200">
        <v>1.145</v>
      </c>
      <c r="J1970" s="200">
        <v>0.375</v>
      </c>
      <c r="K1970" s="199" t="s">
        <v>229</v>
      </c>
      <c r="L1970" s="200"/>
      <c r="M1970" s="200"/>
      <c r="N1970" s="197"/>
    </row>
    <row r="1971" spans="1:14">
      <c r="A1971" s="262"/>
      <c r="B1971" s="262"/>
      <c r="C1971" s="197">
        <v>30</v>
      </c>
      <c r="D1971" s="262"/>
      <c r="E1971" s="198">
        <v>285.39530500000001</v>
      </c>
      <c r="F1971" s="197"/>
      <c r="G1971" s="199" t="s">
        <v>1747</v>
      </c>
      <c r="H1971" s="200"/>
      <c r="I1971" s="200"/>
      <c r="J1971" s="200"/>
      <c r="K1971" s="199"/>
      <c r="L1971" s="200"/>
      <c r="M1971" s="200"/>
      <c r="N1971" s="197"/>
    </row>
    <row r="1972" spans="1:14">
      <c r="A1972" s="262"/>
      <c r="B1972" s="262"/>
      <c r="C1972" s="197">
        <v>31</v>
      </c>
      <c r="D1972" s="262"/>
      <c r="E1972" s="198">
        <v>279.04237499999999</v>
      </c>
      <c r="F1972" s="197"/>
      <c r="G1972" s="199" t="s">
        <v>1748</v>
      </c>
      <c r="H1972" s="200"/>
      <c r="I1972" s="200"/>
      <c r="J1972" s="200"/>
      <c r="K1972" s="199"/>
      <c r="L1972" s="200"/>
      <c r="M1972" s="200"/>
      <c r="N1972" s="197"/>
    </row>
    <row r="1973" spans="1:14">
      <c r="A1973" s="262"/>
      <c r="B1973" s="262"/>
      <c r="C1973" s="197">
        <v>32</v>
      </c>
      <c r="D1973" s="261">
        <v>8</v>
      </c>
      <c r="E1973" s="198">
        <v>280.72915599999999</v>
      </c>
      <c r="F1973" s="197" t="s">
        <v>227</v>
      </c>
      <c r="G1973" s="199" t="s">
        <v>1749</v>
      </c>
      <c r="H1973" s="200">
        <v>0.51</v>
      </c>
      <c r="I1973" s="200">
        <v>1</v>
      </c>
      <c r="J1973" s="200">
        <v>0.49</v>
      </c>
      <c r="K1973" s="199" t="s">
        <v>229</v>
      </c>
      <c r="L1973" s="200"/>
      <c r="M1973" s="200"/>
      <c r="N1973" s="197"/>
    </row>
    <row r="1974" spans="1:14">
      <c r="A1974" s="262"/>
      <c r="B1974" s="262"/>
      <c r="C1974" s="197">
        <v>33</v>
      </c>
      <c r="D1974" s="262"/>
      <c r="E1974" s="198">
        <v>281.01974300000001</v>
      </c>
      <c r="F1974" s="197"/>
      <c r="G1974" s="199" t="s">
        <v>1750</v>
      </c>
      <c r="H1974" s="200"/>
      <c r="I1974" s="200"/>
      <c r="J1974" s="200"/>
      <c r="K1974" s="199"/>
      <c r="L1974" s="200"/>
      <c r="M1974" s="200"/>
      <c r="N1974" s="197"/>
    </row>
    <row r="1975" spans="1:14">
      <c r="A1975" s="262"/>
      <c r="B1975" s="262"/>
      <c r="C1975" s="197">
        <v>34</v>
      </c>
      <c r="D1975" s="262"/>
      <c r="E1975" s="198">
        <v>282.32514700000002</v>
      </c>
      <c r="F1975" s="197"/>
      <c r="G1975" s="199" t="s">
        <v>1751</v>
      </c>
      <c r="H1975" s="200"/>
      <c r="I1975" s="200"/>
      <c r="J1975" s="200"/>
      <c r="K1975" s="199"/>
      <c r="L1975" s="200"/>
      <c r="M1975" s="200"/>
      <c r="N1975" s="197"/>
    </row>
    <row r="1976" spans="1:14">
      <c r="A1976" s="262"/>
      <c r="B1976" s="262"/>
      <c r="C1976" s="197">
        <v>35</v>
      </c>
      <c r="D1976" s="262"/>
      <c r="E1976" s="198">
        <v>281.96933000000001</v>
      </c>
      <c r="F1976" s="197"/>
      <c r="G1976" s="199" t="s">
        <v>1752</v>
      </c>
      <c r="H1976" s="200"/>
      <c r="I1976" s="200"/>
      <c r="J1976" s="200"/>
      <c r="K1976" s="199"/>
      <c r="L1976" s="200"/>
      <c r="M1976" s="200"/>
      <c r="N1976" s="197"/>
    </row>
    <row r="1977" spans="1:14">
      <c r="A1977" s="262"/>
      <c r="B1977" s="262"/>
      <c r="C1977" s="197">
        <v>36</v>
      </c>
      <c r="D1977" s="262"/>
      <c r="E1977" s="198">
        <v>285.30499300000002</v>
      </c>
      <c r="F1977" s="197"/>
      <c r="G1977" s="199" t="s">
        <v>1753</v>
      </c>
      <c r="H1977" s="200"/>
      <c r="I1977" s="200"/>
      <c r="J1977" s="200"/>
      <c r="K1977" s="199"/>
      <c r="L1977" s="200"/>
      <c r="M1977" s="200"/>
      <c r="N1977" s="197"/>
    </row>
    <row r="1978" spans="1:14">
      <c r="A1978" s="262"/>
      <c r="B1978" s="262"/>
      <c r="C1978" s="197">
        <v>37</v>
      </c>
      <c r="D1978" s="262"/>
      <c r="E1978" s="198">
        <v>285.41643199999999</v>
      </c>
      <c r="F1978" s="197"/>
      <c r="G1978" s="199" t="s">
        <v>1754</v>
      </c>
      <c r="H1978" s="200"/>
      <c r="I1978" s="200"/>
      <c r="J1978" s="200"/>
      <c r="K1978" s="199"/>
      <c r="L1978" s="200"/>
      <c r="M1978" s="200"/>
      <c r="N1978" s="197"/>
    </row>
    <row r="1979" spans="1:14">
      <c r="A1979" s="262"/>
      <c r="B1979" s="262"/>
      <c r="C1979" s="197">
        <v>38</v>
      </c>
      <c r="D1979" s="262"/>
      <c r="E1979" s="198">
        <v>286.81125700000001</v>
      </c>
      <c r="F1979" s="197"/>
      <c r="G1979" s="199" t="s">
        <v>1755</v>
      </c>
      <c r="H1979" s="200"/>
      <c r="I1979" s="200"/>
      <c r="J1979" s="200"/>
      <c r="K1979" s="199"/>
      <c r="L1979" s="200"/>
      <c r="M1979" s="200"/>
      <c r="N1979" s="197"/>
    </row>
    <row r="1980" spans="1:14">
      <c r="A1980" s="262"/>
      <c r="B1980" s="262"/>
      <c r="C1980" s="197">
        <v>39</v>
      </c>
      <c r="D1980" s="262"/>
      <c r="E1980" s="198">
        <v>287.06812400000001</v>
      </c>
      <c r="F1980" s="197"/>
      <c r="G1980" s="199" t="s">
        <v>1756</v>
      </c>
      <c r="H1980" s="200"/>
      <c r="I1980" s="200"/>
      <c r="J1980" s="200"/>
      <c r="K1980" s="199"/>
      <c r="L1980" s="200"/>
      <c r="M1980" s="200"/>
      <c r="N1980" s="197"/>
    </row>
    <row r="1981" spans="1:14">
      <c r="A1981" s="262"/>
      <c r="B1981" s="262"/>
      <c r="C1981" s="197">
        <v>40</v>
      </c>
      <c r="D1981" s="261">
        <v>9</v>
      </c>
      <c r="E1981" s="198">
        <v>0</v>
      </c>
      <c r="F1981" s="197" t="s">
        <v>227</v>
      </c>
      <c r="G1981" s="199" t="s">
        <v>906</v>
      </c>
      <c r="H1981" s="200">
        <v>0.495</v>
      </c>
      <c r="I1981" s="200">
        <v>1.0249999999999999</v>
      </c>
      <c r="J1981" s="200">
        <v>0.45500000000000002</v>
      </c>
      <c r="K1981" s="199" t="s">
        <v>229</v>
      </c>
      <c r="L1981" s="200"/>
      <c r="M1981" s="200"/>
      <c r="N1981" s="197"/>
    </row>
    <row r="1982" spans="1:14">
      <c r="A1982" s="262"/>
      <c r="B1982" s="262"/>
      <c r="C1982" s="197">
        <v>41</v>
      </c>
      <c r="D1982" s="262"/>
      <c r="E1982" s="198">
        <v>0</v>
      </c>
      <c r="F1982" s="197" t="s">
        <v>227</v>
      </c>
      <c r="G1982" s="199" t="s">
        <v>272</v>
      </c>
      <c r="H1982" s="200"/>
      <c r="I1982" s="200"/>
      <c r="J1982" s="200"/>
      <c r="K1982" s="199"/>
      <c r="L1982" s="200"/>
      <c r="M1982" s="200"/>
      <c r="N1982" s="197"/>
    </row>
    <row r="1983" spans="1:14">
      <c r="A1983" s="262"/>
      <c r="B1983" s="262"/>
      <c r="C1983" s="197">
        <v>42</v>
      </c>
      <c r="D1983" s="262"/>
      <c r="E1983" s="198">
        <v>391.66095899999999</v>
      </c>
      <c r="F1983" s="197"/>
      <c r="G1983" s="199" t="s">
        <v>1757</v>
      </c>
      <c r="H1983" s="200"/>
      <c r="I1983" s="200"/>
      <c r="J1983" s="200"/>
      <c r="K1983" s="199"/>
      <c r="L1983" s="200"/>
      <c r="M1983" s="200"/>
      <c r="N1983" s="197"/>
    </row>
    <row r="1984" spans="1:14">
      <c r="A1984" s="262"/>
      <c r="B1984" s="262"/>
      <c r="C1984" s="197">
        <v>43</v>
      </c>
      <c r="D1984" s="262"/>
      <c r="E1984" s="198">
        <v>388.85039</v>
      </c>
      <c r="F1984" s="197"/>
      <c r="G1984" s="199" t="s">
        <v>1758</v>
      </c>
      <c r="H1984" s="200"/>
      <c r="I1984" s="200"/>
      <c r="J1984" s="200"/>
      <c r="K1984" s="199"/>
      <c r="L1984" s="200"/>
      <c r="M1984" s="200"/>
      <c r="N1984" s="197"/>
    </row>
    <row r="1985" spans="1:14">
      <c r="A1985" s="262"/>
      <c r="B1985" s="262"/>
      <c r="C1985" s="197">
        <v>44</v>
      </c>
      <c r="D1985" s="262"/>
      <c r="E1985" s="198">
        <v>390.657355</v>
      </c>
      <c r="F1985" s="197"/>
      <c r="G1985" s="199" t="s">
        <v>1759</v>
      </c>
      <c r="H1985" s="200"/>
      <c r="I1985" s="200"/>
      <c r="J1985" s="200"/>
      <c r="K1985" s="199"/>
      <c r="L1985" s="200"/>
      <c r="M1985" s="200"/>
      <c r="N1985" s="197"/>
    </row>
    <row r="1986" spans="1:14">
      <c r="A1986" s="262"/>
      <c r="B1986" s="262"/>
      <c r="C1986" s="197">
        <v>45</v>
      </c>
      <c r="D1986" s="261">
        <v>10</v>
      </c>
      <c r="E1986" s="198">
        <v>0</v>
      </c>
      <c r="F1986" s="197" t="s">
        <v>227</v>
      </c>
      <c r="G1986" s="199" t="s">
        <v>646</v>
      </c>
      <c r="H1986" s="200">
        <v>0.53</v>
      </c>
      <c r="I1986" s="200">
        <v>1.02</v>
      </c>
      <c r="J1986" s="200">
        <v>0.46500000000000002</v>
      </c>
      <c r="K1986" s="199" t="s">
        <v>229</v>
      </c>
      <c r="L1986" s="200"/>
      <c r="M1986" s="200"/>
      <c r="N1986" s="197"/>
    </row>
    <row r="1987" spans="1:14">
      <c r="A1987" s="262"/>
      <c r="B1987" s="262"/>
      <c r="C1987" s="197">
        <v>46</v>
      </c>
      <c r="D1987" s="262"/>
      <c r="E1987" s="198">
        <v>265.05174699999998</v>
      </c>
      <c r="F1987" s="197"/>
      <c r="G1987" s="199" t="s">
        <v>1760</v>
      </c>
      <c r="H1987" s="200"/>
      <c r="I1987" s="200"/>
      <c r="J1987" s="200"/>
      <c r="K1987" s="199"/>
      <c r="L1987" s="200"/>
      <c r="M1987" s="200"/>
      <c r="N1987" s="197"/>
    </row>
    <row r="1988" spans="1:14">
      <c r="A1988" s="262"/>
      <c r="B1988" s="262"/>
      <c r="C1988" s="197">
        <v>47</v>
      </c>
      <c r="D1988" s="262"/>
      <c r="E1988" s="198">
        <v>288.05241599999999</v>
      </c>
      <c r="F1988" s="197"/>
      <c r="G1988" s="199" t="s">
        <v>1761</v>
      </c>
      <c r="H1988" s="200"/>
      <c r="I1988" s="200"/>
      <c r="J1988" s="200"/>
      <c r="K1988" s="199"/>
      <c r="L1988" s="200"/>
      <c r="M1988" s="200"/>
      <c r="N1988" s="197"/>
    </row>
    <row r="1989" spans="1:14">
      <c r="A1989" s="262"/>
      <c r="B1989" s="262"/>
      <c r="C1989" s="197">
        <v>48</v>
      </c>
      <c r="D1989" s="261">
        <v>11</v>
      </c>
      <c r="E1989" s="198">
        <v>0</v>
      </c>
      <c r="F1989" s="197" t="s">
        <v>227</v>
      </c>
      <c r="G1989" s="199" t="s">
        <v>1696</v>
      </c>
      <c r="H1989" s="200">
        <v>0.57999999999999996</v>
      </c>
      <c r="I1989" s="200">
        <v>0.96499999999999997</v>
      </c>
      <c r="J1989" s="200">
        <v>0.46</v>
      </c>
      <c r="K1989" s="199" t="s">
        <v>229</v>
      </c>
      <c r="L1989" s="200"/>
      <c r="M1989" s="200"/>
      <c r="N1989" s="197"/>
    </row>
    <row r="1990" spans="1:14">
      <c r="A1990" s="262"/>
      <c r="B1990" s="262"/>
      <c r="C1990" s="197">
        <v>49</v>
      </c>
      <c r="D1990" s="262"/>
      <c r="E1990" s="198">
        <v>549.20703400000002</v>
      </c>
      <c r="F1990" s="197"/>
      <c r="G1990" s="199" t="s">
        <v>1762</v>
      </c>
      <c r="H1990" s="200"/>
      <c r="I1990" s="200"/>
      <c r="J1990" s="200"/>
      <c r="K1990" s="199"/>
      <c r="L1990" s="200"/>
      <c r="M1990" s="200"/>
      <c r="N1990" s="197"/>
    </row>
    <row r="1991" spans="1:14">
      <c r="A1991" s="262"/>
      <c r="B1991" s="262"/>
      <c r="C1991" s="197">
        <v>50</v>
      </c>
      <c r="D1991" s="262"/>
      <c r="E1991" s="198">
        <v>575.86527599999999</v>
      </c>
      <c r="F1991" s="197"/>
      <c r="G1991" s="199" t="s">
        <v>1763</v>
      </c>
      <c r="H1991" s="200"/>
      <c r="I1991" s="200"/>
      <c r="J1991" s="200"/>
      <c r="K1991" s="199"/>
      <c r="L1991" s="200"/>
      <c r="M1991" s="200"/>
      <c r="N1991" s="197"/>
    </row>
    <row r="1992" spans="1:14">
      <c r="A1992" s="262"/>
      <c r="B1992" s="262"/>
      <c r="C1992" s="197">
        <v>51</v>
      </c>
      <c r="D1992" s="262"/>
      <c r="E1992" s="198">
        <v>568.01413200000002</v>
      </c>
      <c r="F1992" s="197"/>
      <c r="G1992" s="199" t="s">
        <v>1764</v>
      </c>
      <c r="H1992" s="200"/>
      <c r="I1992" s="200"/>
      <c r="J1992" s="200"/>
      <c r="K1992" s="199"/>
      <c r="L1992" s="200"/>
      <c r="M1992" s="200"/>
      <c r="N1992" s="197"/>
    </row>
    <row r="1993" spans="1:14">
      <c r="A1993" s="262"/>
      <c r="B1993" s="262"/>
      <c r="C1993" s="197">
        <v>52</v>
      </c>
      <c r="D1993" s="261">
        <v>12</v>
      </c>
      <c r="E1993" s="198">
        <v>503.28103599999997</v>
      </c>
      <c r="F1993" s="197" t="s">
        <v>227</v>
      </c>
      <c r="G1993" s="199" t="s">
        <v>1765</v>
      </c>
      <c r="H1993" s="200">
        <v>0.52</v>
      </c>
      <c r="I1993" s="200">
        <v>0.99</v>
      </c>
      <c r="J1993" s="200">
        <v>0.495</v>
      </c>
      <c r="K1993" s="199" t="s">
        <v>229</v>
      </c>
      <c r="L1993" s="200"/>
      <c r="M1993" s="200"/>
      <c r="N1993" s="197"/>
    </row>
    <row r="1994" spans="1:14">
      <c r="A1994" s="262"/>
      <c r="B1994" s="262"/>
      <c r="C1994" s="197">
        <v>53</v>
      </c>
      <c r="D1994" s="262"/>
      <c r="E1994" s="198">
        <v>385.05248</v>
      </c>
      <c r="F1994" s="197"/>
      <c r="G1994" s="199" t="s">
        <v>1766</v>
      </c>
      <c r="H1994" s="200"/>
      <c r="I1994" s="200"/>
      <c r="J1994" s="200"/>
      <c r="K1994" s="199"/>
      <c r="L1994" s="200"/>
      <c r="M1994" s="200"/>
      <c r="N1994" s="197"/>
    </row>
    <row r="1995" spans="1:14">
      <c r="A1995" s="262"/>
      <c r="B1995" s="262"/>
      <c r="C1995" s="197">
        <v>54</v>
      </c>
      <c r="D1995" s="262"/>
      <c r="E1995" s="198">
        <v>382.42763500000001</v>
      </c>
      <c r="F1995" s="197"/>
      <c r="G1995" s="199" t="s">
        <v>1767</v>
      </c>
      <c r="H1995" s="200"/>
      <c r="I1995" s="200"/>
      <c r="J1995" s="200"/>
      <c r="K1995" s="199"/>
      <c r="L1995" s="200"/>
      <c r="M1995" s="200"/>
      <c r="N1995" s="197"/>
    </row>
    <row r="1996" spans="1:14">
      <c r="A1996" s="262"/>
      <c r="B1996" s="262"/>
      <c r="C1996" s="197">
        <v>55</v>
      </c>
      <c r="D1996" s="262"/>
      <c r="E1996" s="198">
        <v>387.22279099999997</v>
      </c>
      <c r="F1996" s="197"/>
      <c r="G1996" s="199" t="s">
        <v>1768</v>
      </c>
      <c r="H1996" s="200"/>
      <c r="I1996" s="200"/>
      <c r="J1996" s="200"/>
      <c r="K1996" s="199"/>
      <c r="L1996" s="200"/>
      <c r="M1996" s="200"/>
      <c r="N1996" s="197"/>
    </row>
    <row r="1997" spans="1:14">
      <c r="A1997" s="262"/>
      <c r="B1997" s="262"/>
      <c r="C1997" s="197">
        <v>56</v>
      </c>
      <c r="D1997" s="262"/>
      <c r="E1997" s="198">
        <v>388.54626500000001</v>
      </c>
      <c r="F1997" s="197"/>
      <c r="G1997" s="199" t="s">
        <v>1769</v>
      </c>
      <c r="H1997" s="200"/>
      <c r="I1997" s="200"/>
      <c r="J1997" s="200"/>
      <c r="K1997" s="199"/>
      <c r="L1997" s="200"/>
      <c r="M1997" s="200"/>
      <c r="N1997" s="197"/>
    </row>
    <row r="1998" spans="1:14">
      <c r="A1998" s="262"/>
      <c r="B1998" s="262"/>
      <c r="C1998" s="197">
        <v>57</v>
      </c>
      <c r="D1998" s="262"/>
      <c r="E1998" s="198">
        <v>390.10107399999998</v>
      </c>
      <c r="F1998" s="197"/>
      <c r="G1998" s="199" t="s">
        <v>1770</v>
      </c>
      <c r="H1998" s="200"/>
      <c r="I1998" s="200"/>
      <c r="J1998" s="200"/>
      <c r="K1998" s="199"/>
      <c r="L1998" s="200"/>
      <c r="M1998" s="200"/>
      <c r="N1998" s="197"/>
    </row>
    <row r="1999" spans="1:14">
      <c r="A1999" s="262"/>
      <c r="B1999" s="262"/>
      <c r="C1999" s="197">
        <v>58</v>
      </c>
      <c r="D1999" s="262"/>
      <c r="E1999" s="198">
        <v>392</v>
      </c>
      <c r="F1999" s="197"/>
      <c r="G1999" s="199" t="s">
        <v>1771</v>
      </c>
      <c r="H1999" s="200"/>
      <c r="I1999" s="200"/>
      <c r="J1999" s="200"/>
      <c r="K1999" s="199"/>
      <c r="L1999" s="200"/>
      <c r="M1999" s="200"/>
      <c r="N1999" s="197"/>
    </row>
    <row r="2000" spans="1:14">
      <c r="A2000" s="262"/>
      <c r="B2000" s="262"/>
      <c r="C2000" s="197">
        <v>59</v>
      </c>
      <c r="D2000" s="262"/>
      <c r="E2000" s="198">
        <v>383.39842099999998</v>
      </c>
      <c r="F2000" s="197"/>
      <c r="G2000" s="199" t="s">
        <v>1772</v>
      </c>
      <c r="H2000" s="200"/>
      <c r="I2000" s="200"/>
      <c r="J2000" s="200"/>
      <c r="K2000" s="199"/>
      <c r="L2000" s="200"/>
      <c r="M2000" s="200"/>
      <c r="N2000" s="197"/>
    </row>
    <row r="2001" spans="1:14">
      <c r="A2001" s="262"/>
      <c r="B2001" s="262"/>
      <c r="C2001" s="197">
        <v>60</v>
      </c>
      <c r="D2001" s="262"/>
      <c r="E2001" s="198">
        <v>0</v>
      </c>
      <c r="F2001" s="197" t="s">
        <v>227</v>
      </c>
      <c r="G2001" s="199" t="s">
        <v>292</v>
      </c>
      <c r="H2001" s="200"/>
      <c r="I2001" s="200"/>
      <c r="J2001" s="200"/>
      <c r="K2001" s="199"/>
      <c r="L2001" s="200"/>
      <c r="M2001" s="200"/>
      <c r="N2001" s="197"/>
    </row>
    <row r="2002" spans="1:14">
      <c r="A2002" s="262"/>
      <c r="B2002" s="262"/>
      <c r="C2002" s="197">
        <v>61</v>
      </c>
      <c r="D2002" s="261">
        <v>13</v>
      </c>
      <c r="E2002" s="198">
        <v>428.82479699999999</v>
      </c>
      <c r="F2002" s="197"/>
      <c r="G2002" s="199" t="s">
        <v>1773</v>
      </c>
      <c r="H2002" s="200">
        <v>0.51</v>
      </c>
      <c r="I2002" s="200">
        <v>0.98</v>
      </c>
      <c r="J2002" s="200">
        <v>0.47499999999999998</v>
      </c>
      <c r="K2002" s="199" t="s">
        <v>229</v>
      </c>
      <c r="L2002" s="200"/>
      <c r="M2002" s="200"/>
      <c r="N2002" s="197"/>
    </row>
    <row r="2003" spans="1:14">
      <c r="A2003" s="262"/>
      <c r="B2003" s="262"/>
      <c r="C2003" s="197">
        <v>62</v>
      </c>
      <c r="D2003" s="262"/>
      <c r="E2003" s="198">
        <v>426.213956</v>
      </c>
      <c r="F2003" s="197"/>
      <c r="G2003" s="199" t="s">
        <v>1774</v>
      </c>
      <c r="H2003" s="200"/>
      <c r="I2003" s="200"/>
      <c r="J2003" s="200"/>
      <c r="K2003" s="199"/>
      <c r="L2003" s="200"/>
      <c r="M2003" s="200"/>
      <c r="N2003" s="197"/>
    </row>
    <row r="2004" spans="1:14">
      <c r="A2004" s="262"/>
      <c r="B2004" s="262"/>
      <c r="C2004" s="197">
        <v>63</v>
      </c>
      <c r="D2004" s="262"/>
      <c r="E2004" s="198">
        <v>422.99504999999999</v>
      </c>
      <c r="F2004" s="197"/>
      <c r="G2004" s="199" t="s">
        <v>1775</v>
      </c>
      <c r="H2004" s="200"/>
      <c r="I2004" s="200"/>
      <c r="J2004" s="200"/>
      <c r="K2004" s="199"/>
      <c r="L2004" s="200"/>
      <c r="M2004" s="200"/>
      <c r="N2004" s="197"/>
    </row>
    <row r="2005" spans="1:14">
      <c r="A2005" s="262"/>
      <c r="B2005" s="262"/>
      <c r="C2005" s="197">
        <v>64</v>
      </c>
      <c r="D2005" s="261">
        <v>14</v>
      </c>
      <c r="E2005" s="198">
        <v>389.964718</v>
      </c>
      <c r="F2005" s="197" t="s">
        <v>227</v>
      </c>
      <c r="G2005" s="199" t="s">
        <v>1776</v>
      </c>
      <c r="H2005" s="200">
        <v>0.51</v>
      </c>
      <c r="I2005" s="200">
        <v>0.95499999999999996</v>
      </c>
      <c r="J2005" s="200">
        <v>0.51500000000000001</v>
      </c>
      <c r="K2005" s="199" t="s">
        <v>229</v>
      </c>
      <c r="L2005" s="200"/>
      <c r="M2005" s="200"/>
      <c r="N2005" s="197"/>
    </row>
    <row r="2006" spans="1:14">
      <c r="A2006" s="262"/>
      <c r="B2006" s="262"/>
      <c r="C2006" s="197">
        <v>65</v>
      </c>
      <c r="D2006" s="262"/>
      <c r="E2006" s="198">
        <v>392.102509</v>
      </c>
      <c r="F2006" s="197"/>
      <c r="G2006" s="199" t="s">
        <v>1777</v>
      </c>
      <c r="H2006" s="200"/>
      <c r="I2006" s="200"/>
      <c r="J2006" s="200"/>
      <c r="K2006" s="199"/>
      <c r="L2006" s="200"/>
      <c r="M2006" s="200"/>
      <c r="N2006" s="197"/>
    </row>
    <row r="2007" spans="1:14">
      <c r="A2007" s="262"/>
      <c r="B2007" s="262"/>
      <c r="C2007" s="197">
        <v>66</v>
      </c>
      <c r="D2007" s="262"/>
      <c r="E2007" s="198">
        <v>392</v>
      </c>
      <c r="F2007" s="197"/>
      <c r="G2007" s="199" t="s">
        <v>1778</v>
      </c>
      <c r="H2007" s="200"/>
      <c r="I2007" s="200"/>
      <c r="J2007" s="200"/>
      <c r="K2007" s="199"/>
      <c r="L2007" s="200"/>
      <c r="M2007" s="200"/>
      <c r="N2007" s="197"/>
    </row>
    <row r="2008" spans="1:14">
      <c r="A2008" s="262"/>
      <c r="B2008" s="262"/>
      <c r="C2008" s="197">
        <v>67</v>
      </c>
      <c r="D2008" s="261">
        <v>15</v>
      </c>
      <c r="E2008" s="198">
        <v>0</v>
      </c>
      <c r="F2008" s="197" t="s">
        <v>227</v>
      </c>
      <c r="G2008" s="199" t="s">
        <v>771</v>
      </c>
      <c r="H2008" s="200">
        <v>0.49</v>
      </c>
      <c r="I2008" s="200">
        <v>1.165</v>
      </c>
      <c r="J2008" s="200">
        <v>0.38</v>
      </c>
      <c r="K2008" s="199" t="s">
        <v>229</v>
      </c>
      <c r="L2008" s="200"/>
      <c r="M2008" s="200"/>
      <c r="N2008" s="197"/>
    </row>
    <row r="2009" spans="1:14">
      <c r="A2009" s="262"/>
      <c r="B2009" s="262"/>
      <c r="C2009" s="197">
        <v>68</v>
      </c>
      <c r="D2009" s="262"/>
      <c r="E2009" s="198">
        <v>287.21293300000002</v>
      </c>
      <c r="F2009" s="197"/>
      <c r="G2009" s="199" t="s">
        <v>1779</v>
      </c>
      <c r="H2009" s="200"/>
      <c r="I2009" s="200"/>
      <c r="J2009" s="200"/>
      <c r="K2009" s="199"/>
      <c r="L2009" s="200"/>
      <c r="M2009" s="200"/>
      <c r="N2009" s="197"/>
    </row>
    <row r="2010" spans="1:14">
      <c r="A2010" s="262"/>
      <c r="B2010" s="262"/>
      <c r="C2010" s="197">
        <v>69</v>
      </c>
      <c r="D2010" s="262"/>
      <c r="E2010" s="198">
        <v>286.12684100000001</v>
      </c>
      <c r="F2010" s="197"/>
      <c r="G2010" s="199" t="s">
        <v>1780</v>
      </c>
      <c r="H2010" s="200"/>
      <c r="I2010" s="200"/>
      <c r="J2010" s="200"/>
      <c r="K2010" s="199"/>
      <c r="L2010" s="200"/>
      <c r="M2010" s="200"/>
      <c r="N2010" s="197"/>
    </row>
    <row r="2011" spans="1:14">
      <c r="A2011" s="262"/>
      <c r="B2011" s="262"/>
      <c r="C2011" s="197">
        <v>70</v>
      </c>
      <c r="D2011" s="262"/>
      <c r="E2011" s="198">
        <v>282.730863</v>
      </c>
      <c r="F2011" s="197"/>
      <c r="G2011" s="199" t="s">
        <v>1781</v>
      </c>
      <c r="H2011" s="200"/>
      <c r="I2011" s="200"/>
      <c r="J2011" s="200"/>
      <c r="K2011" s="199"/>
      <c r="L2011" s="200"/>
      <c r="M2011" s="200"/>
      <c r="N2011" s="197"/>
    </row>
    <row r="2012" spans="1:14">
      <c r="A2012" s="262"/>
      <c r="B2012" s="262"/>
      <c r="C2012" s="197">
        <v>71</v>
      </c>
      <c r="D2012" s="261">
        <v>16</v>
      </c>
      <c r="E2012" s="198">
        <v>283.30883299999999</v>
      </c>
      <c r="F2012" s="197" t="s">
        <v>227</v>
      </c>
      <c r="G2012" s="199" t="s">
        <v>1782</v>
      </c>
      <c r="H2012" s="200">
        <v>0.46</v>
      </c>
      <c r="I2012" s="200">
        <v>0.98499999999999999</v>
      </c>
      <c r="J2012" s="200">
        <v>0.495</v>
      </c>
      <c r="K2012" s="199" t="s">
        <v>229</v>
      </c>
      <c r="L2012" s="200"/>
      <c r="M2012" s="200"/>
      <c r="N2012" s="197"/>
    </row>
    <row r="2013" spans="1:14">
      <c r="A2013" s="262"/>
      <c r="B2013" s="262"/>
      <c r="C2013" s="197">
        <v>72</v>
      </c>
      <c r="D2013" s="262"/>
      <c r="E2013" s="198">
        <v>0</v>
      </c>
      <c r="F2013" s="197" t="s">
        <v>227</v>
      </c>
      <c r="G2013" s="199" t="s">
        <v>669</v>
      </c>
      <c r="H2013" s="200"/>
      <c r="I2013" s="200"/>
      <c r="J2013" s="200"/>
      <c r="K2013" s="199"/>
      <c r="L2013" s="200"/>
      <c r="M2013" s="200"/>
      <c r="N2013" s="197"/>
    </row>
    <row r="2014" spans="1:14">
      <c r="A2014" s="262"/>
      <c r="B2014" s="262"/>
      <c r="C2014" s="197">
        <v>73</v>
      </c>
      <c r="D2014" s="262"/>
      <c r="E2014" s="198">
        <v>0</v>
      </c>
      <c r="F2014" s="197" t="s">
        <v>227</v>
      </c>
      <c r="G2014" s="199" t="s">
        <v>305</v>
      </c>
      <c r="H2014" s="200"/>
      <c r="I2014" s="200"/>
      <c r="J2014" s="200"/>
      <c r="K2014" s="199"/>
      <c r="L2014" s="200"/>
      <c r="M2014" s="200"/>
      <c r="N2014" s="197"/>
    </row>
    <row r="2015" spans="1:14">
      <c r="A2015" s="262"/>
      <c r="B2015" s="262"/>
      <c r="C2015" s="197">
        <v>74</v>
      </c>
      <c r="D2015" s="262"/>
      <c r="E2015" s="198">
        <v>275.43034699999998</v>
      </c>
      <c r="F2015" s="197"/>
      <c r="G2015" s="199" t="s">
        <v>1783</v>
      </c>
      <c r="H2015" s="200"/>
      <c r="I2015" s="200"/>
      <c r="J2015" s="200"/>
      <c r="K2015" s="199"/>
      <c r="L2015" s="200"/>
      <c r="M2015" s="200"/>
      <c r="N2015" s="197"/>
    </row>
    <row r="2016" spans="1:14">
      <c r="A2016" s="262"/>
      <c r="B2016" s="262"/>
      <c r="C2016" s="197">
        <v>75</v>
      </c>
      <c r="D2016" s="262"/>
      <c r="E2016" s="198">
        <v>284.91699999999997</v>
      </c>
      <c r="F2016" s="197"/>
      <c r="G2016" s="199" t="s">
        <v>1784</v>
      </c>
      <c r="H2016" s="200"/>
      <c r="I2016" s="200"/>
      <c r="J2016" s="200"/>
      <c r="K2016" s="199"/>
      <c r="L2016" s="200"/>
      <c r="M2016" s="200"/>
      <c r="N2016" s="197"/>
    </row>
    <row r="2017" spans="1:14">
      <c r="A2017" s="262"/>
      <c r="B2017" s="262"/>
      <c r="C2017" s="197">
        <v>76</v>
      </c>
      <c r="D2017" s="262"/>
      <c r="E2017" s="198">
        <v>0</v>
      </c>
      <c r="F2017" s="197" t="s">
        <v>227</v>
      </c>
      <c r="G2017" s="199" t="s">
        <v>308</v>
      </c>
      <c r="H2017" s="200"/>
      <c r="I2017" s="200"/>
      <c r="J2017" s="200"/>
      <c r="K2017" s="199"/>
      <c r="L2017" s="200"/>
      <c r="M2017" s="200"/>
      <c r="N2017" s="197"/>
    </row>
    <row r="2018" spans="1:14">
      <c r="A2018" s="262"/>
      <c r="B2018" s="262"/>
      <c r="C2018" s="197">
        <v>77</v>
      </c>
      <c r="D2018" s="262"/>
      <c r="E2018" s="198">
        <v>0</v>
      </c>
      <c r="F2018" s="197" t="s">
        <v>227</v>
      </c>
      <c r="G2018" s="199" t="s">
        <v>309</v>
      </c>
      <c r="H2018" s="200"/>
      <c r="I2018" s="200"/>
      <c r="J2018" s="200"/>
      <c r="K2018" s="199"/>
      <c r="L2018" s="200"/>
      <c r="M2018" s="200"/>
      <c r="N2018" s="197"/>
    </row>
    <row r="2019" spans="1:14">
      <c r="A2019" s="262"/>
      <c r="B2019" s="262"/>
      <c r="C2019" s="197">
        <v>78</v>
      </c>
      <c r="D2019" s="262"/>
      <c r="E2019" s="198">
        <v>0</v>
      </c>
      <c r="F2019" s="197" t="s">
        <v>227</v>
      </c>
      <c r="G2019" s="199" t="s">
        <v>310</v>
      </c>
      <c r="H2019" s="200"/>
      <c r="I2019" s="200"/>
      <c r="J2019" s="200"/>
      <c r="K2019" s="199"/>
      <c r="L2019" s="200"/>
      <c r="M2019" s="200"/>
      <c r="N2019" s="197"/>
    </row>
  </sheetData>
  <mergeCells count="484">
    <mergeCell ref="D24:D27"/>
    <mergeCell ref="D28:D32"/>
    <mergeCell ref="D15:D23"/>
    <mergeCell ref="D7:D10"/>
    <mergeCell ref="A2:A91"/>
    <mergeCell ref="B2:B91"/>
    <mergeCell ref="D2:D6"/>
    <mergeCell ref="D11:D14"/>
    <mergeCell ref="D70:D73"/>
    <mergeCell ref="D74:D91"/>
    <mergeCell ref="D63:D66"/>
    <mergeCell ref="D67:D69"/>
    <mergeCell ref="D52:D54"/>
    <mergeCell ref="D55:D62"/>
    <mergeCell ref="D42:D46"/>
    <mergeCell ref="D47:D51"/>
    <mergeCell ref="D33:D35"/>
    <mergeCell ref="D36:D41"/>
    <mergeCell ref="D140:D145"/>
    <mergeCell ref="D146:D148"/>
    <mergeCell ref="D127:D131"/>
    <mergeCell ref="D132:D139"/>
    <mergeCell ref="D120:D123"/>
    <mergeCell ref="D124:D126"/>
    <mergeCell ref="D109:D119"/>
    <mergeCell ref="D101:D105"/>
    <mergeCell ref="A92:A176"/>
    <mergeCell ref="B92:B176"/>
    <mergeCell ref="D92:D100"/>
    <mergeCell ref="D106:D108"/>
    <mergeCell ref="D184:D187"/>
    <mergeCell ref="D170:D175"/>
    <mergeCell ref="A177:A257"/>
    <mergeCell ref="B177:B257"/>
    <mergeCell ref="D177:D183"/>
    <mergeCell ref="D164:D166"/>
    <mergeCell ref="D167:D169"/>
    <mergeCell ref="D149:D152"/>
    <mergeCell ref="D153:D163"/>
    <mergeCell ref="D227:D230"/>
    <mergeCell ref="D231:D238"/>
    <mergeCell ref="D219:D221"/>
    <mergeCell ref="D222:D226"/>
    <mergeCell ref="D207:D210"/>
    <mergeCell ref="D211:D218"/>
    <mergeCell ref="D200:D202"/>
    <mergeCell ref="D203:D206"/>
    <mergeCell ref="D188:D190"/>
    <mergeCell ref="D191:D199"/>
    <mergeCell ref="D265:D270"/>
    <mergeCell ref="A258:A342"/>
    <mergeCell ref="B258:B342"/>
    <mergeCell ref="D258:D264"/>
    <mergeCell ref="D271:D273"/>
    <mergeCell ref="D247:D250"/>
    <mergeCell ref="D251:D257"/>
    <mergeCell ref="D239:D242"/>
    <mergeCell ref="D243:D246"/>
    <mergeCell ref="D310:D313"/>
    <mergeCell ref="D314:D322"/>
    <mergeCell ref="D301:D305"/>
    <mergeCell ref="D306:D309"/>
    <mergeCell ref="D290:D293"/>
    <mergeCell ref="D294:D300"/>
    <mergeCell ref="D283:D285"/>
    <mergeCell ref="D286:D289"/>
    <mergeCell ref="D274:D282"/>
    <mergeCell ref="D347:D349"/>
    <mergeCell ref="A343:A399"/>
    <mergeCell ref="B343:B399"/>
    <mergeCell ref="D343:D346"/>
    <mergeCell ref="D350:D352"/>
    <mergeCell ref="D330:D334"/>
    <mergeCell ref="D335:D342"/>
    <mergeCell ref="D323:D325"/>
    <mergeCell ref="D326:D329"/>
    <mergeCell ref="D375:D377"/>
    <mergeCell ref="D378:D380"/>
    <mergeCell ref="D369:D371"/>
    <mergeCell ref="D372:D374"/>
    <mergeCell ref="D362:D365"/>
    <mergeCell ref="D366:D368"/>
    <mergeCell ref="D356:D358"/>
    <mergeCell ref="D359:D361"/>
    <mergeCell ref="D353:D355"/>
    <mergeCell ref="D408:D417"/>
    <mergeCell ref="D404:D405"/>
    <mergeCell ref="A400:A471"/>
    <mergeCell ref="B400:B471"/>
    <mergeCell ref="D400:D403"/>
    <mergeCell ref="D406:D407"/>
    <mergeCell ref="D386:D388"/>
    <mergeCell ref="D389:D399"/>
    <mergeCell ref="D381:D383"/>
    <mergeCell ref="D384:D385"/>
    <mergeCell ref="D460:D462"/>
    <mergeCell ref="D463:D464"/>
    <mergeCell ref="D447:D449"/>
    <mergeCell ref="D450:D458"/>
    <mergeCell ref="D442:D443"/>
    <mergeCell ref="D444:D446"/>
    <mergeCell ref="D430:D432"/>
    <mergeCell ref="D433:D441"/>
    <mergeCell ref="D418:D426"/>
    <mergeCell ref="D427:D429"/>
    <mergeCell ref="D497:D498"/>
    <mergeCell ref="D499:D501"/>
    <mergeCell ref="D484:D486"/>
    <mergeCell ref="D487:D496"/>
    <mergeCell ref="D478:D483"/>
    <mergeCell ref="D465:D471"/>
    <mergeCell ref="A472:A548"/>
    <mergeCell ref="B472:B548"/>
    <mergeCell ref="D472:D477"/>
    <mergeCell ref="D535:D536"/>
    <mergeCell ref="D537:D548"/>
    <mergeCell ref="D530:D531"/>
    <mergeCell ref="D532:D534"/>
    <mergeCell ref="D519:D521"/>
    <mergeCell ref="D522:D529"/>
    <mergeCell ref="D514:D515"/>
    <mergeCell ref="D516:D518"/>
    <mergeCell ref="D502:D504"/>
    <mergeCell ref="D505:D513"/>
    <mergeCell ref="D590:D593"/>
    <mergeCell ref="D594:D596"/>
    <mergeCell ref="D581:D583"/>
    <mergeCell ref="D584:D589"/>
    <mergeCell ref="D575:D577"/>
    <mergeCell ref="D578:D580"/>
    <mergeCell ref="D566:D574"/>
    <mergeCell ref="D560:D562"/>
    <mergeCell ref="A549:A618"/>
    <mergeCell ref="B549:B618"/>
    <mergeCell ref="D549:D559"/>
    <mergeCell ref="D563:D565"/>
    <mergeCell ref="D629:D630"/>
    <mergeCell ref="D613:D617"/>
    <mergeCell ref="A619:A689"/>
    <mergeCell ref="B619:B689"/>
    <mergeCell ref="D619:D628"/>
    <mergeCell ref="D608:D609"/>
    <mergeCell ref="D610:D612"/>
    <mergeCell ref="D597:D599"/>
    <mergeCell ref="D600:D607"/>
    <mergeCell ref="D664:D665"/>
    <mergeCell ref="D666:D671"/>
    <mergeCell ref="D655:D659"/>
    <mergeCell ref="D660:D663"/>
    <mergeCell ref="D646:D647"/>
    <mergeCell ref="D648:D654"/>
    <mergeCell ref="D640:D641"/>
    <mergeCell ref="D642:D645"/>
    <mergeCell ref="D631:D632"/>
    <mergeCell ref="D633:D639"/>
    <mergeCell ref="D700:D702"/>
    <mergeCell ref="A690:A759"/>
    <mergeCell ref="B690:B759"/>
    <mergeCell ref="D690:D699"/>
    <mergeCell ref="D703:D705"/>
    <mergeCell ref="D684:D687"/>
    <mergeCell ref="D688:D689"/>
    <mergeCell ref="D672:D681"/>
    <mergeCell ref="D682:D683"/>
    <mergeCell ref="D735:D736"/>
    <mergeCell ref="D737:D746"/>
    <mergeCell ref="D730:D732"/>
    <mergeCell ref="D733:D734"/>
    <mergeCell ref="D719:D721"/>
    <mergeCell ref="D722:D729"/>
    <mergeCell ref="D714:D716"/>
    <mergeCell ref="D717:D718"/>
    <mergeCell ref="D706:D713"/>
    <mergeCell ref="D767:D769"/>
    <mergeCell ref="A760:A832"/>
    <mergeCell ref="B760:B832"/>
    <mergeCell ref="D760:D766"/>
    <mergeCell ref="D770:D772"/>
    <mergeCell ref="D751:D753"/>
    <mergeCell ref="D754:D759"/>
    <mergeCell ref="D747:D748"/>
    <mergeCell ref="D749:D750"/>
    <mergeCell ref="D806:D809"/>
    <mergeCell ref="D810:D820"/>
    <mergeCell ref="D799:D801"/>
    <mergeCell ref="D802:D805"/>
    <mergeCell ref="D788:D790"/>
    <mergeCell ref="D791:D798"/>
    <mergeCell ref="D782:D784"/>
    <mergeCell ref="D785:D787"/>
    <mergeCell ref="D773:D781"/>
    <mergeCell ref="D847:D855"/>
    <mergeCell ref="D840:D842"/>
    <mergeCell ref="A833:A904"/>
    <mergeCell ref="B833:B904"/>
    <mergeCell ref="D833:D839"/>
    <mergeCell ref="D843:D846"/>
    <mergeCell ref="D827:D829"/>
    <mergeCell ref="D830:D832"/>
    <mergeCell ref="D821:D822"/>
    <mergeCell ref="D823:D826"/>
    <mergeCell ref="D890:D892"/>
    <mergeCell ref="D893:D896"/>
    <mergeCell ref="D879:D881"/>
    <mergeCell ref="D882:D889"/>
    <mergeCell ref="D872:D874"/>
    <mergeCell ref="D875:D878"/>
    <mergeCell ref="D862:D864"/>
    <mergeCell ref="D865:D871"/>
    <mergeCell ref="D856:D858"/>
    <mergeCell ref="D859:D861"/>
    <mergeCell ref="D926:D929"/>
    <mergeCell ref="D930:D935"/>
    <mergeCell ref="D918:D925"/>
    <mergeCell ref="D912:D914"/>
    <mergeCell ref="A905:A984"/>
    <mergeCell ref="B905:B984"/>
    <mergeCell ref="D905:D911"/>
    <mergeCell ref="D915:D917"/>
    <mergeCell ref="D897:D900"/>
    <mergeCell ref="D901:D904"/>
    <mergeCell ref="D974:D977"/>
    <mergeCell ref="D978:D984"/>
    <mergeCell ref="D967:D969"/>
    <mergeCell ref="D970:D973"/>
    <mergeCell ref="D956:D959"/>
    <mergeCell ref="D960:D966"/>
    <mergeCell ref="D949:D951"/>
    <mergeCell ref="D952:D955"/>
    <mergeCell ref="D936:D939"/>
    <mergeCell ref="D940:D948"/>
    <mergeCell ref="D1006:D1008"/>
    <mergeCell ref="D1009:D1017"/>
    <mergeCell ref="D1000:D1002"/>
    <mergeCell ref="D1003:D1005"/>
    <mergeCell ref="D994:D999"/>
    <mergeCell ref="D989:D990"/>
    <mergeCell ref="A985:A1040"/>
    <mergeCell ref="B985:B1040"/>
    <mergeCell ref="D985:D988"/>
    <mergeCell ref="D991:D993"/>
    <mergeCell ref="D1053:D1063"/>
    <mergeCell ref="D1045:D1047"/>
    <mergeCell ref="A1041:A1125"/>
    <mergeCell ref="B1041:B1125"/>
    <mergeCell ref="D1041:D1044"/>
    <mergeCell ref="D1048:D1052"/>
    <mergeCell ref="D1023:D1025"/>
    <mergeCell ref="D1026:D1036"/>
    <mergeCell ref="D1018:D1019"/>
    <mergeCell ref="D1020:D1022"/>
    <mergeCell ref="D1108:D1111"/>
    <mergeCell ref="D1112:D1114"/>
    <mergeCell ref="D1094:D1096"/>
    <mergeCell ref="D1097:D1107"/>
    <mergeCell ref="D1085:D1088"/>
    <mergeCell ref="D1089:D1093"/>
    <mergeCell ref="D1073:D1076"/>
    <mergeCell ref="D1077:D1084"/>
    <mergeCell ref="D1064:D1068"/>
    <mergeCell ref="D1069:D1072"/>
    <mergeCell ref="D1150:D1152"/>
    <mergeCell ref="D1153:D1157"/>
    <mergeCell ref="D1139:D1149"/>
    <mergeCell ref="D1131:D1133"/>
    <mergeCell ref="A1126:A1212"/>
    <mergeCell ref="B1126:B1212"/>
    <mergeCell ref="D1126:D1130"/>
    <mergeCell ref="D1134:D1138"/>
    <mergeCell ref="D1115:D1118"/>
    <mergeCell ref="D1119:D1125"/>
    <mergeCell ref="D1201:D1204"/>
    <mergeCell ref="D1205:D1212"/>
    <mergeCell ref="D1192:D1197"/>
    <mergeCell ref="D1198:D1200"/>
    <mergeCell ref="D1179:D1181"/>
    <mergeCell ref="D1182:D1191"/>
    <mergeCell ref="D1171:D1174"/>
    <mergeCell ref="D1175:D1178"/>
    <mergeCell ref="D1158:D1161"/>
    <mergeCell ref="D1162:D1170"/>
    <mergeCell ref="D1250:D1252"/>
    <mergeCell ref="D1253:D1254"/>
    <mergeCell ref="D1240:D1241"/>
    <mergeCell ref="D1242:D1249"/>
    <mergeCell ref="D1235:D1236"/>
    <mergeCell ref="D1237:D1239"/>
    <mergeCell ref="D1226:D1234"/>
    <mergeCell ref="D1221:D1222"/>
    <mergeCell ref="A1213:A1273"/>
    <mergeCell ref="B1213:B1273"/>
    <mergeCell ref="D1213:D1220"/>
    <mergeCell ref="D1223:D1225"/>
    <mergeCell ref="D1296:D1297"/>
    <mergeCell ref="D1298:D1299"/>
    <mergeCell ref="D1291:D1295"/>
    <mergeCell ref="D1286:D1287"/>
    <mergeCell ref="A1274:A1316"/>
    <mergeCell ref="B1274:B1316"/>
    <mergeCell ref="D1274:D1282"/>
    <mergeCell ref="D1289:D1290"/>
    <mergeCell ref="D1255:D1257"/>
    <mergeCell ref="D1258:D1269"/>
    <mergeCell ref="D1327:D1332"/>
    <mergeCell ref="D1322:D1323"/>
    <mergeCell ref="A1317:A1367"/>
    <mergeCell ref="B1317:B1367"/>
    <mergeCell ref="D1317:D1321"/>
    <mergeCell ref="D1324:D1326"/>
    <mergeCell ref="D1310:D1311"/>
    <mergeCell ref="D1312:D1316"/>
    <mergeCell ref="D1300:D1301"/>
    <mergeCell ref="D1302:D1307"/>
    <mergeCell ref="D1356:D1357"/>
    <mergeCell ref="D1358:D1359"/>
    <mergeCell ref="D1349:D1353"/>
    <mergeCell ref="D1354:D1355"/>
    <mergeCell ref="D1345:D1346"/>
    <mergeCell ref="D1347:D1348"/>
    <mergeCell ref="D1338:D1342"/>
    <mergeCell ref="D1343:D1344"/>
    <mergeCell ref="D1334:D1335"/>
    <mergeCell ref="D1336:D1337"/>
    <mergeCell ref="D1381:D1383"/>
    <mergeCell ref="D1384:D1385"/>
    <mergeCell ref="D1372:D1373"/>
    <mergeCell ref="D1374:D1380"/>
    <mergeCell ref="D1370:D1371"/>
    <mergeCell ref="D1360:D1367"/>
    <mergeCell ref="A1368:A1425"/>
    <mergeCell ref="B1368:B1425"/>
    <mergeCell ref="D1368:D1369"/>
    <mergeCell ref="D1415:D1417"/>
    <mergeCell ref="D1418:D1425"/>
    <mergeCell ref="D1410:D1412"/>
    <mergeCell ref="D1413:D1414"/>
    <mergeCell ref="D1401:D1403"/>
    <mergeCell ref="D1404:D1409"/>
    <mergeCell ref="D1397:D1398"/>
    <mergeCell ref="D1399:D1400"/>
    <mergeCell ref="D1386:D1388"/>
    <mergeCell ref="D1389:D1396"/>
    <mergeCell ref="D1454:D1456"/>
    <mergeCell ref="D1457:D1458"/>
    <mergeCell ref="D1445:D1451"/>
    <mergeCell ref="D1452:D1453"/>
    <mergeCell ref="D1441:D1442"/>
    <mergeCell ref="D1443:D1444"/>
    <mergeCell ref="D1438:D1440"/>
    <mergeCell ref="D1430:D1431"/>
    <mergeCell ref="A1426:A1479"/>
    <mergeCell ref="B1426:B1479"/>
    <mergeCell ref="D1427:D1429"/>
    <mergeCell ref="D1432:D1437"/>
    <mergeCell ref="D1484:D1485"/>
    <mergeCell ref="D1473:D1479"/>
    <mergeCell ref="A1480:A1541"/>
    <mergeCell ref="B1480:B1541"/>
    <mergeCell ref="D1480:D1483"/>
    <mergeCell ref="D1469:D1470"/>
    <mergeCell ref="D1471:D1472"/>
    <mergeCell ref="D1459:D1465"/>
    <mergeCell ref="D1466:D1468"/>
    <mergeCell ref="D1517:D1518"/>
    <mergeCell ref="D1519:D1526"/>
    <mergeCell ref="D1511:D1513"/>
    <mergeCell ref="D1514:D1516"/>
    <mergeCell ref="D1501:D1502"/>
    <mergeCell ref="D1503:D1510"/>
    <mergeCell ref="D1495:D1497"/>
    <mergeCell ref="D1498:D1500"/>
    <mergeCell ref="D1486:D1487"/>
    <mergeCell ref="D1488:D1494"/>
    <mergeCell ref="D1547:D1549"/>
    <mergeCell ref="A1542:A1626"/>
    <mergeCell ref="B1542:B1626"/>
    <mergeCell ref="D1542:D1546"/>
    <mergeCell ref="D1550:D1553"/>
    <mergeCell ref="D1532:D1534"/>
    <mergeCell ref="D1535:D1541"/>
    <mergeCell ref="D1527:D1528"/>
    <mergeCell ref="D1529:D1531"/>
    <mergeCell ref="D1594:D1597"/>
    <mergeCell ref="D1598:D1607"/>
    <mergeCell ref="D1584:D1589"/>
    <mergeCell ref="D1590:D1593"/>
    <mergeCell ref="D1572:D1574"/>
    <mergeCell ref="D1575:D1583"/>
    <mergeCell ref="D1563:D1568"/>
    <mergeCell ref="D1569:D1571"/>
    <mergeCell ref="D1554:D1562"/>
    <mergeCell ref="D1635:D1637"/>
    <mergeCell ref="A1627:A1702"/>
    <mergeCell ref="B1627:B1702"/>
    <mergeCell ref="D1627:D1634"/>
    <mergeCell ref="D1638:D1640"/>
    <mergeCell ref="D1621:D1623"/>
    <mergeCell ref="D1624:D1626"/>
    <mergeCell ref="D1608:D1612"/>
    <mergeCell ref="D1613:D1620"/>
    <mergeCell ref="D1672:D1676"/>
    <mergeCell ref="D1677:D1683"/>
    <mergeCell ref="D1665:D1668"/>
    <mergeCell ref="D1669:D1671"/>
    <mergeCell ref="D1655:D1658"/>
    <mergeCell ref="D1659:D1664"/>
    <mergeCell ref="D1649:D1651"/>
    <mergeCell ref="D1652:D1654"/>
    <mergeCell ref="D1641:D1648"/>
    <mergeCell ref="D1708:D1713"/>
    <mergeCell ref="A1703:A1780"/>
    <mergeCell ref="B1703:B1780"/>
    <mergeCell ref="D1703:D1707"/>
    <mergeCell ref="D1714:D1716"/>
    <mergeCell ref="D1690:D1694"/>
    <mergeCell ref="D1695:D1702"/>
    <mergeCell ref="D1684:D1686"/>
    <mergeCell ref="D1687:D1689"/>
    <mergeCell ref="D1749:D1752"/>
    <mergeCell ref="D1753:D1759"/>
    <mergeCell ref="D1744:D1745"/>
    <mergeCell ref="D1746:D1748"/>
    <mergeCell ref="D1730:D1734"/>
    <mergeCell ref="D1735:D1743"/>
    <mergeCell ref="D1725:D1726"/>
    <mergeCell ref="D1727:D1729"/>
    <mergeCell ref="D1717:D1724"/>
    <mergeCell ref="D1789:D1791"/>
    <mergeCell ref="A1781:A1862"/>
    <mergeCell ref="B1781:B1862"/>
    <mergeCell ref="D1781:D1788"/>
    <mergeCell ref="D1792:D1794"/>
    <mergeCell ref="D1768:D1771"/>
    <mergeCell ref="D1772:D1780"/>
    <mergeCell ref="D1760:D1764"/>
    <mergeCell ref="D1765:D1767"/>
    <mergeCell ref="D1834:D1836"/>
    <mergeCell ref="D1837:D1846"/>
    <mergeCell ref="D1825:D1828"/>
    <mergeCell ref="D1829:D1833"/>
    <mergeCell ref="D1812:D1815"/>
    <mergeCell ref="D1816:D1824"/>
    <mergeCell ref="D1805:D1808"/>
    <mergeCell ref="D1809:D1811"/>
    <mergeCell ref="D1795:D1804"/>
    <mergeCell ref="D1873:D1875"/>
    <mergeCell ref="D1876:D1885"/>
    <mergeCell ref="D1869:D1872"/>
    <mergeCell ref="D1854:D1861"/>
    <mergeCell ref="A1863:A1941"/>
    <mergeCell ref="B1863:B1941"/>
    <mergeCell ref="D1863:D1868"/>
    <mergeCell ref="D1847:D1850"/>
    <mergeCell ref="D1851:D1853"/>
    <mergeCell ref="D1923:D1925"/>
    <mergeCell ref="D1926:D1928"/>
    <mergeCell ref="D1910:D1913"/>
    <mergeCell ref="D1914:D1922"/>
    <mergeCell ref="D1903:D1906"/>
    <mergeCell ref="D1907:D1909"/>
    <mergeCell ref="D1892:D1894"/>
    <mergeCell ref="D1895:D1902"/>
    <mergeCell ref="D1886:D1887"/>
    <mergeCell ref="D1888:D1891"/>
    <mergeCell ref="D1964:D1967"/>
    <mergeCell ref="D1968:D1969"/>
    <mergeCell ref="D1956:D1963"/>
    <mergeCell ref="D1948:D1951"/>
    <mergeCell ref="A1942:A2019"/>
    <mergeCell ref="B1942:B2019"/>
    <mergeCell ref="D1942:D1947"/>
    <mergeCell ref="D1952:D1955"/>
    <mergeCell ref="D1929:D1932"/>
    <mergeCell ref="D1933:D1941"/>
    <mergeCell ref="D2008:D2011"/>
    <mergeCell ref="D2012:D2019"/>
    <mergeCell ref="D2002:D2004"/>
    <mergeCell ref="D2005:D2007"/>
    <mergeCell ref="D1989:D1992"/>
    <mergeCell ref="D1993:D2001"/>
    <mergeCell ref="D1981:D1985"/>
    <mergeCell ref="D1986:D1988"/>
    <mergeCell ref="D1970:D1972"/>
    <mergeCell ref="D1973:D1980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BC745C-3570-46B8-9F8B-0E26CEAE06CF}">
  <dimension ref="A1:S478"/>
  <sheetViews>
    <sheetView topLeftCell="A429" zoomScale="68" zoomScaleNormal="68" workbookViewId="0">
      <selection sqref="A1:J478"/>
    </sheetView>
  </sheetViews>
  <sheetFormatPr defaultRowHeight="15"/>
  <cols>
    <col min="1" max="1" width="14.42578125" style="181" customWidth="1"/>
    <col min="2" max="2" width="9.140625" style="209"/>
    <col min="3" max="6" width="9.140625" style="180"/>
    <col min="7" max="7" width="9.140625" style="190"/>
    <col min="8" max="8" width="9.140625" style="180"/>
    <col min="9" max="9" width="17.7109375" style="190" customWidth="1"/>
    <col min="10" max="10" width="21.5703125" style="180" customWidth="1"/>
  </cols>
  <sheetData>
    <row r="1" spans="1:10" s="181" customFormat="1" ht="15.75" thickBot="1">
      <c r="A1" s="265" t="s">
        <v>2013</v>
      </c>
      <c r="B1" s="265"/>
      <c r="C1" s="265"/>
      <c r="D1" s="265"/>
      <c r="E1" s="265"/>
      <c r="F1" s="265"/>
      <c r="G1" s="265"/>
      <c r="H1" s="265"/>
      <c r="I1" s="265"/>
      <c r="J1" s="266"/>
    </row>
    <row r="2" spans="1:10" s="185" customFormat="1" ht="36.75" thickBot="1">
      <c r="A2" s="92"/>
      <c r="B2" s="205" t="s">
        <v>2028</v>
      </c>
      <c r="C2" s="182" t="s">
        <v>2029</v>
      </c>
      <c r="D2" s="182" t="s">
        <v>2030</v>
      </c>
      <c r="E2" s="182" t="s">
        <v>2031</v>
      </c>
      <c r="F2" s="184" t="s">
        <v>216</v>
      </c>
      <c r="G2" s="183" t="s">
        <v>215</v>
      </c>
      <c r="H2" s="184" t="s">
        <v>217</v>
      </c>
      <c r="I2" s="183" t="s">
        <v>222</v>
      </c>
      <c r="J2" s="184" t="s">
        <v>218</v>
      </c>
    </row>
    <row r="3" spans="1:10" ht="15.75" thickBot="1">
      <c r="A3" s="273" t="s">
        <v>226</v>
      </c>
      <c r="B3" s="206">
        <v>1</v>
      </c>
      <c r="C3" s="186">
        <v>0.45500000000000002</v>
      </c>
      <c r="D3" s="186">
        <v>1.0049999999999999</v>
      </c>
      <c r="E3" s="186">
        <v>0.51500000000000001</v>
      </c>
      <c r="F3" s="188">
        <v>359.19</v>
      </c>
      <c r="G3" s="187">
        <v>397.27118133333329</v>
      </c>
      <c r="H3" s="188">
        <v>38.081181333333348</v>
      </c>
      <c r="I3" s="187" t="s">
        <v>2014</v>
      </c>
      <c r="J3" s="188" t="s">
        <v>2017</v>
      </c>
    </row>
    <row r="4" spans="1:10" ht="15.75" thickBot="1">
      <c r="A4" s="274"/>
      <c r="B4" s="206">
        <v>2</v>
      </c>
      <c r="C4" s="186">
        <v>0.45500000000000002</v>
      </c>
      <c r="D4" s="186">
        <v>1.0049999999999999</v>
      </c>
      <c r="E4" s="186">
        <v>0.51500000000000001</v>
      </c>
      <c r="F4" s="188">
        <v>479.46</v>
      </c>
      <c r="G4" s="187"/>
      <c r="H4" s="188" t="s">
        <v>236</v>
      </c>
      <c r="I4" s="187" t="s">
        <v>2014</v>
      </c>
      <c r="J4" s="188" t="s">
        <v>2018</v>
      </c>
    </row>
    <row r="5" spans="1:10" ht="15.75" thickBot="1">
      <c r="A5" s="274"/>
      <c r="B5" s="206">
        <v>3</v>
      </c>
      <c r="C5" s="186">
        <v>0.51</v>
      </c>
      <c r="D5" s="186">
        <v>1.02</v>
      </c>
      <c r="E5" s="186">
        <v>0.505</v>
      </c>
      <c r="F5" s="188">
        <v>359.19</v>
      </c>
      <c r="G5" s="187">
        <v>354.74938200000003</v>
      </c>
      <c r="H5" s="188">
        <v>4.4406179999999722</v>
      </c>
      <c r="I5" s="187" t="s">
        <v>2014</v>
      </c>
      <c r="J5" s="188" t="s">
        <v>2016</v>
      </c>
    </row>
    <row r="6" spans="1:10" ht="15.75" thickBot="1">
      <c r="A6" s="274"/>
      <c r="B6" s="206">
        <v>4</v>
      </c>
      <c r="C6" s="186">
        <v>0.64</v>
      </c>
      <c r="D6" s="186">
        <v>1.2549999999999999</v>
      </c>
      <c r="E6" s="186">
        <v>0.60499999999999998</v>
      </c>
      <c r="F6" s="188">
        <v>359.19</v>
      </c>
      <c r="G6" s="187">
        <v>358.71150499999999</v>
      </c>
      <c r="H6" s="188">
        <v>0.47849500000000939</v>
      </c>
      <c r="I6" s="187" t="s">
        <v>2014</v>
      </c>
      <c r="J6" s="188" t="s">
        <v>2016</v>
      </c>
    </row>
    <row r="7" spans="1:10" ht="15.75" thickBot="1">
      <c r="A7" s="274"/>
      <c r="B7" s="206">
        <v>5</v>
      </c>
      <c r="C7" s="186">
        <v>0.28499999999999998</v>
      </c>
      <c r="D7" s="186">
        <v>0.69499999999999995</v>
      </c>
      <c r="E7" s="186">
        <v>0.59499999999999997</v>
      </c>
      <c r="F7" s="188">
        <v>359.19</v>
      </c>
      <c r="G7" s="187">
        <v>357.95000900000002</v>
      </c>
      <c r="H7" s="188">
        <v>1.239991000000032</v>
      </c>
      <c r="I7" s="187" t="s">
        <v>2014</v>
      </c>
      <c r="J7" s="188" t="s">
        <v>2016</v>
      </c>
    </row>
    <row r="8" spans="1:10" ht="15.75" thickBot="1">
      <c r="A8" s="274"/>
      <c r="B8" s="206">
        <v>6</v>
      </c>
      <c r="C8" s="186">
        <v>0.42</v>
      </c>
      <c r="D8" s="186">
        <v>0.98</v>
      </c>
      <c r="E8" s="186">
        <v>0.505</v>
      </c>
      <c r="F8" s="188">
        <v>320</v>
      </c>
      <c r="G8" s="187">
        <v>323.27038900000002</v>
      </c>
      <c r="H8" s="188">
        <v>3.2703890000000229</v>
      </c>
      <c r="I8" s="187" t="s">
        <v>2014</v>
      </c>
      <c r="J8" s="188" t="s">
        <v>2016</v>
      </c>
    </row>
    <row r="9" spans="1:10" ht="15.75" thickBot="1">
      <c r="A9" s="274"/>
      <c r="B9" s="206">
        <v>7</v>
      </c>
      <c r="C9" s="186">
        <v>0.46</v>
      </c>
      <c r="D9" s="186">
        <v>0.98499999999999999</v>
      </c>
      <c r="E9" s="186">
        <v>0.56000000000000005</v>
      </c>
      <c r="F9" s="188">
        <v>239.73</v>
      </c>
      <c r="G9" s="187">
        <v>240.527503</v>
      </c>
      <c r="H9" s="188">
        <v>0.79750300000000607</v>
      </c>
      <c r="I9" s="187" t="s">
        <v>2014</v>
      </c>
      <c r="J9" s="188" t="s">
        <v>2016</v>
      </c>
    </row>
    <row r="10" spans="1:10" ht="15.75" thickBot="1">
      <c r="A10" s="274"/>
      <c r="B10" s="206">
        <v>8</v>
      </c>
      <c r="C10" s="186">
        <v>0.52500000000000002</v>
      </c>
      <c r="D10" s="186">
        <v>0.995</v>
      </c>
      <c r="E10" s="186">
        <v>0.49</v>
      </c>
      <c r="F10" s="188">
        <v>239.73</v>
      </c>
      <c r="G10" s="187"/>
      <c r="H10" s="188" t="s">
        <v>236</v>
      </c>
      <c r="I10" s="187" t="s">
        <v>2014</v>
      </c>
      <c r="J10" s="188" t="s">
        <v>2018</v>
      </c>
    </row>
    <row r="11" spans="1:10" ht="15.75" thickBot="1">
      <c r="A11" s="274"/>
      <c r="B11" s="206">
        <v>9</v>
      </c>
      <c r="C11" s="186">
        <v>0.45500000000000002</v>
      </c>
      <c r="D11" s="186">
        <v>1.0049999999999999</v>
      </c>
      <c r="E11" s="186">
        <v>0.54</v>
      </c>
      <c r="F11" s="188">
        <v>320</v>
      </c>
      <c r="G11" s="187">
        <v>324.64815549999997</v>
      </c>
      <c r="H11" s="188">
        <v>4.6481555000000299</v>
      </c>
      <c r="I11" s="187" t="s">
        <v>2014</v>
      </c>
      <c r="J11" s="188" t="s">
        <v>2016</v>
      </c>
    </row>
    <row r="12" spans="1:10" ht="15.75" thickBot="1">
      <c r="A12" s="274"/>
      <c r="B12" s="206">
        <v>10</v>
      </c>
      <c r="C12" s="186">
        <v>0.44500000000000001</v>
      </c>
      <c r="D12" s="186">
        <v>1.0049999999999999</v>
      </c>
      <c r="E12" s="186">
        <v>0.51</v>
      </c>
      <c r="F12" s="188">
        <v>239.73</v>
      </c>
      <c r="G12" s="187">
        <v>242.08223899999999</v>
      </c>
      <c r="H12" s="188">
        <v>2</v>
      </c>
      <c r="I12" s="187" t="s">
        <v>2014</v>
      </c>
      <c r="J12" s="188" t="s">
        <v>2016</v>
      </c>
    </row>
    <row r="13" spans="1:10" ht="15.75" thickBot="1">
      <c r="A13" s="274"/>
      <c r="B13" s="206">
        <v>11</v>
      </c>
      <c r="C13" s="186">
        <v>0.435</v>
      </c>
      <c r="D13" s="186">
        <v>1</v>
      </c>
      <c r="E13" s="186">
        <v>0.49</v>
      </c>
      <c r="F13" s="188">
        <v>479.46</v>
      </c>
      <c r="G13" s="187">
        <v>478.64529649999997</v>
      </c>
      <c r="H13" s="188">
        <v>0.81470350000000735</v>
      </c>
      <c r="I13" s="187" t="s">
        <v>2014</v>
      </c>
      <c r="J13" s="188" t="s">
        <v>2016</v>
      </c>
    </row>
    <row r="14" spans="1:10" ht="15.75" thickBot="1">
      <c r="A14" s="274"/>
      <c r="B14" s="206">
        <v>12</v>
      </c>
      <c r="C14" s="186">
        <v>0.435</v>
      </c>
      <c r="D14" s="186">
        <v>1.0049999999999999</v>
      </c>
      <c r="E14" s="186">
        <v>0.51</v>
      </c>
      <c r="F14" s="188">
        <v>320</v>
      </c>
      <c r="G14" s="187">
        <v>324.77957300000003</v>
      </c>
      <c r="H14" s="188">
        <v>4.7795730000000276</v>
      </c>
      <c r="I14" s="187" t="s">
        <v>2014</v>
      </c>
      <c r="J14" s="188" t="s">
        <v>2016</v>
      </c>
    </row>
    <row r="15" spans="1:10" ht="15.75" thickBot="1">
      <c r="A15" s="274"/>
      <c r="B15" s="206">
        <v>13</v>
      </c>
      <c r="C15" s="186">
        <v>0.44500000000000001</v>
      </c>
      <c r="D15" s="186">
        <v>1.01</v>
      </c>
      <c r="E15" s="186">
        <v>0.53500000000000003</v>
      </c>
      <c r="F15" s="188">
        <v>359.19</v>
      </c>
      <c r="G15" s="187">
        <v>359.27818699999989</v>
      </c>
      <c r="H15" s="188">
        <v>8.8186999999948057E-2</v>
      </c>
      <c r="I15" s="187" t="s">
        <v>2014</v>
      </c>
      <c r="J15" s="188" t="s">
        <v>2016</v>
      </c>
    </row>
    <row r="16" spans="1:10" ht="15.75" thickBot="1">
      <c r="A16" s="274"/>
      <c r="B16" s="206">
        <v>14</v>
      </c>
      <c r="C16" s="186">
        <v>0.435</v>
      </c>
      <c r="D16" s="186">
        <v>1.0149999999999999</v>
      </c>
      <c r="E16" s="186">
        <v>0.49</v>
      </c>
      <c r="F16" s="188">
        <v>320</v>
      </c>
      <c r="G16" s="187">
        <v>323.87190700000002</v>
      </c>
      <c r="H16" s="188">
        <v>3.871907000000022</v>
      </c>
      <c r="I16" s="187" t="s">
        <v>2014</v>
      </c>
      <c r="J16" s="188" t="s">
        <v>2016</v>
      </c>
    </row>
    <row r="17" spans="1:10" ht="15.75" thickBot="1">
      <c r="A17" s="274"/>
      <c r="B17" s="206">
        <v>15</v>
      </c>
      <c r="C17" s="186">
        <v>0.44</v>
      </c>
      <c r="D17" s="186">
        <v>1.02</v>
      </c>
      <c r="E17" s="186">
        <v>0.5</v>
      </c>
      <c r="F17" s="188">
        <v>239.73</v>
      </c>
      <c r="G17" s="187">
        <v>240.55082999999999</v>
      </c>
      <c r="H17" s="188">
        <v>0.82083000000000084</v>
      </c>
      <c r="I17" s="187" t="s">
        <v>2014</v>
      </c>
      <c r="J17" s="188" t="s">
        <v>2016</v>
      </c>
    </row>
    <row r="18" spans="1:10" ht="15.75" thickBot="1">
      <c r="A18" s="275"/>
      <c r="B18" s="206">
        <v>16</v>
      </c>
      <c r="C18" s="186">
        <v>0.4</v>
      </c>
      <c r="D18" s="186">
        <v>1.0249999999999999</v>
      </c>
      <c r="E18" s="186">
        <v>0.51</v>
      </c>
      <c r="F18" s="188">
        <v>239.73</v>
      </c>
      <c r="G18" s="187"/>
      <c r="H18" s="188" t="s">
        <v>236</v>
      </c>
      <c r="I18" s="187" t="s">
        <v>2014</v>
      </c>
      <c r="J18" s="188" t="s">
        <v>2018</v>
      </c>
    </row>
    <row r="19" spans="1:10" ht="15.75" thickBot="1">
      <c r="B19" s="207"/>
      <c r="C19" s="179"/>
      <c r="D19" s="179"/>
      <c r="E19" s="179"/>
      <c r="I19" s="189"/>
    </row>
    <row r="20" spans="1:10" s="181" customFormat="1" ht="15.75" thickBot="1">
      <c r="A20" s="267" t="s">
        <v>2019</v>
      </c>
      <c r="B20" s="268"/>
      <c r="C20" s="268"/>
      <c r="D20" s="268"/>
      <c r="E20" s="268"/>
      <c r="F20" s="268"/>
      <c r="G20" s="268"/>
      <c r="H20" s="268"/>
      <c r="I20" s="268"/>
      <c r="J20" s="269"/>
    </row>
    <row r="21" spans="1:10" s="185" customFormat="1" ht="36.75" thickBot="1">
      <c r="A21" s="92"/>
      <c r="B21" s="205" t="s">
        <v>2028</v>
      </c>
      <c r="C21" s="182" t="s">
        <v>2029</v>
      </c>
      <c r="D21" s="182" t="s">
        <v>2030</v>
      </c>
      <c r="E21" s="182" t="s">
        <v>2031</v>
      </c>
      <c r="F21" s="184" t="s">
        <v>216</v>
      </c>
      <c r="G21" s="183" t="s">
        <v>215</v>
      </c>
      <c r="H21" s="184" t="s">
        <v>217</v>
      </c>
      <c r="I21" s="183" t="s">
        <v>222</v>
      </c>
      <c r="J21" s="184" t="s">
        <v>218</v>
      </c>
    </row>
    <row r="22" spans="1:10" ht="15.75" thickBot="1">
      <c r="A22" s="264" t="s">
        <v>323</v>
      </c>
      <c r="B22" s="206">
        <v>1</v>
      </c>
      <c r="C22" s="186">
        <v>0.45500000000000002</v>
      </c>
      <c r="D22" s="186">
        <v>1.0049999999999999</v>
      </c>
      <c r="E22" s="186">
        <v>0.505</v>
      </c>
      <c r="F22" s="188">
        <v>373.78</v>
      </c>
      <c r="G22" s="187">
        <v>363.12804575000001</v>
      </c>
      <c r="H22" s="188">
        <v>10.65195424999996</v>
      </c>
      <c r="I22" s="187" t="s">
        <v>2014</v>
      </c>
      <c r="J22" s="188" t="s">
        <v>2017</v>
      </c>
    </row>
    <row r="23" spans="1:10" ht="15.75" thickBot="1">
      <c r="A23" s="264"/>
      <c r="B23" s="206">
        <v>2</v>
      </c>
      <c r="C23" s="186">
        <v>0.22</v>
      </c>
      <c r="D23" s="186">
        <v>0.76</v>
      </c>
      <c r="E23" s="186">
        <v>0.54500000000000004</v>
      </c>
      <c r="F23" s="188">
        <v>498.94</v>
      </c>
      <c r="G23" s="187">
        <v>480.05129149999999</v>
      </c>
      <c r="H23" s="188">
        <v>18.888708500000011</v>
      </c>
      <c r="I23" s="187" t="s">
        <v>2014</v>
      </c>
      <c r="J23" s="188" t="s">
        <v>2017</v>
      </c>
    </row>
    <row r="24" spans="1:10" ht="15.75" thickBot="1">
      <c r="A24" s="264"/>
      <c r="B24" s="206">
        <v>3</v>
      </c>
      <c r="C24" s="186">
        <v>0.45</v>
      </c>
      <c r="D24" s="186">
        <v>1.0049999999999999</v>
      </c>
      <c r="E24" s="186">
        <v>0.52500000000000002</v>
      </c>
      <c r="F24" s="188">
        <v>373.78</v>
      </c>
      <c r="G24" s="187">
        <v>362.77396499999998</v>
      </c>
      <c r="H24" s="188">
        <v>11.006035000000001</v>
      </c>
      <c r="I24" s="187" t="s">
        <v>2014</v>
      </c>
      <c r="J24" s="188" t="s">
        <v>2017</v>
      </c>
    </row>
    <row r="25" spans="1:10" ht="15.75" thickBot="1">
      <c r="A25" s="264"/>
      <c r="B25" s="206">
        <v>4</v>
      </c>
      <c r="C25" s="186">
        <v>0.44500000000000001</v>
      </c>
      <c r="D25" s="186">
        <v>1</v>
      </c>
      <c r="E25" s="186">
        <v>0.53</v>
      </c>
      <c r="F25" s="188">
        <v>373.78</v>
      </c>
      <c r="G25" s="187">
        <v>364.50185909999999</v>
      </c>
      <c r="H25" s="188">
        <v>9.2781408999999826</v>
      </c>
      <c r="I25" s="187" t="s">
        <v>2014</v>
      </c>
      <c r="J25" s="188" t="s">
        <v>2017</v>
      </c>
    </row>
    <row r="26" spans="1:10" ht="15.75" thickBot="1">
      <c r="A26" s="264"/>
      <c r="B26" s="206">
        <v>5</v>
      </c>
      <c r="C26" s="186">
        <v>0.43</v>
      </c>
      <c r="D26" s="186">
        <v>0.995</v>
      </c>
      <c r="E26" s="186">
        <v>0.53</v>
      </c>
      <c r="F26" s="188">
        <v>373.78</v>
      </c>
      <c r="G26" s="187">
        <v>363.45186100000001</v>
      </c>
      <c r="H26" s="188">
        <v>10.328138999999959</v>
      </c>
      <c r="I26" s="187" t="s">
        <v>2014</v>
      </c>
      <c r="J26" s="188" t="s">
        <v>2017</v>
      </c>
    </row>
    <row r="27" spans="1:10" ht="15.75" thickBot="1">
      <c r="A27" s="264"/>
      <c r="B27" s="206">
        <v>6</v>
      </c>
      <c r="C27" s="186">
        <v>0.435</v>
      </c>
      <c r="D27" s="186">
        <v>0.99</v>
      </c>
      <c r="E27" s="186">
        <v>0.52</v>
      </c>
      <c r="F27" s="188">
        <v>333</v>
      </c>
      <c r="G27" s="187">
        <v>327.31660249999999</v>
      </c>
      <c r="H27" s="188">
        <v>5.6833975000000123</v>
      </c>
      <c r="I27" s="187" t="s">
        <v>2014</v>
      </c>
      <c r="J27" s="188" t="s">
        <v>2016</v>
      </c>
    </row>
    <row r="28" spans="1:10" ht="15.75" thickBot="1">
      <c r="A28" s="264"/>
      <c r="B28" s="206">
        <v>7</v>
      </c>
      <c r="C28" s="186">
        <v>0.29499999999999998</v>
      </c>
      <c r="D28" s="186">
        <v>0.82499999999999996</v>
      </c>
      <c r="E28" s="186">
        <v>0.48</v>
      </c>
      <c r="F28" s="188">
        <v>249.47</v>
      </c>
      <c r="G28" s="187">
        <v>245.80509075000001</v>
      </c>
      <c r="H28" s="188">
        <v>3.6649092500000222</v>
      </c>
      <c r="I28" s="187" t="s">
        <v>2014</v>
      </c>
      <c r="J28" s="188" t="s">
        <v>2016</v>
      </c>
    </row>
    <row r="29" spans="1:10" ht="15.75" thickBot="1">
      <c r="A29" s="264"/>
      <c r="B29" s="206">
        <v>8</v>
      </c>
      <c r="C29" s="186">
        <v>0.42</v>
      </c>
      <c r="D29" s="186">
        <v>1.0149999999999999</v>
      </c>
      <c r="E29" s="186">
        <v>0.52500000000000002</v>
      </c>
      <c r="F29" s="188">
        <v>249.47</v>
      </c>
      <c r="G29" s="187">
        <v>245.9686488333333</v>
      </c>
      <c r="H29" s="188">
        <v>3.5013511666666659</v>
      </c>
      <c r="I29" s="187" t="s">
        <v>2014</v>
      </c>
      <c r="J29" s="188" t="s">
        <v>2016</v>
      </c>
    </row>
    <row r="30" spans="1:10" ht="15.75" thickBot="1">
      <c r="A30" s="264"/>
      <c r="B30" s="206">
        <v>9</v>
      </c>
      <c r="C30" s="186">
        <v>0.42499999999999999</v>
      </c>
      <c r="D30" s="186">
        <v>0.99</v>
      </c>
      <c r="E30" s="186">
        <v>0.51500000000000001</v>
      </c>
      <c r="F30" s="188">
        <v>333</v>
      </c>
      <c r="G30" s="187">
        <v>309.92756559999998</v>
      </c>
      <c r="H30" s="188">
        <v>23.07243439999996</v>
      </c>
      <c r="I30" s="187" t="s">
        <v>2014</v>
      </c>
      <c r="J30" s="188" t="s">
        <v>2017</v>
      </c>
    </row>
    <row r="31" spans="1:10" ht="15.75" thickBot="1">
      <c r="A31" s="264"/>
      <c r="B31" s="206">
        <v>10</v>
      </c>
      <c r="C31" s="186">
        <v>0.435</v>
      </c>
      <c r="D31" s="186">
        <v>1.0049999999999999</v>
      </c>
      <c r="E31" s="186">
        <v>0.51500000000000001</v>
      </c>
      <c r="F31" s="188">
        <v>249.47</v>
      </c>
      <c r="G31" s="187">
        <v>244.93694149999999</v>
      </c>
      <c r="H31" s="188">
        <v>4.5330585000000099</v>
      </c>
      <c r="I31" s="187" t="s">
        <v>2014</v>
      </c>
      <c r="J31" s="188" t="s">
        <v>2016</v>
      </c>
    </row>
    <row r="32" spans="1:10" ht="15.75" thickBot="1">
      <c r="A32" s="264"/>
      <c r="B32" s="206">
        <v>11</v>
      </c>
      <c r="C32" s="186">
        <v>0.47</v>
      </c>
      <c r="D32" s="186">
        <v>0.99</v>
      </c>
      <c r="E32" s="186">
        <v>0.42</v>
      </c>
      <c r="F32" s="188">
        <v>498.94</v>
      </c>
      <c r="G32" s="187">
        <v>490.24701499999998</v>
      </c>
      <c r="H32" s="188">
        <v>8.6929850000000215</v>
      </c>
      <c r="I32" s="187" t="s">
        <v>2014</v>
      </c>
      <c r="J32" s="188" t="s">
        <v>2016</v>
      </c>
    </row>
    <row r="33" spans="1:10" ht="15.75" thickBot="1">
      <c r="A33" s="264"/>
      <c r="B33" s="206">
        <v>12</v>
      </c>
      <c r="C33" s="186">
        <v>0.44</v>
      </c>
      <c r="D33" s="186">
        <v>1</v>
      </c>
      <c r="E33" s="186">
        <v>0.495</v>
      </c>
      <c r="F33" s="188">
        <v>333</v>
      </c>
      <c r="G33" s="187">
        <v>331.06197974999998</v>
      </c>
      <c r="H33" s="188">
        <v>1.9380202500000221</v>
      </c>
      <c r="I33" s="187" t="s">
        <v>2014</v>
      </c>
      <c r="J33" s="188" t="s">
        <v>2016</v>
      </c>
    </row>
    <row r="34" spans="1:10" ht="15.75" thickBot="1">
      <c r="A34" s="264"/>
      <c r="B34" s="206">
        <v>13</v>
      </c>
      <c r="C34" s="186">
        <v>0.44</v>
      </c>
      <c r="D34" s="186">
        <v>1</v>
      </c>
      <c r="E34" s="186">
        <v>0.51</v>
      </c>
      <c r="F34" s="188">
        <v>373.78</v>
      </c>
      <c r="G34" s="187">
        <v>427.83012650000001</v>
      </c>
      <c r="H34" s="188">
        <v>54.050126500000033</v>
      </c>
      <c r="I34" s="187" t="s">
        <v>2014</v>
      </c>
      <c r="J34" s="188" t="s">
        <v>2017</v>
      </c>
    </row>
    <row r="35" spans="1:10" ht="15.75" thickBot="1">
      <c r="A35" s="264"/>
      <c r="B35" s="206">
        <v>14</v>
      </c>
      <c r="C35" s="186">
        <v>0.44</v>
      </c>
      <c r="D35" s="186">
        <v>1</v>
      </c>
      <c r="E35" s="186">
        <v>0.505</v>
      </c>
      <c r="F35" s="188">
        <v>333</v>
      </c>
      <c r="G35" s="187">
        <v>327.64095600000002</v>
      </c>
      <c r="H35" s="188">
        <v>5.359043999999983</v>
      </c>
      <c r="I35" s="187" t="s">
        <v>2014</v>
      </c>
      <c r="J35" s="188" t="s">
        <v>2016</v>
      </c>
    </row>
    <row r="36" spans="1:10" ht="15.75" thickBot="1">
      <c r="A36" s="264"/>
      <c r="B36" s="206">
        <v>15</v>
      </c>
      <c r="C36" s="186">
        <v>0.44500000000000001</v>
      </c>
      <c r="D36" s="186">
        <v>1.01</v>
      </c>
      <c r="E36" s="186">
        <v>0.505</v>
      </c>
      <c r="F36" s="188">
        <v>249.47</v>
      </c>
      <c r="G36" s="187">
        <v>244.34333000000001</v>
      </c>
      <c r="H36" s="188">
        <v>5.1266699999999901</v>
      </c>
      <c r="I36" s="187" t="s">
        <v>2014</v>
      </c>
      <c r="J36" s="188" t="s">
        <v>2016</v>
      </c>
    </row>
    <row r="37" spans="1:10" ht="15.75" thickBot="1">
      <c r="A37" s="264"/>
      <c r="B37" s="206">
        <v>16</v>
      </c>
      <c r="C37" s="186">
        <v>0.36499999999999999</v>
      </c>
      <c r="D37" s="186">
        <v>0.92500000000000004</v>
      </c>
      <c r="E37" s="186">
        <v>0.45</v>
      </c>
      <c r="F37" s="188">
        <v>249.47</v>
      </c>
      <c r="G37" s="187"/>
      <c r="H37" s="188" t="s">
        <v>236</v>
      </c>
      <c r="I37" s="187" t="s">
        <v>2014</v>
      </c>
      <c r="J37" s="188" t="s">
        <v>2018</v>
      </c>
    </row>
    <row r="38" spans="1:10" ht="15.75" thickBot="1">
      <c r="A38" s="264" t="s">
        <v>407</v>
      </c>
      <c r="B38" s="206">
        <v>1</v>
      </c>
      <c r="C38" s="186">
        <v>0.505</v>
      </c>
      <c r="D38" s="186">
        <v>1.02</v>
      </c>
      <c r="E38" s="186">
        <v>0.48499999999999999</v>
      </c>
      <c r="F38" s="188">
        <v>373.78</v>
      </c>
      <c r="G38" s="187">
        <v>367.90287649999999</v>
      </c>
      <c r="H38" s="188">
        <v>5.877123499999982</v>
      </c>
      <c r="I38" s="187" t="s">
        <v>2015</v>
      </c>
      <c r="J38" s="188" t="s">
        <v>2016</v>
      </c>
    </row>
    <row r="39" spans="1:10" ht="15.75" thickBot="1">
      <c r="A39" s="264"/>
      <c r="B39" s="206">
        <v>2</v>
      </c>
      <c r="C39" s="186">
        <v>0.48499999999999999</v>
      </c>
      <c r="D39" s="186">
        <v>1.03</v>
      </c>
      <c r="E39" s="186">
        <v>0.49</v>
      </c>
      <c r="F39" s="188">
        <v>498.94</v>
      </c>
      <c r="G39" s="187">
        <v>488.18544700000001</v>
      </c>
      <c r="H39" s="188">
        <v>10.754552999999991</v>
      </c>
      <c r="I39" s="187" t="s">
        <v>2015</v>
      </c>
      <c r="J39" s="188" t="s">
        <v>2016</v>
      </c>
    </row>
    <row r="40" spans="1:10" ht="15.75" thickBot="1">
      <c r="A40" s="264"/>
      <c r="B40" s="206">
        <v>3</v>
      </c>
      <c r="C40" s="186">
        <v>0.44</v>
      </c>
      <c r="D40" s="186">
        <v>1.0049999999999999</v>
      </c>
      <c r="E40" s="186">
        <v>0.505</v>
      </c>
      <c r="F40" s="188">
        <v>373.78</v>
      </c>
      <c r="G40" s="187">
        <v>366.38218949999998</v>
      </c>
      <c r="H40" s="188">
        <v>7.3978104999999914</v>
      </c>
      <c r="I40" s="187" t="s">
        <v>2015</v>
      </c>
      <c r="J40" s="188" t="s">
        <v>2016</v>
      </c>
    </row>
    <row r="41" spans="1:10" ht="15.75" thickBot="1">
      <c r="A41" s="264"/>
      <c r="B41" s="206">
        <v>4</v>
      </c>
      <c r="C41" s="186">
        <v>0.37</v>
      </c>
      <c r="D41" s="186">
        <v>0.98</v>
      </c>
      <c r="E41" s="186">
        <v>0.45500000000000002</v>
      </c>
      <c r="F41" s="188">
        <v>373.78</v>
      </c>
      <c r="G41" s="187">
        <v>366.90885274999999</v>
      </c>
      <c r="H41" s="188">
        <v>6.8711472499999786</v>
      </c>
      <c r="I41" s="187" t="s">
        <v>2014</v>
      </c>
      <c r="J41" s="188" t="s">
        <v>2016</v>
      </c>
    </row>
    <row r="42" spans="1:10" ht="15.75" thickBot="1">
      <c r="A42" s="264"/>
      <c r="B42" s="206">
        <v>5</v>
      </c>
      <c r="C42" s="186">
        <v>0.44500000000000001</v>
      </c>
      <c r="D42" s="186">
        <v>1.01</v>
      </c>
      <c r="E42" s="186">
        <v>0.51500000000000001</v>
      </c>
      <c r="F42" s="188">
        <v>373.78</v>
      </c>
      <c r="G42" s="187">
        <v>367.49966449999999</v>
      </c>
      <c r="H42" s="188">
        <v>6.2803354999999783</v>
      </c>
      <c r="I42" s="187" t="s">
        <v>2015</v>
      </c>
      <c r="J42" s="188" t="s">
        <v>2016</v>
      </c>
    </row>
    <row r="43" spans="1:10" ht="15.75" thickBot="1">
      <c r="A43" s="264"/>
      <c r="B43" s="206">
        <v>6</v>
      </c>
      <c r="C43" s="186">
        <v>0.61</v>
      </c>
      <c r="D43" s="186">
        <v>1.17</v>
      </c>
      <c r="E43" s="186">
        <v>0.505</v>
      </c>
      <c r="F43" s="188">
        <v>333</v>
      </c>
      <c r="G43" s="187">
        <v>328.05524300000002</v>
      </c>
      <c r="H43" s="188">
        <v>4.9447569999999814</v>
      </c>
      <c r="I43" s="187" t="s">
        <v>2015</v>
      </c>
      <c r="J43" s="188" t="s">
        <v>2016</v>
      </c>
    </row>
    <row r="44" spans="1:10" ht="15.75" thickBot="1">
      <c r="A44" s="264"/>
      <c r="B44" s="206">
        <v>7</v>
      </c>
      <c r="C44" s="186">
        <v>0.42</v>
      </c>
      <c r="D44" s="186">
        <v>1.01</v>
      </c>
      <c r="E44" s="186">
        <v>0.51</v>
      </c>
      <c r="F44" s="188">
        <v>249.47</v>
      </c>
      <c r="G44" s="187">
        <v>246.54660333333331</v>
      </c>
      <c r="H44" s="188">
        <v>2.9233966666666622</v>
      </c>
      <c r="I44" s="187" t="s">
        <v>2015</v>
      </c>
      <c r="J44" s="188" t="s">
        <v>2016</v>
      </c>
    </row>
    <row r="45" spans="1:10" ht="15.75" thickBot="1">
      <c r="A45" s="264"/>
      <c r="B45" s="206">
        <v>8</v>
      </c>
      <c r="C45" s="186">
        <v>0.42499999999999999</v>
      </c>
      <c r="D45" s="186">
        <v>1.0449999999999999</v>
      </c>
      <c r="E45" s="186">
        <v>0.48499999999999999</v>
      </c>
      <c r="F45" s="188">
        <v>249.47</v>
      </c>
      <c r="G45" s="187">
        <v>246.61331171428569</v>
      </c>
      <c r="H45" s="188">
        <v>2.8566882857142559</v>
      </c>
      <c r="I45" s="187" t="s">
        <v>2014</v>
      </c>
      <c r="J45" s="188" t="s">
        <v>2016</v>
      </c>
    </row>
    <row r="46" spans="1:10" ht="15.75" thickBot="1">
      <c r="A46" s="264"/>
      <c r="B46" s="206">
        <v>9</v>
      </c>
      <c r="C46" s="186">
        <v>0.42</v>
      </c>
      <c r="D46" s="186">
        <v>1.01</v>
      </c>
      <c r="E46" s="186">
        <v>0.54</v>
      </c>
      <c r="F46" s="188">
        <v>333</v>
      </c>
      <c r="G46" s="187">
        <v>328.81566500000002</v>
      </c>
      <c r="H46" s="188">
        <v>4.1843350000000328</v>
      </c>
      <c r="I46" s="187" t="s">
        <v>2015</v>
      </c>
      <c r="J46" s="188" t="s">
        <v>2016</v>
      </c>
    </row>
    <row r="47" spans="1:10" ht="15.75" thickBot="1">
      <c r="A47" s="264"/>
      <c r="B47" s="206">
        <v>10</v>
      </c>
      <c r="C47" s="186">
        <v>0.44</v>
      </c>
      <c r="D47" s="186">
        <v>1</v>
      </c>
      <c r="E47" s="186">
        <v>0.51</v>
      </c>
      <c r="F47" s="188">
        <v>249.47</v>
      </c>
      <c r="G47" s="187">
        <v>244.50734625000001</v>
      </c>
      <c r="H47" s="188">
        <v>4.962653749999987</v>
      </c>
      <c r="I47" s="187" t="s">
        <v>2015</v>
      </c>
      <c r="J47" s="188" t="s">
        <v>2016</v>
      </c>
    </row>
    <row r="48" spans="1:10" ht="15.75" thickBot="1">
      <c r="A48" s="264"/>
      <c r="B48" s="206">
        <v>11</v>
      </c>
      <c r="C48" s="186">
        <v>0.45500000000000002</v>
      </c>
      <c r="D48" s="186">
        <v>1.0649999999999999</v>
      </c>
      <c r="E48" s="186">
        <v>0.505</v>
      </c>
      <c r="F48" s="188">
        <v>498.94</v>
      </c>
      <c r="G48" s="187">
        <v>490.2360083333333</v>
      </c>
      <c r="H48" s="188">
        <v>8.7039916666666954</v>
      </c>
      <c r="I48" s="187" t="s">
        <v>2015</v>
      </c>
      <c r="J48" s="188" t="s">
        <v>2016</v>
      </c>
    </row>
    <row r="49" spans="1:10" ht="15.75" thickBot="1">
      <c r="A49" s="264"/>
      <c r="B49" s="206">
        <v>12</v>
      </c>
      <c r="C49" s="186">
        <v>0.44500000000000001</v>
      </c>
      <c r="D49" s="186">
        <v>1.02</v>
      </c>
      <c r="E49" s="186">
        <v>0.52500000000000002</v>
      </c>
      <c r="F49" s="188">
        <v>333</v>
      </c>
      <c r="G49" s="187">
        <v>330.40715349999999</v>
      </c>
      <c r="H49" s="188">
        <v>2.5928465000000069</v>
      </c>
      <c r="I49" s="187" t="s">
        <v>2015</v>
      </c>
      <c r="J49" s="188" t="s">
        <v>2016</v>
      </c>
    </row>
    <row r="50" spans="1:10" ht="15.75" thickBot="1">
      <c r="A50" s="264"/>
      <c r="B50" s="206">
        <v>13</v>
      </c>
      <c r="C50" s="186">
        <v>0.43</v>
      </c>
      <c r="D50" s="186">
        <v>1</v>
      </c>
      <c r="E50" s="186">
        <v>0.5</v>
      </c>
      <c r="F50" s="188">
        <v>373.78</v>
      </c>
      <c r="G50" s="187">
        <v>367.06978766666663</v>
      </c>
      <c r="H50" s="188">
        <v>6.7102123333333452</v>
      </c>
      <c r="I50" s="187" t="s">
        <v>2015</v>
      </c>
      <c r="J50" s="188" t="s">
        <v>2016</v>
      </c>
    </row>
    <row r="51" spans="1:10" ht="15.75" thickBot="1">
      <c r="A51" s="264"/>
      <c r="B51" s="206">
        <v>14</v>
      </c>
      <c r="C51" s="186">
        <v>0.745</v>
      </c>
      <c r="D51" s="186">
        <v>1.2649999999999999</v>
      </c>
      <c r="E51" s="186">
        <v>0.59</v>
      </c>
      <c r="F51" s="188">
        <v>333</v>
      </c>
      <c r="G51" s="187">
        <v>328.86826000000002</v>
      </c>
      <c r="H51" s="188">
        <v>4.1317400000000362</v>
      </c>
      <c r="I51" s="187" t="s">
        <v>2015</v>
      </c>
      <c r="J51" s="188" t="s">
        <v>2016</v>
      </c>
    </row>
    <row r="52" spans="1:10" ht="15.75" thickBot="1">
      <c r="A52" s="264"/>
      <c r="B52" s="206">
        <v>15</v>
      </c>
      <c r="C52" s="186">
        <v>0.45500000000000002</v>
      </c>
      <c r="D52" s="186">
        <v>0.98499999999999999</v>
      </c>
      <c r="E52" s="186">
        <v>0.505</v>
      </c>
      <c r="F52" s="188">
        <v>249.47</v>
      </c>
      <c r="G52" s="187">
        <v>246.3717226666667</v>
      </c>
      <c r="H52" s="188">
        <v>3.098277333333328</v>
      </c>
      <c r="I52" s="187" t="s">
        <v>2015</v>
      </c>
      <c r="J52" s="188" t="s">
        <v>2016</v>
      </c>
    </row>
    <row r="53" spans="1:10" ht="15.75" thickBot="1">
      <c r="A53" s="264"/>
      <c r="B53" s="206">
        <v>16</v>
      </c>
      <c r="C53" s="186">
        <v>0.435</v>
      </c>
      <c r="D53" s="186">
        <v>0.98</v>
      </c>
      <c r="E53" s="186">
        <v>0.51</v>
      </c>
      <c r="F53" s="188">
        <v>249.47</v>
      </c>
      <c r="G53" s="187">
        <v>246.02352959999999</v>
      </c>
      <c r="H53" s="188">
        <v>3.4464704000000101</v>
      </c>
      <c r="I53" s="187" t="s">
        <v>2014</v>
      </c>
      <c r="J53" s="188" t="s">
        <v>2016</v>
      </c>
    </row>
    <row r="54" spans="1:10" ht="15.75" thickBot="1">
      <c r="A54" s="264" t="s">
        <v>488</v>
      </c>
      <c r="B54" s="206">
        <v>1</v>
      </c>
      <c r="C54" s="186">
        <v>0.47</v>
      </c>
      <c r="D54" s="186">
        <v>1.0049999999999999</v>
      </c>
      <c r="E54" s="186">
        <v>0.45</v>
      </c>
      <c r="F54" s="188">
        <v>373.78</v>
      </c>
      <c r="G54" s="187">
        <v>367.79675125</v>
      </c>
      <c r="H54" s="188">
        <v>5.9832487499999729</v>
      </c>
      <c r="I54" s="187" t="s">
        <v>2015</v>
      </c>
      <c r="J54" s="188" t="s">
        <v>2016</v>
      </c>
    </row>
    <row r="55" spans="1:10" ht="15.75" thickBot="1">
      <c r="A55" s="264"/>
      <c r="B55" s="206">
        <v>2</v>
      </c>
      <c r="C55" s="186">
        <v>0.55500000000000005</v>
      </c>
      <c r="D55" s="186">
        <v>1.125</v>
      </c>
      <c r="E55" s="186">
        <v>0.53</v>
      </c>
      <c r="F55" s="188">
        <v>498.94</v>
      </c>
      <c r="G55" s="187">
        <v>503.02346825000006</v>
      </c>
      <c r="H55" s="188">
        <v>4.0834682500000667</v>
      </c>
      <c r="I55" s="187" t="s">
        <v>2015</v>
      </c>
      <c r="J55" s="188" t="s">
        <v>2016</v>
      </c>
    </row>
    <row r="56" spans="1:10" ht="15.75" thickBot="1">
      <c r="A56" s="264"/>
      <c r="B56" s="206">
        <v>3</v>
      </c>
      <c r="C56" s="186">
        <v>0.54</v>
      </c>
      <c r="D56" s="186">
        <v>1.105</v>
      </c>
      <c r="E56" s="186">
        <v>0.56499999999999995</v>
      </c>
      <c r="F56" s="188">
        <v>373.78</v>
      </c>
      <c r="G56" s="187">
        <v>367.5874215</v>
      </c>
      <c r="H56" s="188">
        <v>6.1925784999999678</v>
      </c>
      <c r="I56" s="187" t="s">
        <v>2015</v>
      </c>
      <c r="J56" s="188" t="s">
        <v>2016</v>
      </c>
    </row>
    <row r="57" spans="1:10" ht="15.75" thickBot="1">
      <c r="A57" s="264"/>
      <c r="B57" s="206">
        <v>4</v>
      </c>
      <c r="C57" s="186">
        <v>0.41</v>
      </c>
      <c r="D57" s="186">
        <v>1.0149999999999999</v>
      </c>
      <c r="E57" s="186">
        <v>0.56000000000000005</v>
      </c>
      <c r="F57" s="188">
        <v>373.78</v>
      </c>
      <c r="G57" s="187">
        <v>367.70233862499998</v>
      </c>
      <c r="H57" s="188">
        <v>6.077661374999991</v>
      </c>
      <c r="I57" s="187" t="s">
        <v>2015</v>
      </c>
      <c r="J57" s="188" t="s">
        <v>2016</v>
      </c>
    </row>
    <row r="58" spans="1:10" ht="15.75" thickBot="1">
      <c r="A58" s="264"/>
      <c r="B58" s="206">
        <v>5</v>
      </c>
      <c r="C58" s="186">
        <v>0.46500000000000002</v>
      </c>
      <c r="D58" s="186">
        <v>0.97499999999999998</v>
      </c>
      <c r="E58" s="186">
        <v>0.56999999999999995</v>
      </c>
      <c r="F58" s="188">
        <v>373.78</v>
      </c>
      <c r="G58" s="187">
        <v>368.8229035</v>
      </c>
      <c r="H58" s="188">
        <v>4.9570964999999774</v>
      </c>
      <c r="I58" s="187" t="s">
        <v>2015</v>
      </c>
      <c r="J58" s="188" t="s">
        <v>2016</v>
      </c>
    </row>
    <row r="59" spans="1:10" ht="15.75" thickBot="1">
      <c r="A59" s="264"/>
      <c r="B59" s="206">
        <v>6</v>
      </c>
      <c r="C59" s="186">
        <v>0.40500000000000003</v>
      </c>
      <c r="D59" s="186">
        <v>0.97499999999999998</v>
      </c>
      <c r="E59" s="186">
        <v>0.53</v>
      </c>
      <c r="F59" s="188">
        <v>333</v>
      </c>
      <c r="G59" s="187">
        <v>330.29884433333331</v>
      </c>
      <c r="H59" s="188">
        <v>2.7011556666666929</v>
      </c>
      <c r="I59" s="187" t="s">
        <v>2015</v>
      </c>
      <c r="J59" s="188" t="s">
        <v>2016</v>
      </c>
    </row>
    <row r="60" spans="1:10" ht="15.75" thickBot="1">
      <c r="A60" s="264"/>
      <c r="B60" s="206">
        <v>7</v>
      </c>
      <c r="C60" s="186">
        <v>0.38500000000000001</v>
      </c>
      <c r="D60" s="186">
        <v>0.98</v>
      </c>
      <c r="E60" s="186">
        <v>0.52500000000000002</v>
      </c>
      <c r="F60" s="188">
        <v>249.47</v>
      </c>
      <c r="G60" s="187">
        <v>248.80454900000001</v>
      </c>
      <c r="H60" s="188">
        <v>0.66545099999996182</v>
      </c>
      <c r="I60" s="187" t="s">
        <v>2015</v>
      </c>
      <c r="J60" s="188" t="s">
        <v>2016</v>
      </c>
    </row>
    <row r="61" spans="1:10" ht="15.75" thickBot="1">
      <c r="A61" s="264"/>
      <c r="B61" s="206">
        <v>8</v>
      </c>
      <c r="C61" s="186">
        <v>0.39</v>
      </c>
      <c r="D61" s="186">
        <v>1.03</v>
      </c>
      <c r="E61" s="186">
        <v>0.51500000000000001</v>
      </c>
      <c r="F61" s="188">
        <v>249.47</v>
      </c>
      <c r="G61" s="187">
        <v>247.99301199999999</v>
      </c>
      <c r="H61" s="188">
        <v>1.476988000000006</v>
      </c>
      <c r="I61" s="187" t="s">
        <v>2014</v>
      </c>
      <c r="J61" s="188" t="s">
        <v>2016</v>
      </c>
    </row>
    <row r="62" spans="1:10" ht="15.75" thickBot="1">
      <c r="A62" s="264"/>
      <c r="B62" s="206">
        <v>9</v>
      </c>
      <c r="C62" s="186">
        <v>0.40500000000000003</v>
      </c>
      <c r="D62" s="186">
        <v>0.995</v>
      </c>
      <c r="E62" s="186">
        <v>0.49</v>
      </c>
      <c r="F62" s="188">
        <v>333</v>
      </c>
      <c r="G62" s="187">
        <v>328.19711749999999</v>
      </c>
      <c r="H62" s="188">
        <v>4.8028825000000097</v>
      </c>
      <c r="I62" s="187" t="s">
        <v>2015</v>
      </c>
      <c r="J62" s="188" t="s">
        <v>2016</v>
      </c>
    </row>
    <row r="63" spans="1:10" ht="15.75" thickBot="1">
      <c r="A63" s="264"/>
      <c r="B63" s="206">
        <v>10</v>
      </c>
      <c r="C63" s="186">
        <v>0.375</v>
      </c>
      <c r="D63" s="186">
        <v>0.98499999999999999</v>
      </c>
      <c r="E63" s="186">
        <v>0.48</v>
      </c>
      <c r="F63" s="188">
        <v>249.47</v>
      </c>
      <c r="G63" s="187">
        <v>249.87879566666669</v>
      </c>
      <c r="H63" s="188">
        <v>0.40879566666666278</v>
      </c>
      <c r="I63" s="187" t="s">
        <v>2015</v>
      </c>
      <c r="J63" s="188" t="s">
        <v>2016</v>
      </c>
    </row>
    <row r="64" spans="1:10" ht="15.75" thickBot="1">
      <c r="A64" s="264"/>
      <c r="B64" s="206">
        <v>11</v>
      </c>
      <c r="C64" s="186">
        <v>0.36499999999999999</v>
      </c>
      <c r="D64" s="186">
        <v>1.0049999999999999</v>
      </c>
      <c r="E64" s="186">
        <v>0.48499999999999999</v>
      </c>
      <c r="F64" s="188">
        <v>498.94</v>
      </c>
      <c r="G64" s="187">
        <v>500.03755733333333</v>
      </c>
      <c r="H64" s="188">
        <v>1.0975573333333271</v>
      </c>
      <c r="I64" s="187" t="s">
        <v>2015</v>
      </c>
      <c r="J64" s="188" t="s">
        <v>2016</v>
      </c>
    </row>
    <row r="65" spans="1:10" ht="15.75" thickBot="1">
      <c r="A65" s="264"/>
      <c r="B65" s="206">
        <v>12</v>
      </c>
      <c r="C65" s="186">
        <v>0.45</v>
      </c>
      <c r="D65" s="186">
        <v>1</v>
      </c>
      <c r="E65" s="186">
        <v>0.52</v>
      </c>
      <c r="F65" s="188">
        <v>333</v>
      </c>
      <c r="G65" s="187">
        <v>335.376693875</v>
      </c>
      <c r="H65" s="188">
        <v>2.3766938750000008</v>
      </c>
      <c r="I65" s="187" t="s">
        <v>2015</v>
      </c>
      <c r="J65" s="188" t="s">
        <v>2016</v>
      </c>
    </row>
    <row r="66" spans="1:10" ht="15.75" thickBot="1">
      <c r="A66" s="264"/>
      <c r="B66" s="206">
        <v>13</v>
      </c>
      <c r="C66" s="186">
        <v>0.41</v>
      </c>
      <c r="D66" s="186">
        <v>1.0049999999999999</v>
      </c>
      <c r="E66" s="186">
        <v>0.51</v>
      </c>
      <c r="F66" s="188">
        <v>373.78</v>
      </c>
      <c r="G66" s="187">
        <v>369.21168499999999</v>
      </c>
      <c r="H66" s="188">
        <v>4.5683149999999841</v>
      </c>
      <c r="I66" s="187" t="s">
        <v>2015</v>
      </c>
      <c r="J66" s="188" t="s">
        <v>2016</v>
      </c>
    </row>
    <row r="67" spans="1:10" ht="15.75" thickBot="1">
      <c r="A67" s="264"/>
      <c r="B67" s="206">
        <v>14</v>
      </c>
      <c r="C67" s="186">
        <v>0.44500000000000001</v>
      </c>
      <c r="D67" s="186">
        <v>1.07</v>
      </c>
      <c r="E67" s="186">
        <v>0.52500000000000002</v>
      </c>
      <c r="F67" s="188">
        <v>333</v>
      </c>
      <c r="G67" s="187">
        <v>330.01420400000001</v>
      </c>
      <c r="H67" s="188">
        <v>2.985795999999993</v>
      </c>
      <c r="I67" s="187" t="s">
        <v>2015</v>
      </c>
      <c r="J67" s="188" t="s">
        <v>2016</v>
      </c>
    </row>
    <row r="68" spans="1:10" ht="15.75" thickBot="1">
      <c r="A68" s="264"/>
      <c r="B68" s="206">
        <v>15</v>
      </c>
      <c r="C68" s="186">
        <v>0.47</v>
      </c>
      <c r="D68" s="186">
        <v>1.0049999999999999</v>
      </c>
      <c r="E68" s="186">
        <v>0.52500000000000002</v>
      </c>
      <c r="F68" s="188">
        <v>249.47</v>
      </c>
      <c r="G68" s="187">
        <v>247.92952399999999</v>
      </c>
      <c r="H68" s="188">
        <v>1.5404760000000119</v>
      </c>
      <c r="I68" s="187" t="s">
        <v>2015</v>
      </c>
      <c r="J68" s="188" t="s">
        <v>2016</v>
      </c>
    </row>
    <row r="69" spans="1:10" ht="15.75" thickBot="1">
      <c r="A69" s="264"/>
      <c r="B69" s="206">
        <v>16</v>
      </c>
      <c r="C69" s="186">
        <v>0.42499999999999999</v>
      </c>
      <c r="D69" s="186">
        <v>1.03</v>
      </c>
      <c r="E69" s="186">
        <v>0.51</v>
      </c>
      <c r="F69" s="188">
        <v>249.47</v>
      </c>
      <c r="G69" s="187"/>
      <c r="H69" s="188" t="s">
        <v>236</v>
      </c>
      <c r="I69" s="187" t="s">
        <v>2014</v>
      </c>
      <c r="J69" s="188" t="s">
        <v>2018</v>
      </c>
    </row>
    <row r="70" spans="1:10" ht="15.75" thickBot="1">
      <c r="B70" s="207"/>
      <c r="C70" s="179"/>
      <c r="D70" s="179"/>
      <c r="E70" s="179"/>
      <c r="I70" s="189"/>
    </row>
    <row r="71" spans="1:10" s="181" customFormat="1" ht="15.75" thickBot="1">
      <c r="A71" s="270" t="s">
        <v>2020</v>
      </c>
      <c r="B71" s="271"/>
      <c r="C71" s="271"/>
      <c r="D71" s="271"/>
      <c r="E71" s="271"/>
      <c r="F71" s="271"/>
      <c r="G71" s="271"/>
      <c r="H71" s="271"/>
      <c r="I71" s="271"/>
      <c r="J71" s="272"/>
    </row>
    <row r="72" spans="1:10" s="181" customFormat="1" ht="36.75" thickBot="1">
      <c r="A72" s="92"/>
      <c r="B72" s="205" t="s">
        <v>2028</v>
      </c>
      <c r="C72" s="182" t="s">
        <v>2029</v>
      </c>
      <c r="D72" s="182" t="s">
        <v>2030</v>
      </c>
      <c r="E72" s="182" t="s">
        <v>2031</v>
      </c>
      <c r="F72" s="184" t="s">
        <v>216</v>
      </c>
      <c r="G72" s="183" t="s">
        <v>215</v>
      </c>
      <c r="H72" s="184" t="s">
        <v>217</v>
      </c>
      <c r="I72" s="183" t="s">
        <v>222</v>
      </c>
      <c r="J72" s="184" t="s">
        <v>218</v>
      </c>
    </row>
    <row r="73" spans="1:10" ht="15.75" thickBot="1">
      <c r="A73" s="264" t="s">
        <v>562</v>
      </c>
      <c r="B73" s="206">
        <v>1</v>
      </c>
      <c r="C73" s="186">
        <v>0.63</v>
      </c>
      <c r="D73" s="186">
        <v>1.06</v>
      </c>
      <c r="E73" s="186">
        <v>0.66500000000000004</v>
      </c>
      <c r="F73" s="188">
        <v>448.64</v>
      </c>
      <c r="G73" s="187">
        <v>385.91885400000001</v>
      </c>
      <c r="H73" s="188">
        <v>62.721145999999983</v>
      </c>
      <c r="I73" s="187" t="s">
        <v>2014</v>
      </c>
      <c r="J73" s="188" t="s">
        <v>2017</v>
      </c>
    </row>
    <row r="74" spans="1:10" ht="15.75" thickBot="1">
      <c r="A74" s="264"/>
      <c r="B74" s="206">
        <v>2</v>
      </c>
      <c r="C74" s="186">
        <v>0.62</v>
      </c>
      <c r="D74" s="186">
        <v>1.0649999999999999</v>
      </c>
      <c r="E74" s="186">
        <v>0.65</v>
      </c>
      <c r="F74" s="188">
        <v>598.86</v>
      </c>
      <c r="G74" s="187">
        <v>457.641165</v>
      </c>
      <c r="H74" s="188">
        <v>141.21883500000001</v>
      </c>
      <c r="I74" s="187" t="s">
        <v>2014</v>
      </c>
      <c r="J74" s="188" t="s">
        <v>2017</v>
      </c>
    </row>
    <row r="75" spans="1:10" ht="15.75" thickBot="1">
      <c r="A75" s="264"/>
      <c r="B75" s="206">
        <v>3</v>
      </c>
      <c r="C75" s="186">
        <v>0.63</v>
      </c>
      <c r="D75" s="186">
        <v>1.075</v>
      </c>
      <c r="E75" s="186">
        <v>0.66500000000000004</v>
      </c>
      <c r="F75" s="188">
        <v>448.64</v>
      </c>
      <c r="G75" s="187">
        <v>385</v>
      </c>
      <c r="H75" s="188">
        <v>63.639999999999993</v>
      </c>
      <c r="I75" s="187" t="s">
        <v>2014</v>
      </c>
      <c r="J75" s="188" t="s">
        <v>2017</v>
      </c>
    </row>
    <row r="76" spans="1:10" ht="15.75" thickBot="1">
      <c r="A76" s="264"/>
      <c r="B76" s="206">
        <v>4</v>
      </c>
      <c r="C76" s="186">
        <v>0.61499999999999999</v>
      </c>
      <c r="D76" s="186">
        <v>1.08</v>
      </c>
      <c r="E76" s="186">
        <v>0.64500000000000002</v>
      </c>
      <c r="F76" s="188">
        <v>448.64</v>
      </c>
      <c r="G76" s="187">
        <v>382.69468649999999</v>
      </c>
      <c r="H76" s="188">
        <v>65.945313499999997</v>
      </c>
      <c r="I76" s="187" t="s">
        <v>2014</v>
      </c>
      <c r="J76" s="188" t="s">
        <v>2017</v>
      </c>
    </row>
    <row r="77" spans="1:10" ht="15.75" thickBot="1">
      <c r="A77" s="264"/>
      <c r="B77" s="206">
        <v>5</v>
      </c>
      <c r="C77" s="186">
        <v>0.62</v>
      </c>
      <c r="D77" s="186">
        <v>1.05</v>
      </c>
      <c r="E77" s="186">
        <v>0.65500000000000003</v>
      </c>
      <c r="F77" s="188">
        <v>448.64</v>
      </c>
      <c r="G77" s="187">
        <v>382.17785600000002</v>
      </c>
      <c r="H77" s="188">
        <v>66.462143999999967</v>
      </c>
      <c r="I77" s="187" t="s">
        <v>2014</v>
      </c>
      <c r="J77" s="188" t="s">
        <v>2017</v>
      </c>
    </row>
    <row r="78" spans="1:10" ht="15.75" thickBot="1">
      <c r="A78" s="264"/>
      <c r="B78" s="206">
        <v>6</v>
      </c>
      <c r="C78" s="186">
        <v>0.58499999999999996</v>
      </c>
      <c r="D78" s="186">
        <v>1.085</v>
      </c>
      <c r="E78" s="186">
        <v>0.66500000000000004</v>
      </c>
      <c r="F78" s="188">
        <v>399.69</v>
      </c>
      <c r="G78" s="187">
        <v>352.48307649999998</v>
      </c>
      <c r="H78" s="188">
        <v>47.206923499999959</v>
      </c>
      <c r="I78" s="187" t="s">
        <v>2014</v>
      </c>
      <c r="J78" s="188" t="s">
        <v>2017</v>
      </c>
    </row>
    <row r="79" spans="1:10" ht="15.75" thickBot="1">
      <c r="A79" s="264"/>
      <c r="B79" s="206">
        <v>7</v>
      </c>
      <c r="C79" s="186">
        <v>0.57499999999999996</v>
      </c>
      <c r="D79" s="186">
        <v>1.095</v>
      </c>
      <c r="E79" s="186">
        <v>0.65500000000000003</v>
      </c>
      <c r="F79" s="188">
        <v>299.43</v>
      </c>
      <c r="G79" s="187"/>
      <c r="H79" s="188" t="s">
        <v>236</v>
      </c>
      <c r="I79" s="187" t="s">
        <v>2014</v>
      </c>
      <c r="J79" s="188" t="s">
        <v>2018</v>
      </c>
    </row>
    <row r="80" spans="1:10" ht="15.75" thickBot="1">
      <c r="A80" s="264"/>
      <c r="B80" s="206">
        <v>8</v>
      </c>
      <c r="C80" s="186">
        <v>0.66500000000000004</v>
      </c>
      <c r="D80" s="186">
        <v>1.0649999999999999</v>
      </c>
      <c r="E80" s="186">
        <v>0.67</v>
      </c>
      <c r="F80" s="188">
        <v>299.43</v>
      </c>
      <c r="G80" s="187">
        <v>267.6562515</v>
      </c>
      <c r="H80" s="188">
        <v>31.773748500000011</v>
      </c>
      <c r="I80" s="187" t="s">
        <v>2014</v>
      </c>
      <c r="J80" s="188" t="s">
        <v>2017</v>
      </c>
    </row>
    <row r="81" spans="1:10" ht="15.75" thickBot="1">
      <c r="A81" s="264"/>
      <c r="B81" s="206">
        <v>9</v>
      </c>
      <c r="C81" s="186">
        <v>0.62</v>
      </c>
      <c r="D81" s="186">
        <v>1.06</v>
      </c>
      <c r="E81" s="186">
        <v>0.64</v>
      </c>
      <c r="F81" s="188">
        <v>399.69</v>
      </c>
      <c r="G81" s="187">
        <v>349.08885333333342</v>
      </c>
      <c r="H81" s="188">
        <v>50.601146666666637</v>
      </c>
      <c r="I81" s="187" t="s">
        <v>2014</v>
      </c>
      <c r="J81" s="188" t="s">
        <v>2017</v>
      </c>
    </row>
    <row r="82" spans="1:10" ht="15.75" thickBot="1">
      <c r="A82" s="264"/>
      <c r="B82" s="206">
        <v>10</v>
      </c>
      <c r="C82" s="186">
        <v>0.65500000000000003</v>
      </c>
      <c r="D82" s="186">
        <v>1.0549999999999999</v>
      </c>
      <c r="E82" s="186">
        <v>0.64500000000000002</v>
      </c>
      <c r="F82" s="188">
        <v>299.43</v>
      </c>
      <c r="G82" s="187">
        <v>263.39335899999998</v>
      </c>
      <c r="H82" s="188">
        <v>36.036641000000031</v>
      </c>
      <c r="I82" s="187" t="s">
        <v>2014</v>
      </c>
      <c r="J82" s="188" t="s">
        <v>2017</v>
      </c>
    </row>
    <row r="83" spans="1:10" ht="15.75" thickBot="1">
      <c r="A83" s="264"/>
      <c r="B83" s="206">
        <v>11</v>
      </c>
      <c r="C83" s="186">
        <v>0.65</v>
      </c>
      <c r="D83" s="186">
        <v>1.04</v>
      </c>
      <c r="E83" s="186">
        <v>0.65500000000000003</v>
      </c>
      <c r="F83" s="188">
        <v>598.86</v>
      </c>
      <c r="G83" s="187">
        <v>447.78314699999999</v>
      </c>
      <c r="H83" s="188">
        <v>151.076853</v>
      </c>
      <c r="I83" s="187" t="s">
        <v>2014</v>
      </c>
      <c r="J83" s="188" t="s">
        <v>2017</v>
      </c>
    </row>
    <row r="84" spans="1:10" ht="15.75" thickBot="1">
      <c r="A84" s="264"/>
      <c r="B84" s="206">
        <v>12</v>
      </c>
      <c r="C84" s="186">
        <v>0.68500000000000005</v>
      </c>
      <c r="D84" s="186">
        <v>1.04</v>
      </c>
      <c r="E84" s="186">
        <v>0.65500000000000003</v>
      </c>
      <c r="F84" s="188">
        <v>399.69</v>
      </c>
      <c r="G84" s="187">
        <v>350.61654800000002</v>
      </c>
      <c r="H84" s="188">
        <v>49.073452000000032</v>
      </c>
      <c r="I84" s="187" t="s">
        <v>2014</v>
      </c>
      <c r="J84" s="188" t="s">
        <v>2017</v>
      </c>
    </row>
    <row r="85" spans="1:10" ht="15.75" thickBot="1">
      <c r="A85" s="264"/>
      <c r="B85" s="206">
        <v>13</v>
      </c>
      <c r="C85" s="186">
        <v>0.60499999999999998</v>
      </c>
      <c r="D85" s="186">
        <v>1.06</v>
      </c>
      <c r="E85" s="186">
        <v>0.65</v>
      </c>
      <c r="F85" s="188">
        <v>448.64</v>
      </c>
      <c r="G85" s="187">
        <v>375.3520355</v>
      </c>
      <c r="H85" s="188">
        <v>73.287964499999987</v>
      </c>
      <c r="I85" s="187" t="s">
        <v>2014</v>
      </c>
      <c r="J85" s="188" t="s">
        <v>2017</v>
      </c>
    </row>
    <row r="86" spans="1:10" ht="15.75" thickBot="1">
      <c r="A86" s="264"/>
      <c r="B86" s="206">
        <v>14</v>
      </c>
      <c r="C86" s="186">
        <v>0.61</v>
      </c>
      <c r="D86" s="186">
        <v>1.0649999999999999</v>
      </c>
      <c r="E86" s="186">
        <v>0.68</v>
      </c>
      <c r="F86" s="188">
        <v>399.69</v>
      </c>
      <c r="G86" s="187"/>
      <c r="H86" s="188" t="s">
        <v>236</v>
      </c>
      <c r="I86" s="187" t="s">
        <v>2014</v>
      </c>
      <c r="J86" s="188" t="s">
        <v>2018</v>
      </c>
    </row>
    <row r="87" spans="1:10" ht="15.75" thickBot="1">
      <c r="A87" s="264"/>
      <c r="B87" s="206">
        <v>15</v>
      </c>
      <c r="C87" s="186">
        <v>0.59499999999999997</v>
      </c>
      <c r="D87" s="186">
        <v>1.0649999999999999</v>
      </c>
      <c r="E87" s="186">
        <v>0.66500000000000004</v>
      </c>
      <c r="F87" s="188">
        <v>299.43</v>
      </c>
      <c r="G87" s="187"/>
      <c r="H87" s="188" t="s">
        <v>236</v>
      </c>
      <c r="I87" s="187" t="s">
        <v>2014</v>
      </c>
      <c r="J87" s="188" t="s">
        <v>2018</v>
      </c>
    </row>
    <row r="88" spans="1:10" ht="15.75" thickBot="1">
      <c r="A88" s="264"/>
      <c r="B88" s="206">
        <v>16</v>
      </c>
      <c r="C88" s="186">
        <v>0.60499999999999998</v>
      </c>
      <c r="D88" s="186">
        <v>1.0649999999999999</v>
      </c>
      <c r="E88" s="186">
        <v>0.66500000000000004</v>
      </c>
      <c r="F88" s="188">
        <v>299.43</v>
      </c>
      <c r="G88" s="187">
        <v>264.26092449999999</v>
      </c>
      <c r="H88" s="188">
        <v>35.169075500000019</v>
      </c>
      <c r="I88" s="187" t="s">
        <v>2014</v>
      </c>
      <c r="J88" s="188" t="s">
        <v>2017</v>
      </c>
    </row>
    <row r="89" spans="1:10" ht="15.75" thickBot="1">
      <c r="A89" s="264" t="s">
        <v>619</v>
      </c>
      <c r="B89" s="206">
        <v>1</v>
      </c>
      <c r="C89" s="186">
        <v>0.6</v>
      </c>
      <c r="D89" s="186">
        <v>1.0649999999999999</v>
      </c>
      <c r="E89" s="186">
        <v>0.67</v>
      </c>
      <c r="F89" s="188">
        <v>448.64</v>
      </c>
      <c r="G89" s="187"/>
      <c r="H89" s="188" t="s">
        <v>236</v>
      </c>
      <c r="I89" s="187" t="s">
        <v>2014</v>
      </c>
      <c r="J89" s="188" t="s">
        <v>2018</v>
      </c>
    </row>
    <row r="90" spans="1:10" ht="15.75" thickBot="1">
      <c r="A90" s="264"/>
      <c r="B90" s="206">
        <v>2</v>
      </c>
      <c r="C90" s="186">
        <v>0.59499999999999997</v>
      </c>
      <c r="D90" s="186">
        <v>1.06</v>
      </c>
      <c r="E90" s="186">
        <v>0.66500000000000004</v>
      </c>
      <c r="F90" s="188">
        <v>598.86</v>
      </c>
      <c r="G90" s="187"/>
      <c r="H90" s="188" t="s">
        <v>236</v>
      </c>
      <c r="I90" s="187" t="s">
        <v>2014</v>
      </c>
      <c r="J90" s="188" t="s">
        <v>2018</v>
      </c>
    </row>
    <row r="91" spans="1:10" ht="15.75" thickBot="1">
      <c r="A91" s="264"/>
      <c r="B91" s="206">
        <v>3</v>
      </c>
      <c r="C91" s="186">
        <v>0.60499999999999998</v>
      </c>
      <c r="D91" s="186">
        <v>1.0649999999999999</v>
      </c>
      <c r="E91" s="186">
        <v>0.65500000000000003</v>
      </c>
      <c r="F91" s="188">
        <v>448.64</v>
      </c>
      <c r="G91" s="187"/>
      <c r="H91" s="188" t="s">
        <v>236</v>
      </c>
      <c r="I91" s="187" t="s">
        <v>2014</v>
      </c>
      <c r="J91" s="188" t="s">
        <v>2018</v>
      </c>
    </row>
    <row r="92" spans="1:10" ht="15.75" thickBot="1">
      <c r="A92" s="264"/>
      <c r="B92" s="206">
        <v>4</v>
      </c>
      <c r="C92" s="186">
        <v>0.625</v>
      </c>
      <c r="D92" s="186">
        <v>1.06</v>
      </c>
      <c r="E92" s="186">
        <v>0.65500000000000003</v>
      </c>
      <c r="F92" s="188">
        <v>448.64</v>
      </c>
      <c r="G92" s="187"/>
      <c r="H92" s="188" t="s">
        <v>236</v>
      </c>
      <c r="I92" s="187" t="s">
        <v>2014</v>
      </c>
      <c r="J92" s="188" t="s">
        <v>2018</v>
      </c>
    </row>
    <row r="93" spans="1:10" ht="15.75" thickBot="1">
      <c r="A93" s="264"/>
      <c r="B93" s="206">
        <v>5</v>
      </c>
      <c r="C93" s="186">
        <v>0.59</v>
      </c>
      <c r="D93" s="186">
        <v>1.0649999999999999</v>
      </c>
      <c r="E93" s="186">
        <v>0.66500000000000004</v>
      </c>
      <c r="F93" s="188">
        <v>448.64</v>
      </c>
      <c r="G93" s="187"/>
      <c r="H93" s="188" t="s">
        <v>236</v>
      </c>
      <c r="I93" s="187" t="s">
        <v>2014</v>
      </c>
      <c r="J93" s="188" t="s">
        <v>2018</v>
      </c>
    </row>
    <row r="94" spans="1:10" ht="15.75" thickBot="1">
      <c r="A94" s="264"/>
      <c r="B94" s="206">
        <v>6</v>
      </c>
      <c r="C94" s="186">
        <v>0.59499999999999997</v>
      </c>
      <c r="D94" s="186">
        <v>1.06</v>
      </c>
      <c r="E94" s="186">
        <v>0.66500000000000004</v>
      </c>
      <c r="F94" s="188">
        <v>399.69</v>
      </c>
      <c r="G94" s="187">
        <v>347.24080800000002</v>
      </c>
      <c r="H94" s="188">
        <v>53</v>
      </c>
      <c r="I94" s="187" t="s">
        <v>2014</v>
      </c>
      <c r="J94" s="188" t="s">
        <v>2017</v>
      </c>
    </row>
    <row r="95" spans="1:10" ht="15.75" thickBot="1">
      <c r="A95" s="264"/>
      <c r="B95" s="206">
        <v>7</v>
      </c>
      <c r="C95" s="186">
        <v>0.61</v>
      </c>
      <c r="D95" s="186">
        <v>1.06</v>
      </c>
      <c r="E95" s="186">
        <v>0.73</v>
      </c>
      <c r="F95" s="188">
        <v>299.43</v>
      </c>
      <c r="G95" s="187">
        <v>459.94891866666671</v>
      </c>
      <c r="H95" s="188">
        <v>160.51891866666671</v>
      </c>
      <c r="I95" s="187" t="s">
        <v>2014</v>
      </c>
      <c r="J95" s="188" t="s">
        <v>2017</v>
      </c>
    </row>
    <row r="96" spans="1:10" ht="15.75" thickBot="1">
      <c r="A96" s="264"/>
      <c r="B96" s="206">
        <v>8</v>
      </c>
      <c r="C96" s="186">
        <v>0.58499999999999996</v>
      </c>
      <c r="D96" s="186">
        <v>1.06</v>
      </c>
      <c r="E96" s="186">
        <v>0.69</v>
      </c>
      <c r="F96" s="188">
        <v>299.43</v>
      </c>
      <c r="G96" s="187">
        <v>544.84008800000004</v>
      </c>
      <c r="H96" s="188">
        <v>245.410088</v>
      </c>
      <c r="I96" s="187" t="s">
        <v>2014</v>
      </c>
      <c r="J96" s="188" t="s">
        <v>2017</v>
      </c>
    </row>
    <row r="97" spans="1:10" ht="15.75" thickBot="1">
      <c r="A97" s="264"/>
      <c r="B97" s="206">
        <v>9</v>
      </c>
      <c r="C97" s="186">
        <v>0.57999999999999996</v>
      </c>
      <c r="D97" s="186">
        <v>1.06</v>
      </c>
      <c r="E97" s="186">
        <v>0.66500000000000004</v>
      </c>
      <c r="F97" s="188">
        <v>399.69</v>
      </c>
      <c r="G97" s="187">
        <v>263.04941050000002</v>
      </c>
      <c r="H97" s="188">
        <v>136.6405895</v>
      </c>
      <c r="I97" s="187" t="s">
        <v>2014</v>
      </c>
      <c r="J97" s="188" t="s">
        <v>2017</v>
      </c>
    </row>
    <row r="98" spans="1:10" ht="15.75" thickBot="1">
      <c r="A98" s="264"/>
      <c r="B98" s="206">
        <v>10</v>
      </c>
      <c r="C98" s="186">
        <v>0.58499999999999996</v>
      </c>
      <c r="D98" s="186">
        <v>1.0649999999999999</v>
      </c>
      <c r="E98" s="186">
        <v>0.66500000000000004</v>
      </c>
      <c r="F98" s="188">
        <v>299.43</v>
      </c>
      <c r="G98" s="187">
        <v>268.14407199999999</v>
      </c>
      <c r="H98" s="188">
        <v>31.285928000000009</v>
      </c>
      <c r="I98" s="187" t="s">
        <v>2014</v>
      </c>
      <c r="J98" s="188" t="s">
        <v>2017</v>
      </c>
    </row>
    <row r="99" spans="1:10" ht="15.75" thickBot="1">
      <c r="A99" s="264"/>
      <c r="B99" s="206">
        <v>11</v>
      </c>
      <c r="C99" s="186">
        <v>0.57999999999999996</v>
      </c>
      <c r="D99" s="186">
        <v>1.0449999999999999</v>
      </c>
      <c r="E99" s="186">
        <v>0.66500000000000004</v>
      </c>
      <c r="F99" s="188">
        <v>598.86</v>
      </c>
      <c r="G99" s="187">
        <v>445.7689815</v>
      </c>
      <c r="H99" s="188">
        <v>153.09101849999999</v>
      </c>
      <c r="I99" s="187" t="s">
        <v>2014</v>
      </c>
      <c r="J99" s="188" t="s">
        <v>2017</v>
      </c>
    </row>
    <row r="100" spans="1:10" ht="15.75" thickBot="1">
      <c r="A100" s="264"/>
      <c r="B100" s="206">
        <v>12</v>
      </c>
      <c r="C100" s="186">
        <v>0.60499999999999998</v>
      </c>
      <c r="D100" s="186">
        <v>1.0549999999999999</v>
      </c>
      <c r="E100" s="186">
        <v>0.67500000000000004</v>
      </c>
      <c r="F100" s="188">
        <v>399.69</v>
      </c>
      <c r="G100" s="187">
        <v>340.01552299999997</v>
      </c>
      <c r="H100" s="188">
        <v>59.674477000000017</v>
      </c>
      <c r="I100" s="187" t="s">
        <v>2014</v>
      </c>
      <c r="J100" s="188" t="s">
        <v>2017</v>
      </c>
    </row>
    <row r="101" spans="1:10" ht="15.75" thickBot="1">
      <c r="A101" s="264"/>
      <c r="B101" s="206">
        <v>13</v>
      </c>
      <c r="C101" s="186">
        <v>0.57999999999999996</v>
      </c>
      <c r="D101" s="186">
        <v>1.0649999999999999</v>
      </c>
      <c r="E101" s="186">
        <v>0.66</v>
      </c>
      <c r="F101" s="188">
        <v>448.64</v>
      </c>
      <c r="G101" s="187"/>
      <c r="H101" s="188" t="s">
        <v>236</v>
      </c>
      <c r="I101" s="187" t="s">
        <v>2014</v>
      </c>
      <c r="J101" s="188" t="s">
        <v>2018</v>
      </c>
    </row>
    <row r="102" spans="1:10" ht="15.75" thickBot="1">
      <c r="A102" s="264"/>
      <c r="B102" s="206">
        <v>14</v>
      </c>
      <c r="C102" s="186">
        <v>0.60499999999999998</v>
      </c>
      <c r="D102" s="186">
        <v>1.0549999999999999</v>
      </c>
      <c r="E102" s="186">
        <v>0.65500000000000003</v>
      </c>
      <c r="F102" s="188">
        <v>399.69</v>
      </c>
      <c r="G102" s="187">
        <v>334.561938</v>
      </c>
      <c r="H102" s="188">
        <v>65.128062</v>
      </c>
      <c r="I102" s="187" t="s">
        <v>2014</v>
      </c>
      <c r="J102" s="188" t="s">
        <v>2017</v>
      </c>
    </row>
    <row r="103" spans="1:10" ht="15.75" thickBot="1">
      <c r="A103" s="264"/>
      <c r="B103" s="206">
        <v>15</v>
      </c>
      <c r="C103" s="186">
        <v>0.62</v>
      </c>
      <c r="D103" s="186">
        <v>1.03</v>
      </c>
      <c r="E103" s="186">
        <v>0.68</v>
      </c>
      <c r="F103" s="188">
        <v>299.43</v>
      </c>
      <c r="G103" s="187">
        <v>262.77529900000002</v>
      </c>
      <c r="H103" s="188">
        <v>36.654700999999989</v>
      </c>
      <c r="I103" s="187" t="s">
        <v>2014</v>
      </c>
      <c r="J103" s="188" t="s">
        <v>2017</v>
      </c>
    </row>
    <row r="104" spans="1:10" ht="15.75" thickBot="1">
      <c r="A104" s="264"/>
      <c r="B104" s="206">
        <v>16</v>
      </c>
      <c r="C104" s="186">
        <v>0.625</v>
      </c>
      <c r="D104" s="186">
        <v>1.03</v>
      </c>
      <c r="E104" s="186">
        <v>0.66500000000000004</v>
      </c>
      <c r="F104" s="188">
        <v>299.43</v>
      </c>
      <c r="G104" s="187"/>
      <c r="H104" s="188" t="s">
        <v>236</v>
      </c>
      <c r="I104" s="187" t="s">
        <v>2014</v>
      </c>
      <c r="J104" s="188" t="s">
        <v>2018</v>
      </c>
    </row>
    <row r="105" spans="1:10" ht="15.75" thickBot="1">
      <c r="A105" s="264" t="s">
        <v>670</v>
      </c>
      <c r="B105" s="206">
        <v>1</v>
      </c>
      <c r="C105" s="186">
        <v>0.6</v>
      </c>
      <c r="D105" s="186">
        <v>1.0649999999999999</v>
      </c>
      <c r="E105" s="186">
        <v>0.65</v>
      </c>
      <c r="F105" s="188">
        <v>448.64</v>
      </c>
      <c r="G105" s="187">
        <v>379.1176246666667</v>
      </c>
      <c r="H105" s="188">
        <v>69.522375333333287</v>
      </c>
      <c r="I105" s="187" t="s">
        <v>2015</v>
      </c>
      <c r="J105" s="188" t="s">
        <v>2017</v>
      </c>
    </row>
    <row r="106" spans="1:10" ht="15.75" thickBot="1">
      <c r="A106" s="264"/>
      <c r="B106" s="206">
        <v>2</v>
      </c>
      <c r="C106" s="186">
        <v>0.59499999999999997</v>
      </c>
      <c r="D106" s="186">
        <v>1.0649999999999999</v>
      </c>
      <c r="E106" s="186">
        <v>0.66</v>
      </c>
      <c r="F106" s="188">
        <v>598.86</v>
      </c>
      <c r="G106" s="187">
        <v>444.95513899999997</v>
      </c>
      <c r="H106" s="188">
        <v>153.90486100000001</v>
      </c>
      <c r="I106" s="187" t="s">
        <v>2015</v>
      </c>
      <c r="J106" s="188" t="s">
        <v>2017</v>
      </c>
    </row>
    <row r="107" spans="1:10" ht="15.75" thickBot="1">
      <c r="A107" s="264"/>
      <c r="B107" s="206">
        <v>3</v>
      </c>
      <c r="C107" s="186">
        <v>0.56000000000000005</v>
      </c>
      <c r="D107" s="186">
        <v>1.0549999999999999</v>
      </c>
      <c r="E107" s="186">
        <v>0.61499999999999999</v>
      </c>
      <c r="F107" s="188">
        <v>448.64</v>
      </c>
      <c r="G107" s="187">
        <v>374.68139600000001</v>
      </c>
      <c r="H107" s="188">
        <v>73.95860399999998</v>
      </c>
      <c r="I107" s="187" t="s">
        <v>2015</v>
      </c>
      <c r="J107" s="188" t="s">
        <v>2017</v>
      </c>
    </row>
    <row r="108" spans="1:10" ht="15.75" thickBot="1">
      <c r="A108" s="264"/>
      <c r="B108" s="206">
        <v>4</v>
      </c>
      <c r="C108" s="186">
        <v>0.56999999999999995</v>
      </c>
      <c r="D108" s="186">
        <v>1.1000000000000001</v>
      </c>
      <c r="E108" s="186">
        <v>0.625</v>
      </c>
      <c r="F108" s="188">
        <v>448.64</v>
      </c>
      <c r="G108" s="187">
        <v>374.06841100000003</v>
      </c>
      <c r="H108" s="188">
        <v>74.57158899999996</v>
      </c>
      <c r="I108" s="187" t="s">
        <v>2015</v>
      </c>
      <c r="J108" s="188" t="s">
        <v>2017</v>
      </c>
    </row>
    <row r="109" spans="1:10" ht="15.75" thickBot="1">
      <c r="A109" s="264"/>
      <c r="B109" s="206">
        <v>5</v>
      </c>
      <c r="C109" s="186">
        <v>0.6</v>
      </c>
      <c r="D109" s="186">
        <v>1.0649999999999999</v>
      </c>
      <c r="E109" s="186">
        <v>0.65500000000000003</v>
      </c>
      <c r="F109" s="188">
        <v>448.64</v>
      </c>
      <c r="G109" s="187">
        <v>383.21779900000001</v>
      </c>
      <c r="H109" s="188">
        <v>65.422200999999973</v>
      </c>
      <c r="I109" s="187" t="s">
        <v>2015</v>
      </c>
      <c r="J109" s="188" t="s">
        <v>2017</v>
      </c>
    </row>
    <row r="110" spans="1:10" ht="15.75" thickBot="1">
      <c r="A110" s="264"/>
      <c r="B110" s="206">
        <v>6</v>
      </c>
      <c r="C110" s="186">
        <v>0.6</v>
      </c>
      <c r="D110" s="186">
        <v>1.06</v>
      </c>
      <c r="E110" s="186">
        <v>0.65</v>
      </c>
      <c r="F110" s="188">
        <v>399.69</v>
      </c>
      <c r="G110" s="187">
        <v>344.64762400000001</v>
      </c>
      <c r="H110" s="188">
        <v>55.042376000000047</v>
      </c>
      <c r="I110" s="187" t="s">
        <v>2015</v>
      </c>
      <c r="J110" s="188" t="s">
        <v>2017</v>
      </c>
    </row>
    <row r="111" spans="1:10" ht="15.75" thickBot="1">
      <c r="A111" s="264"/>
      <c r="B111" s="206">
        <v>7</v>
      </c>
      <c r="C111" s="186">
        <v>0.51</v>
      </c>
      <c r="D111" s="186">
        <v>1.075</v>
      </c>
      <c r="E111" s="186">
        <v>0.66</v>
      </c>
      <c r="F111" s="188">
        <v>299.43</v>
      </c>
      <c r="G111" s="187">
        <v>386.46806349999997</v>
      </c>
      <c r="H111" s="188">
        <v>87.038063499999964</v>
      </c>
      <c r="I111" s="187" t="s">
        <v>2015</v>
      </c>
      <c r="J111" s="188" t="s">
        <v>2017</v>
      </c>
    </row>
    <row r="112" spans="1:10" ht="15.75" thickBot="1">
      <c r="A112" s="264"/>
      <c r="B112" s="206">
        <v>8</v>
      </c>
      <c r="C112" s="186">
        <v>0.59</v>
      </c>
      <c r="D112" s="186">
        <v>1.0900000000000001</v>
      </c>
      <c r="E112" s="186">
        <v>0.66500000000000004</v>
      </c>
      <c r="F112" s="188">
        <v>299.43</v>
      </c>
      <c r="G112" s="187">
        <v>316.70030400000002</v>
      </c>
      <c r="H112" s="188">
        <v>17.27030399999995</v>
      </c>
      <c r="I112" s="187" t="s">
        <v>2014</v>
      </c>
      <c r="J112" s="188" t="s">
        <v>2017</v>
      </c>
    </row>
    <row r="113" spans="1:10" ht="15.75" thickBot="1">
      <c r="A113" s="264"/>
      <c r="B113" s="206">
        <v>9</v>
      </c>
      <c r="C113" s="186">
        <v>0.61</v>
      </c>
      <c r="D113" s="186">
        <v>1.0649999999999999</v>
      </c>
      <c r="E113" s="186">
        <v>0.63</v>
      </c>
      <c r="F113" s="188">
        <v>399.69</v>
      </c>
      <c r="G113" s="187">
        <v>340.47635650000001</v>
      </c>
      <c r="H113" s="188">
        <v>59.213643499999989</v>
      </c>
      <c r="I113" s="187" t="s">
        <v>2015</v>
      </c>
      <c r="J113" s="188" t="s">
        <v>2017</v>
      </c>
    </row>
    <row r="114" spans="1:10" ht="15.75" thickBot="1">
      <c r="A114" s="264"/>
      <c r="B114" s="206">
        <v>10</v>
      </c>
      <c r="C114" s="186">
        <v>0.59499999999999997</v>
      </c>
      <c r="D114" s="186">
        <v>1.0549999999999999</v>
      </c>
      <c r="E114" s="186">
        <v>0.625</v>
      </c>
      <c r="F114" s="188">
        <v>299.43</v>
      </c>
      <c r="G114" s="187">
        <v>255.43838600000001</v>
      </c>
      <c r="H114" s="188">
        <v>43.991613999999998</v>
      </c>
      <c r="I114" s="187" t="s">
        <v>2015</v>
      </c>
      <c r="J114" s="188" t="s">
        <v>2017</v>
      </c>
    </row>
    <row r="115" spans="1:10" ht="15.75" thickBot="1">
      <c r="A115" s="264"/>
      <c r="B115" s="206">
        <v>11</v>
      </c>
      <c r="C115" s="186">
        <v>0.61499999999999999</v>
      </c>
      <c r="D115" s="186">
        <v>1.07</v>
      </c>
      <c r="E115" s="186">
        <v>0.625</v>
      </c>
      <c r="F115" s="188">
        <v>598.86</v>
      </c>
      <c r="G115" s="187">
        <v>413.40074850000002</v>
      </c>
      <c r="H115" s="188">
        <v>185.45925150000011</v>
      </c>
      <c r="I115" s="187" t="s">
        <v>2015</v>
      </c>
      <c r="J115" s="188" t="s">
        <v>2017</v>
      </c>
    </row>
    <row r="116" spans="1:10" ht="15.75" thickBot="1">
      <c r="A116" s="264"/>
      <c r="B116" s="206">
        <v>12</v>
      </c>
      <c r="C116" s="186">
        <v>0.59499999999999997</v>
      </c>
      <c r="D116" s="186">
        <v>1.0649999999999999</v>
      </c>
      <c r="E116" s="186">
        <v>0.625</v>
      </c>
      <c r="F116" s="188">
        <v>399.69</v>
      </c>
      <c r="G116" s="187">
        <v>336.67684774999998</v>
      </c>
      <c r="H116" s="188">
        <v>63.013152250000019</v>
      </c>
      <c r="I116" s="187" t="s">
        <v>2014</v>
      </c>
      <c r="J116" s="188" t="s">
        <v>2017</v>
      </c>
    </row>
    <row r="117" spans="1:10" ht="15.75" thickBot="1">
      <c r="A117" s="264"/>
      <c r="B117" s="206">
        <v>13</v>
      </c>
      <c r="C117" s="186">
        <v>0.58499999999999996</v>
      </c>
      <c r="D117" s="186">
        <v>1.0649999999999999</v>
      </c>
      <c r="E117" s="186">
        <v>0.67</v>
      </c>
      <c r="F117" s="188">
        <v>448.64</v>
      </c>
      <c r="G117" s="187">
        <v>372.93609550000002</v>
      </c>
      <c r="H117" s="188">
        <v>75.703904500000021</v>
      </c>
      <c r="I117" s="187" t="s">
        <v>2015</v>
      </c>
      <c r="J117" s="188" t="s">
        <v>2017</v>
      </c>
    </row>
    <row r="118" spans="1:10" ht="15.75" thickBot="1">
      <c r="A118" s="264"/>
      <c r="B118" s="206">
        <v>14</v>
      </c>
      <c r="C118" s="186">
        <v>0.6</v>
      </c>
      <c r="D118" s="186">
        <v>1.0549999999999999</v>
      </c>
      <c r="E118" s="186">
        <v>0.64500000000000002</v>
      </c>
      <c r="F118" s="188">
        <v>399.69</v>
      </c>
      <c r="G118" s="187">
        <v>332.57235300000002</v>
      </c>
      <c r="H118" s="188">
        <v>67.117646999999977</v>
      </c>
      <c r="I118" s="187" t="s">
        <v>2015</v>
      </c>
      <c r="J118" s="188" t="s">
        <v>2017</v>
      </c>
    </row>
    <row r="119" spans="1:10" ht="15.75" thickBot="1">
      <c r="A119" s="264"/>
      <c r="B119" s="206">
        <v>15</v>
      </c>
      <c r="C119" s="186">
        <v>0.59499999999999997</v>
      </c>
      <c r="D119" s="186">
        <v>1.04</v>
      </c>
      <c r="E119" s="186">
        <v>0.65500000000000003</v>
      </c>
      <c r="F119" s="188">
        <v>299.43</v>
      </c>
      <c r="G119" s="187"/>
      <c r="H119" s="188" t="s">
        <v>236</v>
      </c>
      <c r="I119" s="187" t="s">
        <v>2014</v>
      </c>
      <c r="J119" s="188" t="s">
        <v>2018</v>
      </c>
    </row>
    <row r="120" spans="1:10" ht="15.75" thickBot="1">
      <c r="A120" s="264"/>
      <c r="B120" s="206">
        <v>16</v>
      </c>
      <c r="C120" s="186">
        <v>0.55500000000000005</v>
      </c>
      <c r="D120" s="186">
        <v>1.085</v>
      </c>
      <c r="E120" s="186">
        <v>0.67</v>
      </c>
      <c r="F120" s="188">
        <v>299.43</v>
      </c>
      <c r="G120" s="187"/>
      <c r="H120" s="188" t="s">
        <v>236</v>
      </c>
      <c r="I120" s="187" t="s">
        <v>2014</v>
      </c>
      <c r="J120" s="188" t="s">
        <v>2018</v>
      </c>
    </row>
    <row r="121" spans="1:10" ht="15.75" thickBot="1">
      <c r="B121" s="207"/>
      <c r="C121" s="179"/>
      <c r="D121" s="179"/>
      <c r="E121" s="179"/>
      <c r="I121" s="189"/>
    </row>
    <row r="122" spans="1:10" s="181" customFormat="1" ht="15.75" thickBot="1">
      <c r="A122" s="270" t="s">
        <v>2021</v>
      </c>
      <c r="B122" s="271"/>
      <c r="C122" s="271"/>
      <c r="D122" s="271"/>
      <c r="E122" s="271"/>
      <c r="F122" s="271"/>
      <c r="G122" s="271"/>
      <c r="H122" s="271"/>
      <c r="I122" s="271"/>
      <c r="J122" s="272"/>
    </row>
    <row r="123" spans="1:10" s="181" customFormat="1" ht="36.75" thickBot="1">
      <c r="A123" s="92"/>
      <c r="B123" s="205" t="s">
        <v>2028</v>
      </c>
      <c r="C123" s="182" t="s">
        <v>2029</v>
      </c>
      <c r="D123" s="182" t="s">
        <v>2030</v>
      </c>
      <c r="E123" s="182" t="s">
        <v>2031</v>
      </c>
      <c r="F123" s="184" t="s">
        <v>216</v>
      </c>
      <c r="G123" s="183" t="s">
        <v>215</v>
      </c>
      <c r="H123" s="184" t="s">
        <v>217</v>
      </c>
      <c r="I123" s="183" t="s">
        <v>222</v>
      </c>
      <c r="J123" s="184" t="s">
        <v>218</v>
      </c>
    </row>
    <row r="124" spans="1:10" ht="15.75" thickBot="1">
      <c r="A124" s="264" t="s">
        <v>719</v>
      </c>
      <c r="B124" s="206">
        <v>1</v>
      </c>
      <c r="C124" s="186">
        <v>0.495</v>
      </c>
      <c r="D124" s="186">
        <v>1.01</v>
      </c>
      <c r="E124" s="186">
        <v>0.52</v>
      </c>
      <c r="F124" s="188">
        <v>343.47</v>
      </c>
      <c r="G124" s="187">
        <v>361.42903899999999</v>
      </c>
      <c r="H124" s="188">
        <v>17.959038999999962</v>
      </c>
      <c r="I124" s="187" t="s">
        <v>2014</v>
      </c>
      <c r="J124" s="188" t="s">
        <v>2017</v>
      </c>
    </row>
    <row r="125" spans="1:10" ht="15.75" thickBot="1">
      <c r="A125" s="264"/>
      <c r="B125" s="206">
        <v>2</v>
      </c>
      <c r="C125" s="186">
        <v>0.48499999999999999</v>
      </c>
      <c r="D125" s="186">
        <v>1</v>
      </c>
      <c r="E125" s="186">
        <v>0.51</v>
      </c>
      <c r="F125" s="188">
        <v>458.48</v>
      </c>
      <c r="G125" s="187">
        <v>434.59159449999999</v>
      </c>
      <c r="H125" s="188">
        <v>23.888405500000029</v>
      </c>
      <c r="I125" s="187" t="s">
        <v>2014</v>
      </c>
      <c r="J125" s="188" t="s">
        <v>2017</v>
      </c>
    </row>
    <row r="126" spans="1:10" ht="15.75" thickBot="1">
      <c r="A126" s="264"/>
      <c r="B126" s="206">
        <v>3</v>
      </c>
      <c r="C126" s="186">
        <v>0.5</v>
      </c>
      <c r="D126" s="186">
        <v>1</v>
      </c>
      <c r="E126" s="186">
        <v>0.51500000000000001</v>
      </c>
      <c r="F126" s="188">
        <v>343.47</v>
      </c>
      <c r="G126" s="187">
        <v>361.61452899999989</v>
      </c>
      <c r="H126" s="188">
        <v>18.14452899999992</v>
      </c>
      <c r="I126" s="187" t="s">
        <v>2014</v>
      </c>
      <c r="J126" s="188" t="s">
        <v>2017</v>
      </c>
    </row>
    <row r="127" spans="1:10" ht="15.75" thickBot="1">
      <c r="A127" s="264"/>
      <c r="B127" s="206">
        <v>4</v>
      </c>
      <c r="C127" s="186">
        <v>0.49</v>
      </c>
      <c r="D127" s="186">
        <v>1.0049999999999999</v>
      </c>
      <c r="E127" s="186">
        <v>0.51</v>
      </c>
      <c r="F127" s="188">
        <v>343.47</v>
      </c>
      <c r="G127" s="187">
        <v>355.59226366666672</v>
      </c>
      <c r="H127" s="188">
        <v>12.12226366666664</v>
      </c>
      <c r="I127" s="187" t="s">
        <v>2014</v>
      </c>
      <c r="J127" s="188" t="s">
        <v>2017</v>
      </c>
    </row>
    <row r="128" spans="1:10" ht="15.75" thickBot="1">
      <c r="A128" s="264"/>
      <c r="B128" s="206">
        <v>5</v>
      </c>
      <c r="C128" s="186">
        <v>0.48</v>
      </c>
      <c r="D128" s="186">
        <v>1.0149999999999999</v>
      </c>
      <c r="E128" s="186">
        <v>0.51</v>
      </c>
      <c r="F128" s="188">
        <v>343.47</v>
      </c>
      <c r="G128" s="187">
        <v>359.26243133333332</v>
      </c>
      <c r="H128" s="188">
        <v>15.792431333333299</v>
      </c>
      <c r="I128" s="187" t="s">
        <v>2014</v>
      </c>
      <c r="J128" s="188" t="s">
        <v>2017</v>
      </c>
    </row>
    <row r="129" spans="1:10" ht="15.75" thickBot="1">
      <c r="A129" s="264"/>
      <c r="B129" s="206">
        <v>6</v>
      </c>
      <c r="C129" s="186">
        <v>0.48499999999999999</v>
      </c>
      <c r="D129" s="186">
        <v>1.01</v>
      </c>
      <c r="E129" s="186">
        <v>0.505</v>
      </c>
      <c r="F129" s="188">
        <v>306</v>
      </c>
      <c r="G129" s="187">
        <v>337.16747199999998</v>
      </c>
      <c r="H129" s="188">
        <v>31.167471999999979</v>
      </c>
      <c r="I129" s="187" t="s">
        <v>2014</v>
      </c>
      <c r="J129" s="188" t="s">
        <v>2017</v>
      </c>
    </row>
    <row r="130" spans="1:10" ht="15.75" thickBot="1">
      <c r="A130" s="264"/>
      <c r="B130" s="206">
        <v>7</v>
      </c>
      <c r="C130" s="186">
        <v>0.495</v>
      </c>
      <c r="D130" s="186">
        <v>0.995</v>
      </c>
      <c r="E130" s="186">
        <v>0.52500000000000002</v>
      </c>
      <c r="F130" s="188">
        <v>229.24</v>
      </c>
      <c r="G130" s="187">
        <v>261.98190299999999</v>
      </c>
      <c r="H130" s="188">
        <v>32.741902999999979</v>
      </c>
      <c r="I130" s="187" t="s">
        <v>2014</v>
      </c>
      <c r="J130" s="188" t="s">
        <v>2017</v>
      </c>
    </row>
    <row r="131" spans="1:10" ht="15.75" thickBot="1">
      <c r="A131" s="264"/>
      <c r="B131" s="206">
        <v>8</v>
      </c>
      <c r="C131" s="186">
        <v>0.46500000000000002</v>
      </c>
      <c r="D131" s="186">
        <v>1.0449999999999999</v>
      </c>
      <c r="E131" s="186">
        <v>0.48</v>
      </c>
      <c r="F131" s="188">
        <v>229.24</v>
      </c>
      <c r="G131" s="187">
        <v>266.94915800000001</v>
      </c>
      <c r="H131" s="188">
        <v>37.709158000000002</v>
      </c>
      <c r="I131" s="187" t="s">
        <v>2014</v>
      </c>
      <c r="J131" s="188" t="s">
        <v>2017</v>
      </c>
    </row>
    <row r="132" spans="1:10" ht="15.75" thickBot="1">
      <c r="A132" s="264"/>
      <c r="B132" s="206">
        <v>9</v>
      </c>
      <c r="C132" s="186">
        <v>0.48499999999999999</v>
      </c>
      <c r="D132" s="186">
        <v>1.0049999999999999</v>
      </c>
      <c r="E132" s="186">
        <v>0.51</v>
      </c>
      <c r="F132" s="188">
        <v>306</v>
      </c>
      <c r="G132" s="187">
        <v>333.2521716666667</v>
      </c>
      <c r="H132" s="188">
        <v>27.252171666666701</v>
      </c>
      <c r="I132" s="187" t="s">
        <v>2014</v>
      </c>
      <c r="J132" s="188" t="s">
        <v>2017</v>
      </c>
    </row>
    <row r="133" spans="1:10" ht="15.75" thickBot="1">
      <c r="A133" s="264"/>
      <c r="B133" s="206">
        <v>10</v>
      </c>
      <c r="C133" s="186">
        <v>0.495</v>
      </c>
      <c r="D133" s="186">
        <v>1.0049999999999999</v>
      </c>
      <c r="E133" s="186">
        <v>0.48499999999999999</v>
      </c>
      <c r="F133" s="188">
        <v>229.24</v>
      </c>
      <c r="G133" s="187"/>
      <c r="H133" s="188" t="s">
        <v>236</v>
      </c>
      <c r="I133" s="187" t="s">
        <v>2014</v>
      </c>
      <c r="J133" s="188" t="s">
        <v>2018</v>
      </c>
    </row>
    <row r="134" spans="1:10" ht="15.75" thickBot="1">
      <c r="A134" s="264"/>
      <c r="B134" s="206">
        <v>11</v>
      </c>
      <c r="C134" s="186">
        <v>0.5</v>
      </c>
      <c r="D134" s="186">
        <v>1.0049999999999999</v>
      </c>
      <c r="E134" s="186">
        <v>0.5</v>
      </c>
      <c r="F134" s="188">
        <v>458.48</v>
      </c>
      <c r="G134" s="187">
        <v>419.13611250000002</v>
      </c>
      <c r="H134" s="188">
        <v>39.343887500000051</v>
      </c>
      <c r="I134" s="187" t="s">
        <v>2014</v>
      </c>
      <c r="J134" s="188" t="s">
        <v>2017</v>
      </c>
    </row>
    <row r="135" spans="1:10" ht="15.75" thickBot="1">
      <c r="A135" s="264"/>
      <c r="B135" s="206">
        <v>12</v>
      </c>
      <c r="C135" s="186">
        <v>0.47499999999999998</v>
      </c>
      <c r="D135" s="186">
        <v>1.0349999999999999</v>
      </c>
      <c r="E135" s="186">
        <v>0.48499999999999999</v>
      </c>
      <c r="F135" s="188">
        <v>306</v>
      </c>
      <c r="G135" s="187">
        <v>332.5722232</v>
      </c>
      <c r="H135" s="188">
        <v>26.5722232</v>
      </c>
      <c r="I135" s="187" t="s">
        <v>2014</v>
      </c>
      <c r="J135" s="188" t="s">
        <v>2017</v>
      </c>
    </row>
    <row r="136" spans="1:10" ht="15.75" thickBot="1">
      <c r="A136" s="264"/>
      <c r="B136" s="206">
        <v>13</v>
      </c>
      <c r="C136" s="186">
        <v>0.5</v>
      </c>
      <c r="D136" s="186">
        <v>1.01</v>
      </c>
      <c r="E136" s="186">
        <v>0.49</v>
      </c>
      <c r="F136" s="188">
        <v>343.47</v>
      </c>
      <c r="G136" s="187">
        <v>363.5933005</v>
      </c>
      <c r="H136" s="188">
        <v>20.123300499999971</v>
      </c>
      <c r="I136" s="187" t="s">
        <v>2014</v>
      </c>
      <c r="J136" s="188" t="s">
        <v>2017</v>
      </c>
    </row>
    <row r="137" spans="1:10" ht="15.75" thickBot="1">
      <c r="A137" s="264"/>
      <c r="B137" s="206">
        <v>14</v>
      </c>
      <c r="C137" s="186">
        <v>0.48</v>
      </c>
      <c r="D137" s="186">
        <v>1.0249999999999999</v>
      </c>
      <c r="E137" s="186">
        <v>0.48499999999999999</v>
      </c>
      <c r="F137" s="188">
        <v>306</v>
      </c>
      <c r="G137" s="187">
        <v>341.50184400000001</v>
      </c>
      <c r="H137" s="188">
        <v>35.501844000000013</v>
      </c>
      <c r="I137" s="187" t="s">
        <v>2014</v>
      </c>
      <c r="J137" s="188" t="s">
        <v>2017</v>
      </c>
    </row>
    <row r="138" spans="1:10" ht="15.75" thickBot="1">
      <c r="A138" s="264"/>
      <c r="B138" s="206">
        <v>15</v>
      </c>
      <c r="C138" s="186">
        <v>0.505</v>
      </c>
      <c r="D138" s="186">
        <v>1.0049999999999999</v>
      </c>
      <c r="E138" s="186">
        <v>0.49</v>
      </c>
      <c r="F138" s="188">
        <v>229.24</v>
      </c>
      <c r="G138" s="187">
        <v>271.19862799999999</v>
      </c>
      <c r="H138" s="188">
        <v>41.958627999999983</v>
      </c>
      <c r="I138" s="187" t="s">
        <v>2014</v>
      </c>
      <c r="J138" s="188" t="s">
        <v>2017</v>
      </c>
    </row>
    <row r="139" spans="1:10" ht="15.75" thickBot="1">
      <c r="A139" s="264"/>
      <c r="B139" s="206">
        <v>16</v>
      </c>
      <c r="C139" s="186">
        <v>0.48</v>
      </c>
      <c r="D139" s="186">
        <v>1.02</v>
      </c>
      <c r="E139" s="186">
        <v>0.49</v>
      </c>
      <c r="F139" s="188">
        <v>229.24</v>
      </c>
      <c r="G139" s="187"/>
      <c r="H139" s="188" t="s">
        <v>236</v>
      </c>
      <c r="I139" s="187" t="s">
        <v>2014</v>
      </c>
      <c r="J139" s="188" t="s">
        <v>2018</v>
      </c>
    </row>
    <row r="140" spans="1:10" ht="15.75" thickBot="1">
      <c r="A140" s="264" t="s">
        <v>774</v>
      </c>
      <c r="B140" s="208">
        <v>1</v>
      </c>
      <c r="C140" s="186">
        <v>0.49</v>
      </c>
      <c r="D140" s="186">
        <v>1.01</v>
      </c>
      <c r="E140" s="186">
        <v>0.505</v>
      </c>
      <c r="F140" s="188">
        <v>343</v>
      </c>
      <c r="G140" s="187">
        <v>342</v>
      </c>
      <c r="H140" s="188">
        <v>1</v>
      </c>
      <c r="I140" s="187" t="s">
        <v>2014</v>
      </c>
      <c r="J140" s="188" t="s">
        <v>2016</v>
      </c>
    </row>
    <row r="141" spans="1:10" ht="15.75" thickBot="1">
      <c r="A141" s="264"/>
      <c r="B141" s="208">
        <v>2</v>
      </c>
      <c r="C141" s="186">
        <v>0.49</v>
      </c>
      <c r="D141" s="186">
        <v>1.01</v>
      </c>
      <c r="E141" s="186">
        <v>0.505</v>
      </c>
      <c r="F141" s="188">
        <v>458</v>
      </c>
      <c r="G141" s="187">
        <v>402</v>
      </c>
      <c r="H141" s="188">
        <v>56</v>
      </c>
      <c r="I141" s="187" t="s">
        <v>2014</v>
      </c>
      <c r="J141" s="188" t="s">
        <v>2017</v>
      </c>
    </row>
    <row r="142" spans="1:10" ht="15.75" thickBot="1">
      <c r="A142" s="264"/>
      <c r="B142" s="208">
        <v>3</v>
      </c>
      <c r="C142" s="186">
        <v>0.49</v>
      </c>
      <c r="D142" s="186">
        <v>1.01</v>
      </c>
      <c r="E142" s="186">
        <v>0.505</v>
      </c>
      <c r="F142" s="188">
        <v>343</v>
      </c>
      <c r="G142" s="187">
        <v>344</v>
      </c>
      <c r="H142" s="188">
        <v>1</v>
      </c>
      <c r="I142" s="187" t="s">
        <v>2014</v>
      </c>
      <c r="J142" s="188" t="s">
        <v>2016</v>
      </c>
    </row>
    <row r="143" spans="1:10" ht="15.75" thickBot="1">
      <c r="A143" s="264"/>
      <c r="B143" s="208">
        <v>4</v>
      </c>
      <c r="C143" s="186">
        <v>0.48499999999999999</v>
      </c>
      <c r="D143" s="186">
        <v>1.01</v>
      </c>
      <c r="E143" s="186">
        <v>0.5</v>
      </c>
      <c r="F143" s="188">
        <v>343</v>
      </c>
      <c r="G143" s="187">
        <v>334</v>
      </c>
      <c r="H143" s="188">
        <v>9</v>
      </c>
      <c r="I143" s="187" t="s">
        <v>2014</v>
      </c>
      <c r="J143" s="188" t="s">
        <v>2017</v>
      </c>
    </row>
    <row r="144" spans="1:10" ht="15.75" thickBot="1">
      <c r="A144" s="264"/>
      <c r="B144" s="208">
        <v>5</v>
      </c>
      <c r="C144" s="186">
        <v>0.49</v>
      </c>
      <c r="D144" s="186">
        <v>1.01</v>
      </c>
      <c r="E144" s="186">
        <v>0.51</v>
      </c>
      <c r="F144" s="188">
        <v>343</v>
      </c>
      <c r="G144" s="187">
        <v>327</v>
      </c>
      <c r="H144" s="188">
        <v>16</v>
      </c>
      <c r="I144" s="187" t="s">
        <v>2014</v>
      </c>
      <c r="J144" s="188" t="s">
        <v>2017</v>
      </c>
    </row>
    <row r="145" spans="1:10" ht="15.75" thickBot="1">
      <c r="A145" s="264"/>
      <c r="B145" s="208">
        <v>6</v>
      </c>
      <c r="C145" s="186">
        <v>0.48499999999999999</v>
      </c>
      <c r="D145" s="186">
        <v>1.01</v>
      </c>
      <c r="E145" s="186">
        <v>0.51</v>
      </c>
      <c r="F145" s="188">
        <v>306</v>
      </c>
      <c r="G145" s="187">
        <v>314</v>
      </c>
      <c r="H145" s="188">
        <v>8</v>
      </c>
      <c r="I145" s="187" t="s">
        <v>2014</v>
      </c>
      <c r="J145" s="188" t="s">
        <v>2017</v>
      </c>
    </row>
    <row r="146" spans="1:10" ht="15.75" thickBot="1">
      <c r="A146" s="264"/>
      <c r="B146" s="208">
        <v>7</v>
      </c>
      <c r="C146" s="186">
        <v>0.49</v>
      </c>
      <c r="D146" s="186">
        <v>1.01</v>
      </c>
      <c r="E146" s="186">
        <v>0.505</v>
      </c>
      <c r="F146" s="188">
        <v>229</v>
      </c>
      <c r="G146" s="187">
        <v>231</v>
      </c>
      <c r="H146" s="188">
        <v>2</v>
      </c>
      <c r="I146" s="187" t="s">
        <v>2014</v>
      </c>
      <c r="J146" s="188" t="s">
        <v>2016</v>
      </c>
    </row>
    <row r="147" spans="1:10" ht="15.75" thickBot="1">
      <c r="A147" s="264"/>
      <c r="B147" s="208">
        <v>8</v>
      </c>
      <c r="C147" s="186">
        <v>0.49</v>
      </c>
      <c r="D147" s="186">
        <v>1.0149999999999999</v>
      </c>
      <c r="E147" s="186">
        <v>0.505</v>
      </c>
      <c r="F147" s="188">
        <v>229</v>
      </c>
      <c r="G147" s="187">
        <v>228</v>
      </c>
      <c r="H147" s="188">
        <v>1</v>
      </c>
      <c r="I147" s="187" t="s">
        <v>2014</v>
      </c>
      <c r="J147" s="188" t="s">
        <v>2016</v>
      </c>
    </row>
    <row r="148" spans="1:10" ht="15.75" thickBot="1">
      <c r="A148" s="264"/>
      <c r="B148" s="208">
        <v>9</v>
      </c>
      <c r="C148" s="186">
        <v>0.49</v>
      </c>
      <c r="D148" s="186">
        <v>1.01</v>
      </c>
      <c r="E148" s="186">
        <v>0.505</v>
      </c>
      <c r="F148" s="188">
        <v>306</v>
      </c>
      <c r="G148" s="187">
        <v>314</v>
      </c>
      <c r="H148" s="188">
        <v>8</v>
      </c>
      <c r="I148" s="187" t="s">
        <v>2014</v>
      </c>
      <c r="J148" s="188" t="s">
        <v>2017</v>
      </c>
    </row>
    <row r="149" spans="1:10" ht="15.75" thickBot="1">
      <c r="A149" s="264"/>
      <c r="B149" s="208">
        <v>10</v>
      </c>
      <c r="C149" s="186">
        <v>0.495</v>
      </c>
      <c r="D149" s="186">
        <v>1.01</v>
      </c>
      <c r="E149" s="186">
        <v>0.51500000000000001</v>
      </c>
      <c r="F149" s="188">
        <v>229</v>
      </c>
      <c r="G149" s="187" t="s">
        <v>236</v>
      </c>
      <c r="H149" s="188" t="s">
        <v>236</v>
      </c>
      <c r="I149" s="187" t="s">
        <v>2014</v>
      </c>
      <c r="J149" s="188" t="s">
        <v>2018</v>
      </c>
    </row>
    <row r="150" spans="1:10" ht="15.75" thickBot="1">
      <c r="A150" s="264"/>
      <c r="B150" s="208">
        <v>11</v>
      </c>
      <c r="C150" s="186">
        <v>0.49</v>
      </c>
      <c r="D150" s="186">
        <v>1.01</v>
      </c>
      <c r="E150" s="186">
        <v>0.505</v>
      </c>
      <c r="F150" s="188">
        <v>458</v>
      </c>
      <c r="G150" s="187">
        <v>400</v>
      </c>
      <c r="H150" s="188">
        <v>58</v>
      </c>
      <c r="I150" s="187" t="s">
        <v>2014</v>
      </c>
      <c r="J150" s="188" t="s">
        <v>2017</v>
      </c>
    </row>
    <row r="151" spans="1:10" ht="15.75" thickBot="1">
      <c r="A151" s="264"/>
      <c r="B151" s="208">
        <v>12</v>
      </c>
      <c r="C151" s="186">
        <v>0.48499999999999999</v>
      </c>
      <c r="D151" s="186">
        <v>1.01</v>
      </c>
      <c r="E151" s="186">
        <v>0.51</v>
      </c>
      <c r="F151" s="188">
        <v>306</v>
      </c>
      <c r="G151" s="187">
        <v>318</v>
      </c>
      <c r="H151" s="188">
        <v>12</v>
      </c>
      <c r="I151" s="187" t="s">
        <v>2014</v>
      </c>
      <c r="J151" s="188" t="s">
        <v>2017</v>
      </c>
    </row>
    <row r="152" spans="1:10" ht="15.75" thickBot="1">
      <c r="A152" s="264"/>
      <c r="B152" s="208">
        <v>13</v>
      </c>
      <c r="C152" s="186">
        <v>0.48499999999999999</v>
      </c>
      <c r="D152" s="186">
        <v>1.01</v>
      </c>
      <c r="E152" s="186">
        <v>0.505</v>
      </c>
      <c r="F152" s="188">
        <v>343</v>
      </c>
      <c r="G152" s="187">
        <v>335</v>
      </c>
      <c r="H152" s="188">
        <v>8</v>
      </c>
      <c r="I152" s="187" t="s">
        <v>2014</v>
      </c>
      <c r="J152" s="188" t="s">
        <v>2017</v>
      </c>
    </row>
    <row r="153" spans="1:10" ht="15.75" thickBot="1">
      <c r="A153" s="264"/>
      <c r="B153" s="208">
        <v>14</v>
      </c>
      <c r="C153" s="186">
        <v>0.48499999999999999</v>
      </c>
      <c r="D153" s="186">
        <v>1.0049999999999999</v>
      </c>
      <c r="E153" s="186">
        <v>0.5</v>
      </c>
      <c r="F153" s="188">
        <v>306</v>
      </c>
      <c r="G153" s="187">
        <v>323</v>
      </c>
      <c r="H153" s="188">
        <v>17</v>
      </c>
      <c r="I153" s="187" t="s">
        <v>2014</v>
      </c>
      <c r="J153" s="188" t="s">
        <v>2017</v>
      </c>
    </row>
    <row r="154" spans="1:10" ht="15.75" thickBot="1">
      <c r="A154" s="264"/>
      <c r="B154" s="208">
        <v>15</v>
      </c>
      <c r="C154" s="186">
        <v>0.48499999999999999</v>
      </c>
      <c r="D154" s="186">
        <v>1.01</v>
      </c>
      <c r="E154" s="186">
        <v>0.51</v>
      </c>
      <c r="F154" s="188">
        <v>229</v>
      </c>
      <c r="G154" s="187" t="s">
        <v>236</v>
      </c>
      <c r="H154" s="188" t="s">
        <v>236</v>
      </c>
      <c r="I154" s="187" t="s">
        <v>2014</v>
      </c>
      <c r="J154" s="188" t="s">
        <v>2018</v>
      </c>
    </row>
    <row r="155" spans="1:10" ht="15.75" thickBot="1">
      <c r="A155" s="264"/>
      <c r="B155" s="208">
        <v>16</v>
      </c>
      <c r="C155" s="186">
        <v>0.48</v>
      </c>
      <c r="D155" s="186">
        <v>1.0049999999999999</v>
      </c>
      <c r="E155" s="186">
        <v>0.5</v>
      </c>
      <c r="F155" s="188">
        <v>229</v>
      </c>
      <c r="G155" s="187" t="s">
        <v>236</v>
      </c>
      <c r="H155" s="188" t="s">
        <v>236</v>
      </c>
      <c r="I155" s="187" t="s">
        <v>2014</v>
      </c>
      <c r="J155" s="188" t="s">
        <v>2018</v>
      </c>
    </row>
    <row r="156" spans="1:10" ht="15.75" thickBot="1">
      <c r="A156" s="264" t="s">
        <v>831</v>
      </c>
      <c r="B156" s="206">
        <v>1</v>
      </c>
      <c r="C156" s="186">
        <v>0.48</v>
      </c>
      <c r="D156" s="186">
        <v>1.01</v>
      </c>
      <c r="E156" s="186">
        <v>0.5</v>
      </c>
      <c r="F156" s="188">
        <v>343.47</v>
      </c>
      <c r="G156" s="187">
        <v>348.95146149999999</v>
      </c>
      <c r="H156" s="188">
        <v>5.4814614999999662</v>
      </c>
      <c r="I156" s="187" t="s">
        <v>2014</v>
      </c>
      <c r="J156" s="188" t="s">
        <v>2016</v>
      </c>
    </row>
    <row r="157" spans="1:10" ht="15.75" thickBot="1">
      <c r="A157" s="264"/>
      <c r="B157" s="206">
        <v>2</v>
      </c>
      <c r="C157" s="186">
        <v>0.49</v>
      </c>
      <c r="D157" s="186">
        <v>1.01</v>
      </c>
      <c r="E157" s="186">
        <v>0.5</v>
      </c>
      <c r="F157" s="188">
        <v>458.48</v>
      </c>
      <c r="G157" s="187">
        <v>419.2032585</v>
      </c>
      <c r="H157" s="188">
        <v>39.276741500000007</v>
      </c>
      <c r="I157" s="187" t="s">
        <v>2014</v>
      </c>
      <c r="J157" s="188" t="s">
        <v>2017</v>
      </c>
    </row>
    <row r="158" spans="1:10" ht="15.75" thickBot="1">
      <c r="A158" s="264"/>
      <c r="B158" s="206">
        <v>3</v>
      </c>
      <c r="C158" s="186">
        <v>0.495</v>
      </c>
      <c r="D158" s="186">
        <v>1.01</v>
      </c>
      <c r="E158" s="186">
        <v>0.51500000000000001</v>
      </c>
      <c r="F158" s="188">
        <v>343.47</v>
      </c>
      <c r="G158" s="187">
        <v>339.48424449999999</v>
      </c>
      <c r="H158" s="188">
        <v>3.9857555000000389</v>
      </c>
      <c r="I158" s="187" t="s">
        <v>2015</v>
      </c>
      <c r="J158" s="188" t="s">
        <v>2016</v>
      </c>
    </row>
    <row r="159" spans="1:10" ht="15.75" thickBot="1">
      <c r="A159" s="264"/>
      <c r="B159" s="206">
        <v>4</v>
      </c>
      <c r="C159" s="186">
        <v>0.46500000000000002</v>
      </c>
      <c r="D159" s="186">
        <v>1.01</v>
      </c>
      <c r="E159" s="186">
        <v>0.495</v>
      </c>
      <c r="F159" s="188">
        <v>343.47</v>
      </c>
      <c r="G159" s="187">
        <v>336.58639840000001</v>
      </c>
      <c r="H159" s="188">
        <v>6.88360160000002</v>
      </c>
      <c r="I159" s="187" t="s">
        <v>2015</v>
      </c>
      <c r="J159" s="188" t="s">
        <v>2016</v>
      </c>
    </row>
    <row r="160" spans="1:10" ht="15.75" thickBot="1">
      <c r="A160" s="264"/>
      <c r="B160" s="206">
        <v>5</v>
      </c>
      <c r="C160" s="186">
        <v>0.49</v>
      </c>
      <c r="D160" s="186">
        <v>1.0149999999999999</v>
      </c>
      <c r="E160" s="186">
        <v>0.51</v>
      </c>
      <c r="F160" s="188">
        <v>343.47</v>
      </c>
      <c r="G160" s="187">
        <v>332.59672833333337</v>
      </c>
      <c r="H160" s="188">
        <v>10.87327166666665</v>
      </c>
      <c r="I160" s="187" t="s">
        <v>2015</v>
      </c>
      <c r="J160" s="188" t="s">
        <v>2017</v>
      </c>
    </row>
    <row r="161" spans="1:10" ht="15.75" thickBot="1">
      <c r="A161" s="264"/>
      <c r="B161" s="206">
        <v>6</v>
      </c>
      <c r="C161" s="186">
        <v>0.48</v>
      </c>
      <c r="D161" s="186">
        <v>1.01</v>
      </c>
      <c r="E161" s="186">
        <v>0.505</v>
      </c>
      <c r="F161" s="188">
        <v>306</v>
      </c>
      <c r="G161" s="187">
        <v>220.745285</v>
      </c>
      <c r="H161" s="188">
        <v>85.254715000000004</v>
      </c>
      <c r="I161" s="187" t="s">
        <v>2015</v>
      </c>
      <c r="J161" s="188" t="s">
        <v>2017</v>
      </c>
    </row>
    <row r="162" spans="1:10" ht="15.75" thickBot="1">
      <c r="A162" s="264"/>
      <c r="B162" s="206">
        <v>7</v>
      </c>
      <c r="C162" s="186">
        <v>0.48499999999999999</v>
      </c>
      <c r="D162" s="186">
        <v>1.0049999999999999</v>
      </c>
      <c r="E162" s="186">
        <v>0.5</v>
      </c>
      <c r="F162" s="188">
        <v>229.24</v>
      </c>
      <c r="G162" s="187">
        <v>237.57417799999999</v>
      </c>
      <c r="H162" s="188">
        <v>8.3341779999999801</v>
      </c>
      <c r="I162" s="187" t="s">
        <v>2015</v>
      </c>
      <c r="J162" s="188" t="s">
        <v>2017</v>
      </c>
    </row>
    <row r="163" spans="1:10" ht="15.75" thickBot="1">
      <c r="A163" s="264"/>
      <c r="B163" s="206">
        <v>8</v>
      </c>
      <c r="C163" s="186">
        <v>0.48499999999999999</v>
      </c>
      <c r="D163" s="186">
        <v>1.01</v>
      </c>
      <c r="E163" s="186">
        <v>0.505</v>
      </c>
      <c r="F163" s="188">
        <v>229.24</v>
      </c>
      <c r="G163" s="187">
        <v>230.41262733333329</v>
      </c>
      <c r="H163" s="188">
        <v>1.1726273333333379</v>
      </c>
      <c r="I163" s="187" t="s">
        <v>2015</v>
      </c>
      <c r="J163" s="188" t="s">
        <v>2016</v>
      </c>
    </row>
    <row r="164" spans="1:10" ht="15.75" thickBot="1">
      <c r="A164" s="264"/>
      <c r="B164" s="206">
        <v>9</v>
      </c>
      <c r="C164" s="186">
        <v>0.49</v>
      </c>
      <c r="D164" s="186">
        <v>1.0149999999999999</v>
      </c>
      <c r="E164" s="186">
        <v>0.5</v>
      </c>
      <c r="F164" s="188">
        <v>306</v>
      </c>
      <c r="G164" s="187">
        <v>324.77032350000002</v>
      </c>
      <c r="H164" s="188">
        <v>18.770323500000021</v>
      </c>
      <c r="I164" s="187" t="s">
        <v>2014</v>
      </c>
      <c r="J164" s="188" t="s">
        <v>2017</v>
      </c>
    </row>
    <row r="165" spans="1:10" ht="15.75" thickBot="1">
      <c r="A165" s="264"/>
      <c r="B165" s="206">
        <v>10</v>
      </c>
      <c r="C165" s="186">
        <v>0.49</v>
      </c>
      <c r="D165" s="186">
        <v>1.01</v>
      </c>
      <c r="E165" s="186">
        <v>0.505</v>
      </c>
      <c r="F165" s="188">
        <v>229.24</v>
      </c>
      <c r="G165" s="187">
        <v>234.57446300000001</v>
      </c>
      <c r="H165" s="188">
        <v>5.3344630000000004</v>
      </c>
      <c r="I165" s="187" t="s">
        <v>2015</v>
      </c>
      <c r="J165" s="188" t="s">
        <v>2016</v>
      </c>
    </row>
    <row r="166" spans="1:10" ht="15.75" thickBot="1">
      <c r="A166" s="264"/>
      <c r="B166" s="206">
        <v>11</v>
      </c>
      <c r="C166" s="186">
        <v>0.495</v>
      </c>
      <c r="D166" s="186">
        <v>1</v>
      </c>
      <c r="E166" s="186">
        <v>0.5</v>
      </c>
      <c r="F166" s="188">
        <v>458.48</v>
      </c>
      <c r="G166" s="187">
        <v>411.856559</v>
      </c>
      <c r="H166" s="188">
        <v>46.623441000000007</v>
      </c>
      <c r="I166" s="187" t="s">
        <v>2015</v>
      </c>
      <c r="J166" s="188" t="s">
        <v>2017</v>
      </c>
    </row>
    <row r="167" spans="1:10" ht="15.75" thickBot="1">
      <c r="A167" s="264"/>
      <c r="B167" s="206">
        <v>12</v>
      </c>
      <c r="C167" s="186">
        <v>0.48</v>
      </c>
      <c r="D167" s="186">
        <v>1.01</v>
      </c>
      <c r="E167" s="186">
        <v>0.5</v>
      </c>
      <c r="F167" s="188">
        <v>306</v>
      </c>
      <c r="G167" s="187">
        <v>326.54192266666672</v>
      </c>
      <c r="H167" s="188">
        <v>20.541922666666661</v>
      </c>
      <c r="I167" s="187" t="s">
        <v>2014</v>
      </c>
      <c r="J167" s="188" t="s">
        <v>2017</v>
      </c>
    </row>
    <row r="168" spans="1:10" ht="15.75" thickBot="1">
      <c r="A168" s="264"/>
      <c r="B168" s="206">
        <v>13</v>
      </c>
      <c r="C168" s="186">
        <v>0.52500000000000002</v>
      </c>
      <c r="D168" s="186">
        <v>1.0049999999999999</v>
      </c>
      <c r="E168" s="186">
        <v>0.495</v>
      </c>
      <c r="F168" s="188">
        <v>343.47</v>
      </c>
      <c r="G168" s="187">
        <v>340.35336799999999</v>
      </c>
      <c r="H168" s="188">
        <v>3.1166320000000378</v>
      </c>
      <c r="I168" s="187" t="s">
        <v>2015</v>
      </c>
      <c r="J168" s="188" t="s">
        <v>2016</v>
      </c>
    </row>
    <row r="169" spans="1:10" ht="15.75" thickBot="1">
      <c r="A169" s="264"/>
      <c r="B169" s="206">
        <v>14</v>
      </c>
      <c r="C169" s="186">
        <v>0.48499999999999999</v>
      </c>
      <c r="D169" s="186">
        <v>1.0049999999999999</v>
      </c>
      <c r="E169" s="186">
        <v>0.5</v>
      </c>
      <c r="F169" s="188">
        <v>306</v>
      </c>
      <c r="G169" s="187">
        <v>328.77903400000002</v>
      </c>
      <c r="H169" s="188">
        <v>22.779034000000021</v>
      </c>
      <c r="I169" s="187" t="s">
        <v>2015</v>
      </c>
      <c r="J169" s="188" t="s">
        <v>2017</v>
      </c>
    </row>
    <row r="170" spans="1:10" ht="15.75" thickBot="1">
      <c r="A170" s="264"/>
      <c r="B170" s="206">
        <v>15</v>
      </c>
      <c r="C170" s="186">
        <v>0.48</v>
      </c>
      <c r="D170" s="186">
        <v>1.0149999999999999</v>
      </c>
      <c r="E170" s="186">
        <v>0.5</v>
      </c>
      <c r="F170" s="188">
        <v>229.24</v>
      </c>
      <c r="G170" s="187">
        <v>235.7442715</v>
      </c>
      <c r="H170" s="188">
        <v>6.5042715000000157</v>
      </c>
      <c r="I170" s="187" t="s">
        <v>2015</v>
      </c>
      <c r="J170" s="188" t="s">
        <v>2017</v>
      </c>
    </row>
    <row r="171" spans="1:10" ht="15.75" thickBot="1">
      <c r="A171" s="264"/>
      <c r="B171" s="206">
        <v>16</v>
      </c>
      <c r="C171" s="186">
        <v>0.48</v>
      </c>
      <c r="D171" s="186">
        <v>1.01</v>
      </c>
      <c r="E171" s="186">
        <v>0.49</v>
      </c>
      <c r="F171" s="188">
        <v>229.24</v>
      </c>
      <c r="G171" s="187">
        <v>226.94903500000001</v>
      </c>
      <c r="H171" s="188">
        <v>2.2909649999999999</v>
      </c>
      <c r="I171" s="187" t="s">
        <v>2015</v>
      </c>
      <c r="J171" s="188" t="s">
        <v>2016</v>
      </c>
    </row>
    <row r="172" spans="1:10" ht="15.75" thickBot="1">
      <c r="B172" s="207"/>
      <c r="C172" s="179"/>
      <c r="D172" s="179"/>
      <c r="E172" s="179"/>
      <c r="I172" s="189"/>
    </row>
    <row r="173" spans="1:10" s="181" customFormat="1" ht="15.75" thickBot="1">
      <c r="A173" s="270" t="s">
        <v>2022</v>
      </c>
      <c r="B173" s="271"/>
      <c r="C173" s="271"/>
      <c r="D173" s="271"/>
      <c r="E173" s="271"/>
      <c r="F173" s="271"/>
      <c r="G173" s="271"/>
      <c r="H173" s="271"/>
      <c r="I173" s="271"/>
      <c r="J173" s="272"/>
    </row>
    <row r="174" spans="1:10" s="181" customFormat="1" ht="36.75" thickBot="1">
      <c r="A174" s="92"/>
      <c r="B174" s="205" t="s">
        <v>2028</v>
      </c>
      <c r="C174" s="182" t="s">
        <v>2029</v>
      </c>
      <c r="D174" s="182" t="s">
        <v>2030</v>
      </c>
      <c r="E174" s="182" t="s">
        <v>2031</v>
      </c>
      <c r="F174" s="184" t="s">
        <v>216</v>
      </c>
      <c r="G174" s="183" t="s">
        <v>215</v>
      </c>
      <c r="H174" s="184" t="s">
        <v>217</v>
      </c>
      <c r="I174" s="183" t="s">
        <v>222</v>
      </c>
      <c r="J174" s="184" t="s">
        <v>218</v>
      </c>
    </row>
    <row r="175" spans="1:10" ht="15.75" thickBot="1">
      <c r="A175" s="264" t="s">
        <v>881</v>
      </c>
      <c r="B175" s="206">
        <v>1</v>
      </c>
      <c r="C175" s="186">
        <v>0.47499999999999998</v>
      </c>
      <c r="D175" s="186">
        <v>1.01</v>
      </c>
      <c r="E175" s="186">
        <v>0.51</v>
      </c>
      <c r="F175" s="188">
        <v>281.18</v>
      </c>
      <c r="G175" s="187">
        <v>288.2194715</v>
      </c>
      <c r="H175" s="188">
        <v>7.0394714999999914</v>
      </c>
      <c r="I175" s="187" t="s">
        <v>2014</v>
      </c>
      <c r="J175" s="188" t="s">
        <v>2017</v>
      </c>
    </row>
    <row r="176" spans="1:10" ht="15.75" thickBot="1">
      <c r="A176" s="264"/>
      <c r="B176" s="206">
        <v>2</v>
      </c>
      <c r="C176" s="186">
        <v>0.42499999999999999</v>
      </c>
      <c r="D176" s="186">
        <v>1.0249999999999999</v>
      </c>
      <c r="E176" s="186">
        <v>0.54</v>
      </c>
      <c r="F176" s="188">
        <v>375.33</v>
      </c>
      <c r="G176" s="187">
        <v>377.91860050000003</v>
      </c>
      <c r="H176" s="188">
        <v>2.5886005000000409</v>
      </c>
      <c r="I176" s="187" t="s">
        <v>2014</v>
      </c>
      <c r="J176" s="188" t="s">
        <v>2016</v>
      </c>
    </row>
    <row r="177" spans="1:10" ht="15.75" thickBot="1">
      <c r="A177" s="264"/>
      <c r="B177" s="206">
        <v>3</v>
      </c>
      <c r="C177" s="186">
        <v>0.48</v>
      </c>
      <c r="D177" s="186">
        <v>1.0049999999999999</v>
      </c>
      <c r="E177" s="186">
        <v>0.55500000000000005</v>
      </c>
      <c r="F177" s="188">
        <v>281.18</v>
      </c>
      <c r="G177" s="187">
        <v>297.27937450000002</v>
      </c>
      <c r="H177" s="188">
        <v>16.09937450000001</v>
      </c>
      <c r="I177" s="187" t="s">
        <v>2014</v>
      </c>
      <c r="J177" s="188" t="s">
        <v>2017</v>
      </c>
    </row>
    <row r="178" spans="1:10" ht="15.75" thickBot="1">
      <c r="A178" s="264"/>
      <c r="B178" s="206">
        <v>4</v>
      </c>
      <c r="C178" s="186">
        <v>0.45500000000000002</v>
      </c>
      <c r="D178" s="186">
        <v>1.01</v>
      </c>
      <c r="E178" s="186">
        <v>0.56000000000000005</v>
      </c>
      <c r="F178" s="188">
        <v>281.18</v>
      </c>
      <c r="G178" s="187">
        <v>273.72607175000002</v>
      </c>
      <c r="H178" s="188">
        <v>7.4539282499999899</v>
      </c>
      <c r="I178" s="187" t="s">
        <v>2014</v>
      </c>
      <c r="J178" s="188" t="s">
        <v>2017</v>
      </c>
    </row>
    <row r="179" spans="1:10" ht="15.75" thickBot="1">
      <c r="A179" s="264"/>
      <c r="B179" s="206">
        <v>5</v>
      </c>
      <c r="C179" s="186">
        <v>0.46500000000000002</v>
      </c>
      <c r="D179" s="186">
        <v>0.98499999999999999</v>
      </c>
      <c r="E179" s="186">
        <v>0.52</v>
      </c>
      <c r="F179" s="188">
        <v>281.18</v>
      </c>
      <c r="G179" s="187">
        <v>289.73342266666668</v>
      </c>
      <c r="H179" s="188">
        <v>8.5534226666666768</v>
      </c>
      <c r="I179" s="187" t="s">
        <v>2014</v>
      </c>
      <c r="J179" s="188" t="s">
        <v>2017</v>
      </c>
    </row>
    <row r="180" spans="1:10" ht="15.75" thickBot="1">
      <c r="A180" s="264"/>
      <c r="B180" s="206">
        <v>6</v>
      </c>
      <c r="C180" s="186">
        <v>0.435</v>
      </c>
      <c r="D180" s="186">
        <v>1</v>
      </c>
      <c r="E180" s="186">
        <v>0.52500000000000002</v>
      </c>
      <c r="F180" s="188">
        <v>250.5</v>
      </c>
      <c r="G180" s="187">
        <v>265.825624</v>
      </c>
      <c r="H180" s="188">
        <v>15.325623999999999</v>
      </c>
      <c r="I180" s="187" t="s">
        <v>2014</v>
      </c>
      <c r="J180" s="188" t="s">
        <v>2017</v>
      </c>
    </row>
    <row r="181" spans="1:10" ht="15.75" thickBot="1">
      <c r="A181" s="264"/>
      <c r="B181" s="206">
        <v>7</v>
      </c>
      <c r="C181" s="186">
        <v>0.46</v>
      </c>
      <c r="D181" s="186">
        <v>1.02</v>
      </c>
      <c r="E181" s="186">
        <v>0.52</v>
      </c>
      <c r="F181" s="188">
        <v>187.66</v>
      </c>
      <c r="G181" s="187">
        <v>208.98880149999999</v>
      </c>
      <c r="H181" s="188">
        <v>21.328801500000029</v>
      </c>
      <c r="I181" s="187" t="s">
        <v>2014</v>
      </c>
      <c r="J181" s="188" t="s">
        <v>2017</v>
      </c>
    </row>
    <row r="182" spans="1:10" ht="15.75" thickBot="1">
      <c r="A182" s="264"/>
      <c r="B182" s="206">
        <v>8</v>
      </c>
      <c r="C182" s="186">
        <v>0.44500000000000001</v>
      </c>
      <c r="D182" s="186">
        <v>1</v>
      </c>
      <c r="E182" s="186">
        <v>0.53500000000000003</v>
      </c>
      <c r="F182" s="188">
        <v>187.66</v>
      </c>
      <c r="G182" s="187"/>
      <c r="H182" s="188" t="s">
        <v>236</v>
      </c>
      <c r="I182" s="187" t="s">
        <v>2014</v>
      </c>
      <c r="J182" s="188" t="s">
        <v>2018</v>
      </c>
    </row>
    <row r="183" spans="1:10" ht="15.75" thickBot="1">
      <c r="A183" s="264"/>
      <c r="B183" s="206">
        <v>9</v>
      </c>
      <c r="C183" s="186">
        <v>0.42</v>
      </c>
      <c r="D183" s="186">
        <v>0.995</v>
      </c>
      <c r="E183" s="186">
        <v>0.52</v>
      </c>
      <c r="F183" s="188">
        <v>250.5</v>
      </c>
      <c r="G183" s="187">
        <v>267.88043099999999</v>
      </c>
      <c r="H183" s="188">
        <v>17.380431000000041</v>
      </c>
      <c r="I183" s="187" t="s">
        <v>2014</v>
      </c>
      <c r="J183" s="188" t="s">
        <v>2017</v>
      </c>
    </row>
    <row r="184" spans="1:10" ht="15.75" thickBot="1">
      <c r="A184" s="264"/>
      <c r="B184" s="206">
        <v>10</v>
      </c>
      <c r="C184" s="186">
        <v>0.46</v>
      </c>
      <c r="D184" s="186">
        <v>1.0149999999999999</v>
      </c>
      <c r="E184" s="186">
        <v>0.53500000000000003</v>
      </c>
      <c r="F184" s="188">
        <v>187.66</v>
      </c>
      <c r="G184" s="187">
        <v>268.044419</v>
      </c>
      <c r="H184" s="188">
        <v>80.384419000000008</v>
      </c>
      <c r="I184" s="187" t="s">
        <v>2014</v>
      </c>
      <c r="J184" s="188" t="s">
        <v>2017</v>
      </c>
    </row>
    <row r="185" spans="1:10" ht="15.75" thickBot="1">
      <c r="A185" s="264"/>
      <c r="B185" s="206">
        <v>11</v>
      </c>
      <c r="C185" s="186">
        <v>0.435</v>
      </c>
      <c r="D185" s="186">
        <v>0.97499999999999998</v>
      </c>
      <c r="E185" s="186">
        <v>0.54</v>
      </c>
      <c r="F185" s="188">
        <v>375.33</v>
      </c>
      <c r="G185" s="187">
        <v>301.46502400000003</v>
      </c>
      <c r="H185" s="188">
        <v>73.864975999999956</v>
      </c>
      <c r="I185" s="187" t="s">
        <v>2014</v>
      </c>
      <c r="J185" s="188" t="s">
        <v>2017</v>
      </c>
    </row>
    <row r="186" spans="1:10" ht="15.75" thickBot="1">
      <c r="A186" s="264"/>
      <c r="B186" s="206">
        <v>12</v>
      </c>
      <c r="C186" s="186">
        <v>0.44500000000000001</v>
      </c>
      <c r="D186" s="186">
        <v>1</v>
      </c>
      <c r="E186" s="186">
        <v>0.55000000000000004</v>
      </c>
      <c r="F186" s="188">
        <v>250.5</v>
      </c>
      <c r="G186" s="187">
        <v>231.75305650000001</v>
      </c>
      <c r="H186" s="188">
        <v>18.746943499999986</v>
      </c>
      <c r="I186" s="187" t="s">
        <v>2014</v>
      </c>
      <c r="J186" s="188" t="s">
        <v>2017</v>
      </c>
    </row>
    <row r="187" spans="1:10" ht="15.75" thickBot="1">
      <c r="A187" s="264"/>
      <c r="B187" s="206">
        <v>13</v>
      </c>
      <c r="C187" s="186">
        <v>0.42499999999999999</v>
      </c>
      <c r="D187" s="186">
        <v>1.0049999999999999</v>
      </c>
      <c r="E187" s="186">
        <v>0.55000000000000004</v>
      </c>
      <c r="F187" s="188">
        <v>281.18</v>
      </c>
      <c r="G187" s="187"/>
      <c r="H187" s="188" t="s">
        <v>236</v>
      </c>
      <c r="I187" s="187" t="s">
        <v>2014</v>
      </c>
      <c r="J187" s="188" t="s">
        <v>2018</v>
      </c>
    </row>
    <row r="188" spans="1:10" ht="15.75" thickBot="1">
      <c r="A188" s="264"/>
      <c r="B188" s="206">
        <v>14</v>
      </c>
      <c r="C188" s="186">
        <v>0.44500000000000001</v>
      </c>
      <c r="D188" s="186">
        <v>1</v>
      </c>
      <c r="E188" s="186">
        <v>0.53</v>
      </c>
      <c r="F188" s="188">
        <v>250.5</v>
      </c>
      <c r="G188" s="187">
        <v>312.12508400000002</v>
      </c>
      <c r="H188" s="188">
        <v>61.625084000000022</v>
      </c>
      <c r="I188" s="187" t="s">
        <v>2014</v>
      </c>
      <c r="J188" s="188" t="s">
        <v>2017</v>
      </c>
    </row>
    <row r="189" spans="1:10" ht="15.75" thickBot="1">
      <c r="A189" s="264"/>
      <c r="B189" s="206">
        <v>15</v>
      </c>
      <c r="C189" s="186">
        <v>0.46</v>
      </c>
      <c r="D189" s="186">
        <v>1.0049999999999999</v>
      </c>
      <c r="E189" s="186">
        <v>0.58499999999999996</v>
      </c>
      <c r="F189" s="188">
        <v>187.66</v>
      </c>
      <c r="G189" s="187">
        <v>274.0590335</v>
      </c>
      <c r="H189" s="188">
        <v>86.399033500000002</v>
      </c>
      <c r="I189" s="187" t="s">
        <v>2014</v>
      </c>
      <c r="J189" s="188" t="s">
        <v>2017</v>
      </c>
    </row>
    <row r="190" spans="1:10" ht="15.75" thickBot="1">
      <c r="A190" s="264"/>
      <c r="B190" s="206">
        <v>16</v>
      </c>
      <c r="C190" s="186">
        <v>0.44500000000000001</v>
      </c>
      <c r="D190" s="186">
        <v>0.99</v>
      </c>
      <c r="E190" s="186">
        <v>0.55500000000000005</v>
      </c>
      <c r="F190" s="188">
        <v>187.66</v>
      </c>
      <c r="G190" s="187">
        <v>221.608047</v>
      </c>
      <c r="H190" s="188">
        <v>33.948047000000003</v>
      </c>
      <c r="I190" s="187" t="s">
        <v>2014</v>
      </c>
      <c r="J190" s="188" t="s">
        <v>2017</v>
      </c>
    </row>
    <row r="191" spans="1:10" ht="15.75" thickBot="1">
      <c r="A191" s="264" t="s">
        <v>924</v>
      </c>
      <c r="B191" s="206">
        <v>1</v>
      </c>
      <c r="C191" s="186">
        <v>0.435</v>
      </c>
      <c r="D191" s="186">
        <v>0.98499999999999999</v>
      </c>
      <c r="E191" s="186">
        <v>0.52500000000000002</v>
      </c>
      <c r="F191" s="188">
        <v>281.18</v>
      </c>
      <c r="G191" s="187">
        <v>287.47389500000003</v>
      </c>
      <c r="H191" s="188">
        <v>6.2938950000000196</v>
      </c>
      <c r="I191" s="187" t="s">
        <v>2014</v>
      </c>
      <c r="J191" s="188" t="s">
        <v>2016</v>
      </c>
    </row>
    <row r="192" spans="1:10" ht="15.75" thickBot="1">
      <c r="A192" s="264"/>
      <c r="B192" s="206">
        <v>2</v>
      </c>
      <c r="C192" s="186">
        <v>0.49</v>
      </c>
      <c r="D192" s="186">
        <v>1.01</v>
      </c>
      <c r="E192" s="186">
        <v>0.505</v>
      </c>
      <c r="F192" s="188">
        <v>375.33</v>
      </c>
      <c r="G192" s="187">
        <v>374.84049449999998</v>
      </c>
      <c r="H192" s="188">
        <v>0.48950550000000698</v>
      </c>
      <c r="I192" s="187" t="s">
        <v>2014</v>
      </c>
      <c r="J192" s="188" t="s">
        <v>2016</v>
      </c>
    </row>
    <row r="193" spans="1:10" ht="15.75" thickBot="1">
      <c r="A193" s="264"/>
      <c r="B193" s="206">
        <v>3</v>
      </c>
      <c r="C193" s="186">
        <v>0.495</v>
      </c>
      <c r="D193" s="186">
        <v>1.0049999999999999</v>
      </c>
      <c r="E193" s="186">
        <v>0.52</v>
      </c>
      <c r="F193" s="188">
        <v>281.18</v>
      </c>
      <c r="G193" s="187">
        <v>304.69282900000002</v>
      </c>
      <c r="H193" s="188">
        <v>23.512829000000011</v>
      </c>
      <c r="I193" s="187" t="s">
        <v>2014</v>
      </c>
      <c r="J193" s="188" t="s">
        <v>2017</v>
      </c>
    </row>
    <row r="194" spans="1:10" ht="15.75" thickBot="1">
      <c r="A194" s="264"/>
      <c r="B194" s="206">
        <v>4</v>
      </c>
      <c r="C194" s="186">
        <v>0.48</v>
      </c>
      <c r="D194" s="186">
        <v>1.01</v>
      </c>
      <c r="E194" s="186">
        <v>0.52500000000000002</v>
      </c>
      <c r="F194" s="188">
        <v>281.18</v>
      </c>
      <c r="G194" s="187">
        <v>297.10682916666673</v>
      </c>
      <c r="H194" s="188">
        <v>15.926829166666661</v>
      </c>
      <c r="I194" s="187" t="s">
        <v>2015</v>
      </c>
      <c r="J194" s="188" t="s">
        <v>2017</v>
      </c>
    </row>
    <row r="195" spans="1:10" ht="15.75" thickBot="1">
      <c r="A195" s="264"/>
      <c r="B195" s="206">
        <v>5</v>
      </c>
      <c r="C195" s="186">
        <v>0.52</v>
      </c>
      <c r="D195" s="186">
        <v>1.0249999999999999</v>
      </c>
      <c r="E195" s="186">
        <v>0.505</v>
      </c>
      <c r="F195" s="188">
        <v>281.18</v>
      </c>
      <c r="G195" s="187">
        <v>289.812388</v>
      </c>
      <c r="H195" s="188">
        <v>8.6323879999999917</v>
      </c>
      <c r="I195" s="187" t="s">
        <v>2015</v>
      </c>
      <c r="J195" s="188" t="s">
        <v>2017</v>
      </c>
    </row>
    <row r="196" spans="1:10" ht="15.75" thickBot="1">
      <c r="A196" s="264"/>
      <c r="B196" s="206">
        <v>6</v>
      </c>
      <c r="C196" s="186">
        <v>0.55000000000000004</v>
      </c>
      <c r="D196" s="186">
        <v>1</v>
      </c>
      <c r="E196" s="186">
        <v>0.495</v>
      </c>
      <c r="F196" s="188">
        <v>250.5</v>
      </c>
      <c r="G196" s="187">
        <v>267.70367499999998</v>
      </c>
      <c r="H196" s="188">
        <v>17.203674999999979</v>
      </c>
      <c r="I196" s="187" t="s">
        <v>2014</v>
      </c>
      <c r="J196" s="188" t="s">
        <v>2017</v>
      </c>
    </row>
    <row r="197" spans="1:10" ht="15.75" thickBot="1">
      <c r="A197" s="264"/>
      <c r="B197" s="206">
        <v>7</v>
      </c>
      <c r="C197" s="186">
        <v>0.51</v>
      </c>
      <c r="D197" s="186">
        <v>1.0349999999999999</v>
      </c>
      <c r="E197" s="186">
        <v>0.505</v>
      </c>
      <c r="F197" s="188">
        <v>187.66</v>
      </c>
      <c r="G197" s="187">
        <v>212.86911000000001</v>
      </c>
      <c r="H197" s="188">
        <v>25.20911000000001</v>
      </c>
      <c r="I197" s="187" t="s">
        <v>2014</v>
      </c>
      <c r="J197" s="188" t="s">
        <v>2017</v>
      </c>
    </row>
    <row r="198" spans="1:10" ht="15.75" thickBot="1">
      <c r="A198" s="264"/>
      <c r="B198" s="206">
        <v>8</v>
      </c>
      <c r="C198" s="186">
        <v>0.47</v>
      </c>
      <c r="D198" s="186">
        <v>1.0249999999999999</v>
      </c>
      <c r="E198" s="186">
        <v>0.46</v>
      </c>
      <c r="F198" s="188">
        <v>187.66</v>
      </c>
      <c r="G198" s="187">
        <v>220.98239000000001</v>
      </c>
      <c r="H198" s="188">
        <v>33.322390000000013</v>
      </c>
      <c r="I198" s="187" t="s">
        <v>2014</v>
      </c>
      <c r="J198" s="188" t="s">
        <v>2017</v>
      </c>
    </row>
    <row r="199" spans="1:10" ht="15.75" thickBot="1">
      <c r="A199" s="264"/>
      <c r="B199" s="206">
        <v>9</v>
      </c>
      <c r="C199" s="186">
        <v>0.45</v>
      </c>
      <c r="D199" s="186">
        <v>1.0049999999999999</v>
      </c>
      <c r="E199" s="186">
        <v>0.5</v>
      </c>
      <c r="F199" s="188">
        <v>250.5</v>
      </c>
      <c r="G199" s="187">
        <v>267.81481700000001</v>
      </c>
      <c r="H199" s="188">
        <v>17.314817000000009</v>
      </c>
      <c r="I199" s="187" t="s">
        <v>2014</v>
      </c>
      <c r="J199" s="188" t="s">
        <v>2017</v>
      </c>
    </row>
    <row r="200" spans="1:10" ht="15.75" thickBot="1">
      <c r="A200" s="264"/>
      <c r="B200" s="206">
        <v>10</v>
      </c>
      <c r="C200" s="186">
        <v>0.42499999999999999</v>
      </c>
      <c r="D200" s="186">
        <v>1.0249999999999999</v>
      </c>
      <c r="E200" s="186">
        <v>0.53500000000000003</v>
      </c>
      <c r="F200" s="188">
        <v>187.66</v>
      </c>
      <c r="G200" s="187">
        <v>221.7954003333333</v>
      </c>
      <c r="H200" s="188">
        <v>34.135400333333337</v>
      </c>
      <c r="I200" s="187" t="s">
        <v>2014</v>
      </c>
      <c r="J200" s="188" t="s">
        <v>2017</v>
      </c>
    </row>
    <row r="201" spans="1:10" ht="15.75" thickBot="1">
      <c r="A201" s="264"/>
      <c r="B201" s="206">
        <v>11</v>
      </c>
      <c r="C201" s="186">
        <v>0.47</v>
      </c>
      <c r="D201" s="186">
        <v>1.01</v>
      </c>
      <c r="E201" s="186">
        <v>0.47499999999999998</v>
      </c>
      <c r="F201" s="188">
        <v>375.33</v>
      </c>
      <c r="G201" s="187">
        <v>373.197879</v>
      </c>
      <c r="H201" s="188">
        <v>2.1321209999999837</v>
      </c>
      <c r="I201" s="187" t="s">
        <v>2014</v>
      </c>
      <c r="J201" s="188" t="s">
        <v>2016</v>
      </c>
    </row>
    <row r="202" spans="1:10" ht="15.75" thickBot="1">
      <c r="A202" s="264"/>
      <c r="B202" s="206">
        <v>12</v>
      </c>
      <c r="C202" s="186">
        <v>0.47</v>
      </c>
      <c r="D202" s="186">
        <v>1.01</v>
      </c>
      <c r="E202" s="186">
        <v>0.495</v>
      </c>
      <c r="F202" s="188">
        <v>250.5</v>
      </c>
      <c r="G202" s="187">
        <v>191.42654899999999</v>
      </c>
      <c r="H202" s="188">
        <v>59.073451000000013</v>
      </c>
      <c r="I202" s="187" t="s">
        <v>2015</v>
      </c>
      <c r="J202" s="188" t="s">
        <v>2017</v>
      </c>
    </row>
    <row r="203" spans="1:10" ht="15.75" thickBot="1">
      <c r="A203" s="264"/>
      <c r="B203" s="206">
        <v>13</v>
      </c>
      <c r="C203" s="186">
        <v>0.49</v>
      </c>
      <c r="D203" s="186">
        <v>1.04</v>
      </c>
      <c r="E203" s="186">
        <v>0.49</v>
      </c>
      <c r="F203" s="188">
        <v>281.18</v>
      </c>
      <c r="G203" s="187">
        <v>291.03117700000001</v>
      </c>
      <c r="H203" s="188">
        <v>9.8511769999999501</v>
      </c>
      <c r="I203" s="187" t="s">
        <v>2015</v>
      </c>
      <c r="J203" s="188" t="s">
        <v>2017</v>
      </c>
    </row>
    <row r="204" spans="1:10" ht="15.75" thickBot="1">
      <c r="A204" s="264"/>
      <c r="B204" s="206">
        <v>14</v>
      </c>
      <c r="C204" s="186">
        <v>0.45500000000000002</v>
      </c>
      <c r="D204" s="186">
        <v>0.99</v>
      </c>
      <c r="E204" s="186">
        <v>0.48</v>
      </c>
      <c r="F204" s="188">
        <v>250.5</v>
      </c>
      <c r="G204" s="187">
        <v>295.64714833333329</v>
      </c>
      <c r="H204" s="188">
        <v>45.147148333333291</v>
      </c>
      <c r="I204" s="187" t="s">
        <v>2015</v>
      </c>
      <c r="J204" s="188" t="s">
        <v>2017</v>
      </c>
    </row>
    <row r="205" spans="1:10" ht="15.75" thickBot="1">
      <c r="A205" s="264"/>
      <c r="B205" s="206">
        <v>15</v>
      </c>
      <c r="C205" s="186">
        <v>0.47</v>
      </c>
      <c r="D205" s="186">
        <v>1.04</v>
      </c>
      <c r="E205" s="186">
        <v>0.46</v>
      </c>
      <c r="F205" s="188">
        <v>187.66</v>
      </c>
      <c r="G205" s="187">
        <v>295.94782750000002</v>
      </c>
      <c r="H205" s="188">
        <v>108.28782750000001</v>
      </c>
      <c r="I205" s="187" t="s">
        <v>2014</v>
      </c>
      <c r="J205" s="188" t="s">
        <v>2017</v>
      </c>
    </row>
    <row r="206" spans="1:10" ht="15.75" thickBot="1">
      <c r="A206" s="264"/>
      <c r="B206" s="206">
        <v>16</v>
      </c>
      <c r="C206" s="186">
        <v>0.45</v>
      </c>
      <c r="D206" s="186">
        <v>1</v>
      </c>
      <c r="E206" s="186">
        <v>0.505</v>
      </c>
      <c r="F206" s="188">
        <v>187.66</v>
      </c>
      <c r="G206" s="187">
        <v>257.17776049999998</v>
      </c>
      <c r="H206" s="188">
        <v>69.51776049999998</v>
      </c>
      <c r="I206" s="187" t="s">
        <v>2015</v>
      </c>
      <c r="J206" s="188" t="s">
        <v>2017</v>
      </c>
    </row>
    <row r="207" spans="1:10" ht="15.75" thickBot="1">
      <c r="A207" s="264" t="s">
        <v>974</v>
      </c>
      <c r="B207" s="206">
        <v>1</v>
      </c>
      <c r="C207" s="186">
        <v>0.46500000000000002</v>
      </c>
      <c r="D207" s="186">
        <v>1.01</v>
      </c>
      <c r="E207" s="186">
        <v>0.495</v>
      </c>
      <c r="F207" s="188">
        <v>281.18</v>
      </c>
      <c r="G207" s="187">
        <v>304.48791499999999</v>
      </c>
      <c r="H207" s="188">
        <v>23.30791499999998</v>
      </c>
      <c r="I207" s="187" t="s">
        <v>2014</v>
      </c>
      <c r="J207" s="188" t="s">
        <v>2017</v>
      </c>
    </row>
    <row r="208" spans="1:10" ht="15.75" thickBot="1">
      <c r="A208" s="264"/>
      <c r="B208" s="206">
        <v>2</v>
      </c>
      <c r="C208" s="186">
        <v>0.48499999999999999</v>
      </c>
      <c r="D208" s="186">
        <v>1.0049999999999999</v>
      </c>
      <c r="E208" s="186">
        <v>0.5</v>
      </c>
      <c r="F208" s="188">
        <v>375.33</v>
      </c>
      <c r="G208" s="187">
        <v>401.07223699999997</v>
      </c>
      <c r="H208" s="188">
        <v>25.742236999999989</v>
      </c>
      <c r="I208" s="187" t="s">
        <v>2014</v>
      </c>
      <c r="J208" s="188" t="s">
        <v>2017</v>
      </c>
    </row>
    <row r="209" spans="1:10" ht="15.75" thickBot="1">
      <c r="A209" s="264"/>
      <c r="B209" s="206">
        <v>3</v>
      </c>
      <c r="C209" s="186">
        <v>0.49</v>
      </c>
      <c r="D209" s="186">
        <v>0.995</v>
      </c>
      <c r="E209" s="186">
        <v>0.5</v>
      </c>
      <c r="F209" s="188">
        <v>281.18</v>
      </c>
      <c r="G209" s="187">
        <v>298.86676799999998</v>
      </c>
      <c r="H209" s="188">
        <v>17.686767999999969</v>
      </c>
      <c r="I209" s="187" t="s">
        <v>2015</v>
      </c>
      <c r="J209" s="188" t="s">
        <v>2017</v>
      </c>
    </row>
    <row r="210" spans="1:10" ht="15.75" thickBot="1">
      <c r="A210" s="264"/>
      <c r="B210" s="206">
        <v>4</v>
      </c>
      <c r="C210" s="186">
        <v>0.47499999999999998</v>
      </c>
      <c r="D210" s="186">
        <v>1.0249999999999999</v>
      </c>
      <c r="E210" s="186">
        <v>0.47</v>
      </c>
      <c r="F210" s="188">
        <v>281.18</v>
      </c>
      <c r="G210" s="187">
        <v>252.42464525</v>
      </c>
      <c r="H210" s="188">
        <v>28.755354750000009</v>
      </c>
      <c r="I210" s="187" t="s">
        <v>2015</v>
      </c>
      <c r="J210" s="188" t="s">
        <v>2017</v>
      </c>
    </row>
    <row r="211" spans="1:10" ht="15.75" thickBot="1">
      <c r="A211" s="264"/>
      <c r="B211" s="206">
        <v>5</v>
      </c>
      <c r="C211" s="186">
        <v>0.48</v>
      </c>
      <c r="D211" s="186">
        <v>1.0049999999999999</v>
      </c>
      <c r="E211" s="186">
        <v>0.51</v>
      </c>
      <c r="F211" s="188">
        <v>281.18</v>
      </c>
      <c r="G211" s="187">
        <v>297.61910449999999</v>
      </c>
      <c r="H211" s="188">
        <v>16.439104499999981</v>
      </c>
      <c r="I211" s="187" t="s">
        <v>2014</v>
      </c>
      <c r="J211" s="188" t="s">
        <v>2017</v>
      </c>
    </row>
    <row r="212" spans="1:10" ht="15.75" thickBot="1">
      <c r="A212" s="264"/>
      <c r="B212" s="206">
        <v>6</v>
      </c>
      <c r="C212" s="186">
        <v>0.47</v>
      </c>
      <c r="D212" s="186">
        <v>1.0049999999999999</v>
      </c>
      <c r="E212" s="186">
        <v>0.51500000000000001</v>
      </c>
      <c r="F212" s="188">
        <v>250.5</v>
      </c>
      <c r="G212" s="187">
        <v>278.4762143333333</v>
      </c>
      <c r="H212" s="188">
        <v>27.976214333333303</v>
      </c>
      <c r="I212" s="187" t="s">
        <v>2014</v>
      </c>
      <c r="J212" s="188" t="s">
        <v>2017</v>
      </c>
    </row>
    <row r="213" spans="1:10" ht="15.75" thickBot="1">
      <c r="A213" s="264"/>
      <c r="B213" s="206">
        <v>7</v>
      </c>
      <c r="C213" s="186">
        <v>0.48499999999999999</v>
      </c>
      <c r="D213" s="186">
        <v>1.0049999999999999</v>
      </c>
      <c r="E213" s="186">
        <v>0.52500000000000002</v>
      </c>
      <c r="F213" s="188">
        <v>187.66</v>
      </c>
      <c r="G213" s="187">
        <v>217.0490126666667</v>
      </c>
      <c r="H213" s="188">
        <v>29.389012666666702</v>
      </c>
      <c r="I213" s="187" t="s">
        <v>2015</v>
      </c>
      <c r="J213" s="188" t="s">
        <v>2017</v>
      </c>
    </row>
    <row r="214" spans="1:10" ht="15.75" thickBot="1">
      <c r="A214" s="264"/>
      <c r="B214" s="206">
        <v>8</v>
      </c>
      <c r="C214" s="186">
        <v>0.48499999999999999</v>
      </c>
      <c r="D214" s="186">
        <v>0.99</v>
      </c>
      <c r="E214" s="186">
        <v>0.505</v>
      </c>
      <c r="F214" s="188">
        <v>187.66</v>
      </c>
      <c r="G214" s="187">
        <v>210.950928</v>
      </c>
      <c r="H214" s="188">
        <v>23.290928000000012</v>
      </c>
      <c r="I214" s="187" t="s">
        <v>2014</v>
      </c>
      <c r="J214" s="188" t="s">
        <v>2017</v>
      </c>
    </row>
    <row r="215" spans="1:10" ht="15.75" thickBot="1">
      <c r="A215" s="264"/>
      <c r="B215" s="206">
        <v>9</v>
      </c>
      <c r="C215" s="186">
        <v>0.46500000000000002</v>
      </c>
      <c r="D215" s="186">
        <v>1.01</v>
      </c>
      <c r="E215" s="186">
        <v>0.52500000000000002</v>
      </c>
      <c r="F215" s="188">
        <v>250.5</v>
      </c>
      <c r="G215" s="187">
        <v>274.79926566666671</v>
      </c>
      <c r="H215" s="188">
        <v>24.29926566666671</v>
      </c>
      <c r="I215" s="187" t="s">
        <v>2014</v>
      </c>
      <c r="J215" s="188" t="s">
        <v>2017</v>
      </c>
    </row>
    <row r="216" spans="1:10" ht="15.75" thickBot="1">
      <c r="A216" s="264"/>
      <c r="B216" s="206">
        <v>10</v>
      </c>
      <c r="C216" s="186">
        <v>0.46</v>
      </c>
      <c r="D216" s="186">
        <v>0.995</v>
      </c>
      <c r="E216" s="186">
        <v>0.54500000000000004</v>
      </c>
      <c r="F216" s="188">
        <v>187.66</v>
      </c>
      <c r="G216" s="187">
        <v>232.36301</v>
      </c>
      <c r="H216" s="188">
        <v>44.703010000000013</v>
      </c>
      <c r="I216" s="187" t="s">
        <v>2014</v>
      </c>
      <c r="J216" s="188" t="s">
        <v>2017</v>
      </c>
    </row>
    <row r="217" spans="1:10" ht="15.75" thickBot="1">
      <c r="A217" s="264"/>
      <c r="B217" s="206">
        <v>11</v>
      </c>
      <c r="C217" s="186">
        <v>0.46</v>
      </c>
      <c r="D217" s="186">
        <v>1.0249999999999999</v>
      </c>
      <c r="E217" s="186">
        <v>0.47499999999999998</v>
      </c>
      <c r="F217" s="188">
        <v>375.33</v>
      </c>
      <c r="G217" s="187">
        <v>413.25096500000001</v>
      </c>
      <c r="H217" s="188">
        <v>37.920965000000017</v>
      </c>
      <c r="I217" s="187" t="s">
        <v>2014</v>
      </c>
      <c r="J217" s="188" t="s">
        <v>2017</v>
      </c>
    </row>
    <row r="218" spans="1:10" ht="15.75" thickBot="1">
      <c r="A218" s="264"/>
      <c r="B218" s="206">
        <v>12</v>
      </c>
      <c r="C218" s="186">
        <v>0.48499999999999999</v>
      </c>
      <c r="D218" s="186">
        <v>0.995</v>
      </c>
      <c r="E218" s="186">
        <v>0.52</v>
      </c>
      <c r="F218" s="188">
        <v>250.5</v>
      </c>
      <c r="G218" s="187">
        <v>250.90807866666671</v>
      </c>
      <c r="H218" s="188">
        <v>0.40807866666668252</v>
      </c>
      <c r="I218" s="187" t="s">
        <v>2014</v>
      </c>
      <c r="J218" s="188" t="s">
        <v>2016</v>
      </c>
    </row>
    <row r="219" spans="1:10" ht="15.75" thickBot="1">
      <c r="A219" s="264"/>
      <c r="B219" s="206">
        <v>13</v>
      </c>
      <c r="C219" s="186">
        <v>0.46500000000000002</v>
      </c>
      <c r="D219" s="186">
        <v>1</v>
      </c>
      <c r="E219" s="186">
        <v>0.52</v>
      </c>
      <c r="F219" s="188">
        <v>281.18</v>
      </c>
      <c r="G219" s="187">
        <v>305.49316900000002</v>
      </c>
      <c r="H219" s="188">
        <v>24.313168999999959</v>
      </c>
      <c r="I219" s="187" t="s">
        <v>2014</v>
      </c>
      <c r="J219" s="188" t="s">
        <v>2017</v>
      </c>
    </row>
    <row r="220" spans="1:10" ht="15.75" thickBot="1">
      <c r="A220" s="264"/>
      <c r="B220" s="206">
        <v>14</v>
      </c>
      <c r="C220" s="186">
        <v>0.46500000000000002</v>
      </c>
      <c r="D220" s="186">
        <v>1</v>
      </c>
      <c r="E220" s="186">
        <v>0.52500000000000002</v>
      </c>
      <c r="F220" s="188">
        <v>250.5</v>
      </c>
      <c r="G220" s="187">
        <v>289.37999433333329</v>
      </c>
      <c r="H220" s="188">
        <v>38.879994333333343</v>
      </c>
      <c r="I220" s="187" t="s">
        <v>2014</v>
      </c>
      <c r="J220" s="188" t="s">
        <v>2017</v>
      </c>
    </row>
    <row r="221" spans="1:10" ht="15.75" thickBot="1">
      <c r="A221" s="264"/>
      <c r="B221" s="206">
        <v>15</v>
      </c>
      <c r="C221" s="186">
        <v>0.47</v>
      </c>
      <c r="D221" s="186">
        <v>1</v>
      </c>
      <c r="E221" s="186">
        <v>0.51</v>
      </c>
      <c r="F221" s="188">
        <v>187.66</v>
      </c>
      <c r="G221" s="187">
        <v>217.50924699999999</v>
      </c>
      <c r="H221" s="188">
        <v>29.849246999999991</v>
      </c>
      <c r="I221" s="187" t="s">
        <v>2015</v>
      </c>
      <c r="J221" s="188" t="s">
        <v>2017</v>
      </c>
    </row>
    <row r="222" spans="1:10" ht="15.75" thickBot="1">
      <c r="A222" s="264"/>
      <c r="B222" s="206">
        <v>16</v>
      </c>
      <c r="C222" s="186">
        <v>0.48</v>
      </c>
      <c r="D222" s="186">
        <v>0.98</v>
      </c>
      <c r="E222" s="186">
        <v>0.51500000000000001</v>
      </c>
      <c r="F222" s="188">
        <v>187.66</v>
      </c>
      <c r="G222" s="187"/>
      <c r="H222" s="188" t="s">
        <v>236</v>
      </c>
      <c r="I222" s="187" t="s">
        <v>2015</v>
      </c>
      <c r="J222" s="188" t="s">
        <v>2018</v>
      </c>
    </row>
    <row r="223" spans="1:10" ht="15.75" thickBot="1">
      <c r="B223" s="207"/>
      <c r="C223" s="179"/>
      <c r="D223" s="179"/>
      <c r="E223" s="179"/>
      <c r="I223" s="189"/>
    </row>
    <row r="224" spans="1:10" s="181" customFormat="1" ht="15.75" thickBot="1">
      <c r="A224" s="270" t="s">
        <v>2023</v>
      </c>
      <c r="B224" s="271"/>
      <c r="C224" s="271"/>
      <c r="D224" s="271"/>
      <c r="E224" s="271"/>
      <c r="F224" s="271"/>
      <c r="G224" s="271"/>
      <c r="H224" s="271"/>
      <c r="I224" s="271"/>
      <c r="J224" s="272"/>
    </row>
    <row r="225" spans="1:19" s="181" customFormat="1" ht="36.75" thickBot="1">
      <c r="A225" s="92"/>
      <c r="B225" s="205" t="s">
        <v>2028</v>
      </c>
      <c r="C225" s="182" t="s">
        <v>2029</v>
      </c>
      <c r="D225" s="182" t="s">
        <v>2030</v>
      </c>
      <c r="E225" s="182" t="s">
        <v>2031</v>
      </c>
      <c r="F225" s="184" t="s">
        <v>216</v>
      </c>
      <c r="G225" s="183" t="s">
        <v>215</v>
      </c>
      <c r="H225" s="184" t="s">
        <v>217</v>
      </c>
      <c r="I225" s="183" t="s">
        <v>222</v>
      </c>
      <c r="J225" s="184" t="s">
        <v>218</v>
      </c>
    </row>
    <row r="226" spans="1:19" ht="15.75" thickBot="1">
      <c r="A226" s="264" t="s">
        <v>1029</v>
      </c>
      <c r="B226" s="206">
        <v>1</v>
      </c>
      <c r="C226" s="186">
        <v>0.49</v>
      </c>
      <c r="D226" s="186">
        <v>1.04</v>
      </c>
      <c r="E226" s="186">
        <v>0.54</v>
      </c>
      <c r="F226" s="188">
        <v>261.52999999999997</v>
      </c>
      <c r="G226" s="187">
        <v>265.76048066666658</v>
      </c>
      <c r="H226" s="188">
        <v>4.230480666666665</v>
      </c>
      <c r="I226" s="187" t="s">
        <v>2014</v>
      </c>
      <c r="J226" s="188" t="s">
        <v>2016</v>
      </c>
    </row>
    <row r="227" spans="1:19" ht="15.75" thickBot="1">
      <c r="A227" s="264"/>
      <c r="B227" s="206">
        <v>2</v>
      </c>
      <c r="C227" s="186">
        <v>0.56499999999999995</v>
      </c>
      <c r="D227" s="186">
        <v>0.95499999999999996</v>
      </c>
      <c r="E227" s="186">
        <v>0.42</v>
      </c>
      <c r="F227" s="188">
        <v>349.11</v>
      </c>
      <c r="G227" s="187"/>
      <c r="H227" s="188" t="s">
        <v>236</v>
      </c>
      <c r="I227" s="187" t="s">
        <v>2014</v>
      </c>
      <c r="J227" s="188" t="s">
        <v>2018</v>
      </c>
    </row>
    <row r="228" spans="1:19" ht="15.75" thickBot="1">
      <c r="A228" s="264"/>
      <c r="B228" s="206">
        <v>3</v>
      </c>
      <c r="C228" s="186">
        <v>0.63500000000000001</v>
      </c>
      <c r="D228" s="186">
        <v>1.02</v>
      </c>
      <c r="E228" s="186">
        <v>0.45500000000000002</v>
      </c>
      <c r="F228" s="188">
        <v>261.52999999999997</v>
      </c>
      <c r="G228" s="187">
        <v>208.37449599999999</v>
      </c>
      <c r="H228" s="188">
        <v>53.155503999999951</v>
      </c>
      <c r="I228" s="187" t="s">
        <v>2014</v>
      </c>
      <c r="J228" s="188" t="s">
        <v>2017</v>
      </c>
    </row>
    <row r="229" spans="1:19" ht="15.75" thickBot="1">
      <c r="A229" s="264"/>
      <c r="B229" s="206">
        <v>4</v>
      </c>
      <c r="C229" s="186">
        <v>0.46500000000000002</v>
      </c>
      <c r="D229" s="186">
        <v>1.0349999999999999</v>
      </c>
      <c r="E229" s="186">
        <v>0.36499999999999999</v>
      </c>
      <c r="F229" s="188">
        <v>261.52999999999997</v>
      </c>
      <c r="G229" s="187">
        <v>207.30423479999999</v>
      </c>
      <c r="H229" s="188">
        <v>54.225765199999984</v>
      </c>
      <c r="I229" s="187" t="s">
        <v>2014</v>
      </c>
      <c r="J229" s="188" t="s">
        <v>2017</v>
      </c>
    </row>
    <row r="230" spans="1:19" ht="15.75" thickBot="1">
      <c r="A230" s="264"/>
      <c r="B230" s="206">
        <v>5</v>
      </c>
      <c r="C230" s="186">
        <v>0.53</v>
      </c>
      <c r="D230" s="186">
        <v>1.0149999999999999</v>
      </c>
      <c r="E230" s="186">
        <v>0.41499999999999998</v>
      </c>
      <c r="F230" s="188">
        <v>261.52999999999997</v>
      </c>
      <c r="G230" s="187">
        <v>260.684955</v>
      </c>
      <c r="H230" s="188">
        <v>0.84504499999997051</v>
      </c>
      <c r="I230" s="187" t="s">
        <v>2014</v>
      </c>
      <c r="J230" s="188" t="s">
        <v>2016</v>
      </c>
    </row>
    <row r="231" spans="1:19" ht="15.75" thickBot="1">
      <c r="A231" s="264"/>
      <c r="B231" s="206">
        <v>6</v>
      </c>
      <c r="C231" s="186">
        <v>0.51</v>
      </c>
      <c r="D231" s="186">
        <v>1.0149999999999999</v>
      </c>
      <c r="E231" s="186">
        <v>0.41499999999999998</v>
      </c>
      <c r="F231" s="188">
        <v>233</v>
      </c>
      <c r="G231" s="187">
        <v>214.2848875</v>
      </c>
      <c r="H231" s="188">
        <v>18.7151125</v>
      </c>
      <c r="I231" s="187" t="s">
        <v>2014</v>
      </c>
      <c r="J231" s="188" t="s">
        <v>2017</v>
      </c>
      <c r="S231" s="204"/>
    </row>
    <row r="232" spans="1:19" ht="15.75" thickBot="1">
      <c r="A232" s="264"/>
      <c r="B232" s="206">
        <v>7</v>
      </c>
      <c r="C232" s="186">
        <v>0.54500000000000004</v>
      </c>
      <c r="D232" s="186">
        <v>1.0249999999999999</v>
      </c>
      <c r="E232" s="186">
        <v>0.42</v>
      </c>
      <c r="F232" s="188">
        <v>174.55</v>
      </c>
      <c r="G232" s="187">
        <v>178.18182400000001</v>
      </c>
      <c r="H232" s="188">
        <v>3.6318239999999946</v>
      </c>
      <c r="I232" s="187" t="s">
        <v>2014</v>
      </c>
      <c r="J232" s="188" t="s">
        <v>2016</v>
      </c>
    </row>
    <row r="233" spans="1:19" ht="15.75" thickBot="1">
      <c r="A233" s="264"/>
      <c r="B233" s="206">
        <v>8</v>
      </c>
      <c r="C233" s="186">
        <v>0.52500000000000002</v>
      </c>
      <c r="D233" s="186">
        <v>1.01</v>
      </c>
      <c r="E233" s="186">
        <v>0.40500000000000003</v>
      </c>
      <c r="F233" s="188">
        <v>174.55</v>
      </c>
      <c r="G233" s="187">
        <v>260.42968925000002</v>
      </c>
      <c r="H233" s="188">
        <v>85.879689250000013</v>
      </c>
      <c r="I233" s="187" t="s">
        <v>2014</v>
      </c>
      <c r="J233" s="188" t="s">
        <v>2017</v>
      </c>
    </row>
    <row r="234" spans="1:19" ht="15.75" thickBot="1">
      <c r="A234" s="264"/>
      <c r="B234" s="206">
        <v>9</v>
      </c>
      <c r="C234" s="186">
        <v>0.54500000000000004</v>
      </c>
      <c r="D234" s="186">
        <v>0.99</v>
      </c>
      <c r="E234" s="186">
        <v>0.38500000000000001</v>
      </c>
      <c r="F234" s="188">
        <v>233</v>
      </c>
      <c r="G234" s="187">
        <v>288.567161</v>
      </c>
      <c r="H234" s="188">
        <v>55.567160999999999</v>
      </c>
      <c r="I234" s="187" t="s">
        <v>2014</v>
      </c>
      <c r="J234" s="188" t="s">
        <v>2017</v>
      </c>
    </row>
    <row r="235" spans="1:19" ht="15.75" thickBot="1">
      <c r="A235" s="264"/>
      <c r="B235" s="206">
        <v>10</v>
      </c>
      <c r="C235" s="186">
        <v>0.56499999999999995</v>
      </c>
      <c r="D235" s="186">
        <v>0.98499999999999999</v>
      </c>
      <c r="E235" s="186">
        <v>0.435</v>
      </c>
      <c r="F235" s="188">
        <v>174.55</v>
      </c>
      <c r="G235" s="187">
        <v>263.03688</v>
      </c>
      <c r="H235" s="188">
        <v>88.486879999999985</v>
      </c>
      <c r="I235" s="187" t="s">
        <v>2014</v>
      </c>
      <c r="J235" s="188" t="s">
        <v>2017</v>
      </c>
    </row>
    <row r="236" spans="1:19" ht="15.75" thickBot="1">
      <c r="A236" s="264"/>
      <c r="B236" s="206">
        <v>11</v>
      </c>
      <c r="C236" s="186">
        <v>0.56999999999999995</v>
      </c>
      <c r="D236" s="186">
        <v>1</v>
      </c>
      <c r="E236" s="186">
        <v>0.40500000000000003</v>
      </c>
      <c r="F236" s="188">
        <v>349.11</v>
      </c>
      <c r="G236" s="187">
        <v>317.32962800000001</v>
      </c>
      <c r="H236" s="188">
        <v>31.78037200000006</v>
      </c>
      <c r="I236" s="187" t="s">
        <v>2014</v>
      </c>
      <c r="J236" s="188" t="s">
        <v>2017</v>
      </c>
    </row>
    <row r="237" spans="1:19" ht="15.75" thickBot="1">
      <c r="A237" s="264"/>
      <c r="B237" s="206">
        <v>12</v>
      </c>
      <c r="C237" s="186">
        <v>0.56999999999999995</v>
      </c>
      <c r="D237" s="186">
        <v>1.01</v>
      </c>
      <c r="E237" s="186">
        <v>0.43</v>
      </c>
      <c r="F237" s="188">
        <v>233</v>
      </c>
      <c r="G237" s="187">
        <v>211.42658822222219</v>
      </c>
      <c r="H237" s="188">
        <v>21.573411777777778</v>
      </c>
      <c r="I237" s="187" t="s">
        <v>2014</v>
      </c>
      <c r="J237" s="188" t="s">
        <v>2017</v>
      </c>
    </row>
    <row r="238" spans="1:19" ht="15.75" thickBot="1">
      <c r="A238" s="264"/>
      <c r="B238" s="206">
        <v>13</v>
      </c>
      <c r="C238" s="186">
        <v>0.52500000000000002</v>
      </c>
      <c r="D238" s="186">
        <v>1.0049999999999999</v>
      </c>
      <c r="E238" s="186">
        <v>0.42</v>
      </c>
      <c r="F238" s="188">
        <v>261.52999999999997</v>
      </c>
      <c r="G238" s="187"/>
      <c r="H238" s="188" t="s">
        <v>236</v>
      </c>
      <c r="I238" s="187" t="s">
        <v>2014</v>
      </c>
      <c r="J238" s="188" t="s">
        <v>2018</v>
      </c>
    </row>
    <row r="239" spans="1:19" ht="15.75" thickBot="1">
      <c r="A239" s="264"/>
      <c r="B239" s="206">
        <v>14</v>
      </c>
      <c r="C239" s="186">
        <v>0.53500000000000003</v>
      </c>
      <c r="D239" s="186">
        <v>1.0049999999999999</v>
      </c>
      <c r="E239" s="186">
        <v>0.435</v>
      </c>
      <c r="F239" s="188">
        <v>233</v>
      </c>
      <c r="G239" s="187"/>
      <c r="H239" s="188" t="s">
        <v>236</v>
      </c>
      <c r="I239" s="187" t="s">
        <v>2014</v>
      </c>
      <c r="J239" s="188" t="s">
        <v>2018</v>
      </c>
    </row>
    <row r="240" spans="1:19" ht="15.75" thickBot="1">
      <c r="A240" s="264"/>
      <c r="B240" s="206">
        <v>15</v>
      </c>
      <c r="C240" s="186">
        <v>0.53500000000000003</v>
      </c>
      <c r="D240" s="186">
        <v>1.01</v>
      </c>
      <c r="E240" s="186">
        <v>0.42499999999999999</v>
      </c>
      <c r="F240" s="188">
        <v>174.55</v>
      </c>
      <c r="G240" s="187"/>
      <c r="H240" s="188" t="s">
        <v>236</v>
      </c>
      <c r="I240" s="187" t="s">
        <v>2014</v>
      </c>
      <c r="J240" s="188" t="s">
        <v>2018</v>
      </c>
    </row>
    <row r="241" spans="1:10" ht="15.75" thickBot="1">
      <c r="A241" s="264"/>
      <c r="B241" s="206">
        <v>16</v>
      </c>
      <c r="C241" s="186">
        <v>0.54500000000000004</v>
      </c>
      <c r="D241" s="186">
        <v>1.01</v>
      </c>
      <c r="E241" s="186">
        <v>0.435</v>
      </c>
      <c r="F241" s="188">
        <v>174.55</v>
      </c>
      <c r="G241" s="187"/>
      <c r="H241" s="188" t="s">
        <v>236</v>
      </c>
      <c r="I241" s="187" t="s">
        <v>2014</v>
      </c>
      <c r="J241" s="188" t="s">
        <v>2018</v>
      </c>
    </row>
    <row r="242" spans="1:10" ht="15.75" thickBot="1">
      <c r="A242" s="264" t="s">
        <v>1082</v>
      </c>
      <c r="B242" s="206">
        <v>1</v>
      </c>
      <c r="C242" s="186">
        <v>0.54500000000000004</v>
      </c>
      <c r="D242" s="186">
        <v>1.0149999999999999</v>
      </c>
      <c r="E242" s="186">
        <v>0.44</v>
      </c>
      <c r="F242" s="188">
        <v>261.52999999999997</v>
      </c>
      <c r="G242" s="187">
        <v>238.78016400000001</v>
      </c>
      <c r="H242" s="188">
        <v>22.749835999999959</v>
      </c>
      <c r="I242" s="187" t="s">
        <v>2014</v>
      </c>
      <c r="J242" s="188" t="s">
        <v>2017</v>
      </c>
    </row>
    <row r="243" spans="1:10" ht="15.75" thickBot="1">
      <c r="A243" s="264"/>
      <c r="B243" s="206">
        <v>2</v>
      </c>
      <c r="C243" s="186">
        <v>0.55000000000000004</v>
      </c>
      <c r="D243" s="186">
        <v>1.02</v>
      </c>
      <c r="E243" s="186">
        <v>0.41499999999999998</v>
      </c>
      <c r="F243" s="188">
        <v>349.11</v>
      </c>
      <c r="G243" s="187">
        <v>351.62321750000001</v>
      </c>
      <c r="H243" s="188">
        <v>2.5132174999999961</v>
      </c>
      <c r="I243" s="187" t="s">
        <v>2014</v>
      </c>
      <c r="J243" s="188" t="s">
        <v>2016</v>
      </c>
    </row>
    <row r="244" spans="1:10" ht="15.75" thickBot="1">
      <c r="A244" s="264"/>
      <c r="B244" s="206">
        <v>3</v>
      </c>
      <c r="C244" s="186">
        <v>0.55000000000000004</v>
      </c>
      <c r="D244" s="186">
        <v>1.0049999999999999</v>
      </c>
      <c r="E244" s="186">
        <v>0.40500000000000003</v>
      </c>
      <c r="F244" s="188">
        <v>261.52999999999997</v>
      </c>
      <c r="G244" s="187">
        <v>285.64917966666673</v>
      </c>
      <c r="H244" s="188">
        <v>24.1191796666667</v>
      </c>
      <c r="I244" s="187" t="s">
        <v>2015</v>
      </c>
      <c r="J244" s="188" t="s">
        <v>2017</v>
      </c>
    </row>
    <row r="245" spans="1:10" ht="15.75" thickBot="1">
      <c r="A245" s="264"/>
      <c r="B245" s="206">
        <v>4</v>
      </c>
      <c r="C245" s="186">
        <v>0.69499999999999995</v>
      </c>
      <c r="D245" s="186">
        <v>1.085</v>
      </c>
      <c r="E245" s="186">
        <v>0.45</v>
      </c>
      <c r="F245" s="188">
        <v>261.52999999999997</v>
      </c>
      <c r="G245" s="187">
        <v>293.9673127142857</v>
      </c>
      <c r="H245" s="188">
        <v>32.437312714285724</v>
      </c>
      <c r="I245" s="187" t="s">
        <v>2015</v>
      </c>
      <c r="J245" s="188" t="s">
        <v>2017</v>
      </c>
    </row>
    <row r="246" spans="1:10" ht="15.75" thickBot="1">
      <c r="A246" s="264"/>
      <c r="B246" s="206">
        <v>5</v>
      </c>
      <c r="C246" s="186">
        <v>0.54</v>
      </c>
      <c r="D246" s="186">
        <v>0.97499999999999998</v>
      </c>
      <c r="E246" s="186">
        <v>0.38500000000000001</v>
      </c>
      <c r="F246" s="188">
        <v>261.52999999999997</v>
      </c>
      <c r="G246" s="187">
        <v>284.61537575</v>
      </c>
      <c r="H246" s="188">
        <v>23.085375750000029</v>
      </c>
      <c r="I246" s="187" t="s">
        <v>2014</v>
      </c>
      <c r="J246" s="188" t="s">
        <v>2017</v>
      </c>
    </row>
    <row r="247" spans="1:10" ht="15.75" thickBot="1">
      <c r="A247" s="264"/>
      <c r="B247" s="206">
        <v>6</v>
      </c>
      <c r="C247" s="186">
        <v>0.57999999999999996</v>
      </c>
      <c r="D247" s="186">
        <v>1.0449999999999999</v>
      </c>
      <c r="E247" s="186">
        <v>0.42499999999999999</v>
      </c>
      <c r="F247" s="188">
        <v>233</v>
      </c>
      <c r="G247" s="187">
        <v>254.42079150000001</v>
      </c>
      <c r="H247" s="188">
        <v>21.420791500000011</v>
      </c>
      <c r="I247" s="187" t="s">
        <v>2014</v>
      </c>
      <c r="J247" s="188" t="s">
        <v>2017</v>
      </c>
    </row>
    <row r="248" spans="1:10" ht="15.75" thickBot="1">
      <c r="A248" s="264"/>
      <c r="B248" s="206">
        <v>7</v>
      </c>
      <c r="C248" s="186">
        <v>0.55000000000000004</v>
      </c>
      <c r="D248" s="186">
        <v>1.01</v>
      </c>
      <c r="E248" s="186">
        <v>0.43</v>
      </c>
      <c r="F248" s="188">
        <v>174.55</v>
      </c>
      <c r="G248" s="187">
        <v>210.81184500000001</v>
      </c>
      <c r="H248" s="188">
        <v>36.261844999999973</v>
      </c>
      <c r="I248" s="187" t="s">
        <v>2014</v>
      </c>
      <c r="J248" s="188" t="s">
        <v>2017</v>
      </c>
    </row>
    <row r="249" spans="1:10" ht="15.75" thickBot="1">
      <c r="A249" s="264"/>
      <c r="B249" s="206">
        <v>8</v>
      </c>
      <c r="C249" s="186">
        <v>0.53500000000000003</v>
      </c>
      <c r="D249" s="186">
        <v>1.05</v>
      </c>
      <c r="E249" s="186">
        <v>0.41499999999999998</v>
      </c>
      <c r="F249" s="188">
        <v>174.55</v>
      </c>
      <c r="G249" s="187">
        <v>212.73926550000002</v>
      </c>
      <c r="H249" s="188">
        <v>38.189265500000005</v>
      </c>
      <c r="I249" s="187" t="s">
        <v>2015</v>
      </c>
      <c r="J249" s="188" t="s">
        <v>2017</v>
      </c>
    </row>
    <row r="250" spans="1:10" ht="15.75" thickBot="1">
      <c r="A250" s="264"/>
      <c r="B250" s="206">
        <v>9</v>
      </c>
      <c r="C250" s="186">
        <v>0.54</v>
      </c>
      <c r="D250" s="186">
        <v>1.0249999999999999</v>
      </c>
      <c r="E250" s="186">
        <v>0.41</v>
      </c>
      <c r="F250" s="188">
        <v>233</v>
      </c>
      <c r="G250" s="187">
        <v>252.85777999999999</v>
      </c>
      <c r="H250" s="188">
        <v>19.857779999999991</v>
      </c>
      <c r="I250" s="187" t="s">
        <v>2015</v>
      </c>
      <c r="J250" s="188" t="s">
        <v>2017</v>
      </c>
    </row>
    <row r="251" spans="1:10" ht="15.75" thickBot="1">
      <c r="A251" s="264"/>
      <c r="B251" s="206">
        <v>10</v>
      </c>
      <c r="C251" s="186">
        <v>0.56000000000000005</v>
      </c>
      <c r="D251" s="186">
        <v>1.0149999999999999</v>
      </c>
      <c r="E251" s="186">
        <v>0.44500000000000001</v>
      </c>
      <c r="F251" s="188">
        <v>174.55</v>
      </c>
      <c r="G251" s="187">
        <v>212.87848933333331</v>
      </c>
      <c r="H251" s="188">
        <v>38.328489333333295</v>
      </c>
      <c r="I251" s="187" t="s">
        <v>2015</v>
      </c>
      <c r="J251" s="188" t="s">
        <v>2017</v>
      </c>
    </row>
    <row r="252" spans="1:10" ht="15.75" thickBot="1">
      <c r="A252" s="264"/>
      <c r="B252" s="206">
        <v>11</v>
      </c>
      <c r="C252" s="186">
        <v>0.60499999999999998</v>
      </c>
      <c r="D252" s="186">
        <v>0.97499999999999998</v>
      </c>
      <c r="E252" s="186">
        <v>0.46</v>
      </c>
      <c r="F252" s="188">
        <v>349.11</v>
      </c>
      <c r="G252" s="187">
        <v>367.9671275</v>
      </c>
      <c r="H252" s="188">
        <v>18.85712749999999</v>
      </c>
      <c r="I252" s="187" t="s">
        <v>2015</v>
      </c>
      <c r="J252" s="188" t="s">
        <v>2017</v>
      </c>
    </row>
    <row r="253" spans="1:10" ht="15.75" thickBot="1">
      <c r="A253" s="264"/>
      <c r="B253" s="206">
        <v>12</v>
      </c>
      <c r="C253" s="186">
        <v>0.44</v>
      </c>
      <c r="D253" s="186">
        <v>1.0349999999999999</v>
      </c>
      <c r="E253" s="186">
        <v>0.37</v>
      </c>
      <c r="F253" s="188">
        <v>233</v>
      </c>
      <c r="G253" s="187">
        <v>291.42611599999998</v>
      </c>
      <c r="H253" s="188">
        <v>58.426115999999979</v>
      </c>
      <c r="I253" s="187" t="s">
        <v>2015</v>
      </c>
      <c r="J253" s="188" t="s">
        <v>2017</v>
      </c>
    </row>
    <row r="254" spans="1:10" ht="15.75" thickBot="1">
      <c r="A254" s="264"/>
      <c r="B254" s="206">
        <v>13</v>
      </c>
      <c r="C254" s="186">
        <v>0.68</v>
      </c>
      <c r="D254" s="186">
        <v>1.04</v>
      </c>
      <c r="E254" s="186">
        <v>0.40500000000000003</v>
      </c>
      <c r="F254" s="188">
        <v>261.52999999999997</v>
      </c>
      <c r="G254" s="187">
        <v>291.20028374999998</v>
      </c>
      <c r="H254" s="188">
        <v>29.67028375000007</v>
      </c>
      <c r="I254" s="187" t="s">
        <v>2014</v>
      </c>
      <c r="J254" s="188" t="s">
        <v>2017</v>
      </c>
    </row>
    <row r="255" spans="1:10" ht="15.75" thickBot="1">
      <c r="A255" s="264"/>
      <c r="B255" s="206">
        <v>14</v>
      </c>
      <c r="C255" s="186">
        <v>0.56499999999999995</v>
      </c>
      <c r="D255" s="186">
        <v>1.0249999999999999</v>
      </c>
      <c r="E255" s="186">
        <v>0.41499999999999998</v>
      </c>
      <c r="F255" s="188">
        <v>233</v>
      </c>
      <c r="G255" s="187">
        <v>260.82113299999997</v>
      </c>
      <c r="H255" s="188">
        <v>27.821133000000032</v>
      </c>
      <c r="I255" s="187" t="s">
        <v>2015</v>
      </c>
      <c r="J255" s="188" t="s">
        <v>2017</v>
      </c>
    </row>
    <row r="256" spans="1:10" ht="15.75" thickBot="1">
      <c r="A256" s="264"/>
      <c r="B256" s="206">
        <v>15</v>
      </c>
      <c r="C256" s="186">
        <v>0.53</v>
      </c>
      <c r="D256" s="186">
        <v>1.01</v>
      </c>
      <c r="E256" s="186">
        <v>0.42</v>
      </c>
      <c r="F256" s="188">
        <v>174.55</v>
      </c>
      <c r="G256" s="187">
        <v>209.05600100000001</v>
      </c>
      <c r="H256" s="188">
        <v>34.506000999999998</v>
      </c>
      <c r="I256" s="187" t="s">
        <v>2015</v>
      </c>
      <c r="J256" s="188" t="s">
        <v>2017</v>
      </c>
    </row>
    <row r="257" spans="1:10" ht="15.75" thickBot="1">
      <c r="A257" s="264"/>
      <c r="B257" s="206">
        <v>16</v>
      </c>
      <c r="C257" s="186">
        <v>0.435</v>
      </c>
      <c r="D257" s="186">
        <v>1.0149999999999999</v>
      </c>
      <c r="E257" s="186">
        <v>0.42</v>
      </c>
      <c r="F257" s="188">
        <v>174.55</v>
      </c>
      <c r="G257" s="187">
        <v>250.490318</v>
      </c>
      <c r="H257" s="188">
        <v>75.940317999999991</v>
      </c>
      <c r="I257" s="187" t="s">
        <v>2014</v>
      </c>
      <c r="J257" s="188" t="s">
        <v>2017</v>
      </c>
    </row>
    <row r="258" spans="1:10" ht="15.75" thickBot="1">
      <c r="A258" s="264" t="s">
        <v>1161</v>
      </c>
      <c r="B258" s="206">
        <v>1</v>
      </c>
      <c r="C258" s="186">
        <v>0.56999999999999995</v>
      </c>
      <c r="D258" s="186">
        <v>1.03</v>
      </c>
      <c r="E258" s="186">
        <v>0.435</v>
      </c>
      <c r="F258" s="188">
        <v>261.52999999999997</v>
      </c>
      <c r="G258" s="187">
        <v>271.26334050000003</v>
      </c>
      <c r="H258" s="188">
        <v>9.7333405000000539</v>
      </c>
      <c r="I258" s="187" t="s">
        <v>2014</v>
      </c>
      <c r="J258" s="188" t="s">
        <v>2017</v>
      </c>
    </row>
    <row r="259" spans="1:10" ht="15.75" thickBot="1">
      <c r="A259" s="264"/>
      <c r="B259" s="206">
        <v>2</v>
      </c>
      <c r="C259" s="186">
        <v>0.51500000000000001</v>
      </c>
      <c r="D259" s="186">
        <v>1.01</v>
      </c>
      <c r="E259" s="186">
        <v>0.38</v>
      </c>
      <c r="F259" s="188">
        <v>349.11</v>
      </c>
      <c r="G259" s="187">
        <v>370.59893699999998</v>
      </c>
      <c r="H259" s="188">
        <v>21.488936999999961</v>
      </c>
      <c r="I259" s="187" t="s">
        <v>2015</v>
      </c>
      <c r="J259" s="188" t="s">
        <v>2017</v>
      </c>
    </row>
    <row r="260" spans="1:10" ht="15.75" thickBot="1">
      <c r="A260" s="264"/>
      <c r="B260" s="206">
        <v>3</v>
      </c>
      <c r="C260" s="186">
        <v>0.51500000000000001</v>
      </c>
      <c r="D260" s="186">
        <v>1.0349999999999999</v>
      </c>
      <c r="E260" s="186">
        <v>0.41</v>
      </c>
      <c r="F260" s="188">
        <v>261.52999999999997</v>
      </c>
      <c r="G260" s="187">
        <v>246.5090175</v>
      </c>
      <c r="H260" s="188">
        <v>15.020982499999951</v>
      </c>
      <c r="I260" s="187" t="s">
        <v>2014</v>
      </c>
      <c r="J260" s="188" t="s">
        <v>2017</v>
      </c>
    </row>
    <row r="261" spans="1:10" ht="15.75" thickBot="1">
      <c r="A261" s="264"/>
      <c r="B261" s="206">
        <v>4</v>
      </c>
      <c r="C261" s="186">
        <v>0.56000000000000005</v>
      </c>
      <c r="D261" s="186">
        <v>1</v>
      </c>
      <c r="E261" s="186">
        <v>0.39</v>
      </c>
      <c r="F261" s="188">
        <v>261.52999999999997</v>
      </c>
      <c r="G261" s="187">
        <v>263.88940716666667</v>
      </c>
      <c r="H261" s="188">
        <v>2.3594071666666991</v>
      </c>
      <c r="I261" s="187" t="s">
        <v>2015</v>
      </c>
      <c r="J261" s="188" t="s">
        <v>2016</v>
      </c>
    </row>
    <row r="262" spans="1:10" ht="15.75" thickBot="1">
      <c r="A262" s="264"/>
      <c r="B262" s="206">
        <v>5</v>
      </c>
      <c r="C262" s="186">
        <v>0.495</v>
      </c>
      <c r="D262" s="186">
        <v>1.0249999999999999</v>
      </c>
      <c r="E262" s="186">
        <v>0.35499999999999998</v>
      </c>
      <c r="F262" s="188">
        <v>261.52999999999997</v>
      </c>
      <c r="G262" s="187">
        <v>270.792329</v>
      </c>
      <c r="H262" s="188">
        <v>9.2623290000000225</v>
      </c>
      <c r="I262" s="187" t="s">
        <v>2014</v>
      </c>
      <c r="J262" s="188" t="s">
        <v>2017</v>
      </c>
    </row>
    <row r="263" spans="1:10" ht="15.75" thickBot="1">
      <c r="A263" s="264"/>
      <c r="B263" s="206">
        <v>6</v>
      </c>
      <c r="C263" s="186">
        <v>0.52</v>
      </c>
      <c r="D263" s="186">
        <v>1.0149999999999999</v>
      </c>
      <c r="E263" s="186">
        <v>0.42499999999999999</v>
      </c>
      <c r="F263" s="188">
        <v>233</v>
      </c>
      <c r="G263" s="187">
        <v>240.23314199999999</v>
      </c>
      <c r="H263" s="188">
        <v>7.2331420000000151</v>
      </c>
      <c r="I263" s="187" t="s">
        <v>2015</v>
      </c>
      <c r="J263" s="188" t="s">
        <v>2017</v>
      </c>
    </row>
    <row r="264" spans="1:10" ht="15.75" thickBot="1">
      <c r="A264" s="264"/>
      <c r="B264" s="206">
        <v>7</v>
      </c>
      <c r="C264" s="186">
        <v>0.56000000000000005</v>
      </c>
      <c r="D264" s="186">
        <v>1.0049999999999999</v>
      </c>
      <c r="E264" s="186">
        <v>0.41</v>
      </c>
      <c r="F264" s="188">
        <v>174.55</v>
      </c>
      <c r="G264" s="187">
        <v>193.48801349999999</v>
      </c>
      <c r="H264" s="188">
        <v>18.938013500000011</v>
      </c>
      <c r="I264" s="187" t="s">
        <v>2015</v>
      </c>
      <c r="J264" s="188" t="s">
        <v>2017</v>
      </c>
    </row>
    <row r="265" spans="1:10" ht="15.75" thickBot="1">
      <c r="A265" s="264"/>
      <c r="B265" s="206">
        <v>8</v>
      </c>
      <c r="C265" s="186">
        <v>0.5</v>
      </c>
      <c r="D265" s="186">
        <v>0.995</v>
      </c>
      <c r="E265" s="186">
        <v>0.375</v>
      </c>
      <c r="F265" s="188">
        <v>174.55</v>
      </c>
      <c r="G265" s="187">
        <v>199.31037925000001</v>
      </c>
      <c r="H265" s="188">
        <v>24.76037925</v>
      </c>
      <c r="I265" s="187" t="s">
        <v>2015</v>
      </c>
      <c r="J265" s="188" t="s">
        <v>2017</v>
      </c>
    </row>
    <row r="266" spans="1:10" ht="15.75" thickBot="1">
      <c r="A266" s="264"/>
      <c r="B266" s="206">
        <v>9</v>
      </c>
      <c r="C266" s="186">
        <v>0.63500000000000001</v>
      </c>
      <c r="D266" s="186">
        <v>1.0149999999999999</v>
      </c>
      <c r="E266" s="186">
        <v>0.435</v>
      </c>
      <c r="F266" s="188">
        <v>233</v>
      </c>
      <c r="G266" s="187">
        <v>238.483239</v>
      </c>
      <c r="H266" s="188">
        <v>5.4832389999999984</v>
      </c>
      <c r="I266" s="187" t="s">
        <v>2015</v>
      </c>
      <c r="J266" s="188" t="s">
        <v>2017</v>
      </c>
    </row>
    <row r="267" spans="1:10" ht="15.75" thickBot="1">
      <c r="A267" s="264"/>
      <c r="B267" s="206">
        <v>10</v>
      </c>
      <c r="C267" s="186">
        <v>0.47</v>
      </c>
      <c r="D267" s="186">
        <v>1.05</v>
      </c>
      <c r="E267" s="186">
        <v>0.42</v>
      </c>
      <c r="F267" s="188">
        <v>174.55</v>
      </c>
      <c r="G267" s="187">
        <v>189</v>
      </c>
      <c r="H267" s="188">
        <v>14.449999999999989</v>
      </c>
      <c r="I267" s="187" t="s">
        <v>2014</v>
      </c>
      <c r="J267" s="188" t="s">
        <v>2017</v>
      </c>
    </row>
    <row r="268" spans="1:10" ht="15.75" thickBot="1">
      <c r="A268" s="264"/>
      <c r="B268" s="206">
        <v>11</v>
      </c>
      <c r="C268" s="186">
        <v>0.505</v>
      </c>
      <c r="D268" s="186">
        <v>1.01</v>
      </c>
      <c r="E268" s="186">
        <v>0.37</v>
      </c>
      <c r="F268" s="188">
        <v>349.11</v>
      </c>
      <c r="G268" s="187">
        <v>357.35494199999999</v>
      </c>
      <c r="H268" s="188">
        <v>8.2449419999999805</v>
      </c>
      <c r="I268" s="187" t="s">
        <v>2015</v>
      </c>
      <c r="J268" s="188" t="s">
        <v>2017</v>
      </c>
    </row>
    <row r="269" spans="1:10" ht="15.75" thickBot="1">
      <c r="A269" s="264"/>
      <c r="B269" s="206">
        <v>12</v>
      </c>
      <c r="C269" s="186">
        <v>0.54</v>
      </c>
      <c r="D269" s="186">
        <v>1.0549999999999999</v>
      </c>
      <c r="E269" s="186">
        <v>0.39500000000000002</v>
      </c>
      <c r="F269" s="188">
        <v>233</v>
      </c>
      <c r="G269" s="187">
        <v>241.03733899999997</v>
      </c>
      <c r="H269" s="188">
        <v>8.0373389999999745</v>
      </c>
      <c r="I269" s="187" t="s">
        <v>2015</v>
      </c>
      <c r="J269" s="188" t="s">
        <v>2017</v>
      </c>
    </row>
    <row r="270" spans="1:10" ht="15.75" thickBot="1">
      <c r="A270" s="264"/>
      <c r="B270" s="206">
        <v>13</v>
      </c>
      <c r="C270" s="186">
        <v>0.56000000000000005</v>
      </c>
      <c r="D270" s="186">
        <v>1.0249999999999999</v>
      </c>
      <c r="E270" s="186">
        <v>0.38500000000000001</v>
      </c>
      <c r="F270" s="188">
        <v>261.52999999999997</v>
      </c>
      <c r="G270" s="187">
        <v>259.94780366666669</v>
      </c>
      <c r="H270" s="188">
        <v>1.582196333333286</v>
      </c>
      <c r="I270" s="187" t="s">
        <v>2015</v>
      </c>
      <c r="J270" s="188" t="s">
        <v>2016</v>
      </c>
    </row>
    <row r="271" spans="1:10" ht="15.75" thickBot="1">
      <c r="A271" s="264"/>
      <c r="B271" s="206">
        <v>14</v>
      </c>
      <c r="C271" s="186">
        <v>0.52500000000000002</v>
      </c>
      <c r="D271" s="186">
        <v>1.0149999999999999</v>
      </c>
      <c r="E271" s="186">
        <v>0.42</v>
      </c>
      <c r="F271" s="188">
        <v>233</v>
      </c>
      <c r="G271" s="187">
        <v>241.48402200000001</v>
      </c>
      <c r="H271" s="188">
        <v>8.4840220000000102</v>
      </c>
      <c r="I271" s="187" t="s">
        <v>2014</v>
      </c>
      <c r="J271" s="188" t="s">
        <v>2017</v>
      </c>
    </row>
    <row r="272" spans="1:10" ht="15.75" thickBot="1">
      <c r="A272" s="264"/>
      <c r="B272" s="206">
        <v>15</v>
      </c>
      <c r="C272" s="186">
        <v>0.55000000000000004</v>
      </c>
      <c r="D272" s="186">
        <v>1.01</v>
      </c>
      <c r="E272" s="186">
        <v>0.4</v>
      </c>
      <c r="F272" s="188">
        <v>174.55</v>
      </c>
      <c r="G272" s="187">
        <v>185.31467000000001</v>
      </c>
      <c r="H272" s="188">
        <v>10.76466999999997</v>
      </c>
      <c r="I272" s="187" t="s">
        <v>2015</v>
      </c>
      <c r="J272" s="188" t="s">
        <v>2017</v>
      </c>
    </row>
    <row r="273" spans="1:10" ht="15.75" thickBot="1">
      <c r="A273" s="264"/>
      <c r="B273" s="206">
        <v>16</v>
      </c>
      <c r="C273" s="186">
        <v>0.51</v>
      </c>
      <c r="D273" s="186">
        <v>0.99</v>
      </c>
      <c r="E273" s="186">
        <v>0.38</v>
      </c>
      <c r="F273" s="188">
        <v>174.55</v>
      </c>
      <c r="G273" s="187">
        <v>183.52464775000001</v>
      </c>
      <c r="H273" s="188">
        <v>8.9746477499999742</v>
      </c>
      <c r="I273" s="187" t="s">
        <v>2014</v>
      </c>
      <c r="J273" s="188" t="s">
        <v>2017</v>
      </c>
    </row>
    <row r="274" spans="1:10" ht="15.75" thickBot="1">
      <c r="B274" s="207"/>
      <c r="C274" s="179"/>
      <c r="D274" s="179"/>
      <c r="E274" s="179"/>
      <c r="I274" s="189"/>
    </row>
    <row r="275" spans="1:10" s="181" customFormat="1" ht="15.75" thickBot="1">
      <c r="A275" s="270" t="s">
        <v>2024</v>
      </c>
      <c r="B275" s="271"/>
      <c r="C275" s="271"/>
      <c r="D275" s="271"/>
      <c r="E275" s="271"/>
      <c r="F275" s="271"/>
      <c r="G275" s="271"/>
      <c r="H275" s="271"/>
      <c r="I275" s="271"/>
      <c r="J275" s="272"/>
    </row>
    <row r="276" spans="1:10" s="181" customFormat="1" ht="36.75" thickBot="1">
      <c r="A276" s="92"/>
      <c r="B276" s="205" t="s">
        <v>2028</v>
      </c>
      <c r="C276" s="182" t="s">
        <v>2029</v>
      </c>
      <c r="D276" s="182" t="s">
        <v>2030</v>
      </c>
      <c r="E276" s="182" t="s">
        <v>2031</v>
      </c>
      <c r="F276" s="184" t="s">
        <v>216</v>
      </c>
      <c r="G276" s="183" t="s">
        <v>215</v>
      </c>
      <c r="H276" s="184" t="s">
        <v>217</v>
      </c>
      <c r="I276" s="183" t="s">
        <v>222</v>
      </c>
      <c r="J276" s="184" t="s">
        <v>218</v>
      </c>
    </row>
    <row r="277" spans="1:10" ht="15.75" thickBot="1">
      <c r="A277" s="264" t="s">
        <v>1232</v>
      </c>
      <c r="B277" s="206">
        <v>1</v>
      </c>
      <c r="C277" s="186">
        <v>0.49</v>
      </c>
      <c r="D277" s="186">
        <v>1.0149999999999999</v>
      </c>
      <c r="E277" s="186">
        <v>0.40500000000000003</v>
      </c>
      <c r="F277" s="188">
        <v>358.14</v>
      </c>
      <c r="G277" s="187">
        <v>362.33394249999998</v>
      </c>
      <c r="H277" s="188">
        <v>4.1939425000000483</v>
      </c>
      <c r="I277" s="187" t="s">
        <v>2014</v>
      </c>
      <c r="J277" s="188" t="s">
        <v>2016</v>
      </c>
    </row>
    <row r="278" spans="1:10" ht="15.75" thickBot="1">
      <c r="A278" s="264"/>
      <c r="B278" s="206">
        <v>2</v>
      </c>
      <c r="C278" s="186">
        <v>0.46500000000000002</v>
      </c>
      <c r="D278" s="186">
        <v>1.0049999999999999</v>
      </c>
      <c r="E278" s="186">
        <v>0.54500000000000004</v>
      </c>
      <c r="F278" s="188">
        <v>478.06</v>
      </c>
      <c r="G278" s="187">
        <v>402.53549199999998</v>
      </c>
      <c r="H278" s="188">
        <v>75.524508000000026</v>
      </c>
      <c r="I278" s="187" t="s">
        <v>2014</v>
      </c>
      <c r="J278" s="188" t="s">
        <v>2017</v>
      </c>
    </row>
    <row r="279" spans="1:10" ht="15.75" thickBot="1">
      <c r="A279" s="264"/>
      <c r="B279" s="206">
        <v>3</v>
      </c>
      <c r="C279" s="186">
        <v>0.46</v>
      </c>
      <c r="D279" s="186">
        <v>1.0049999999999999</v>
      </c>
      <c r="E279" s="186">
        <v>0.55000000000000004</v>
      </c>
      <c r="F279" s="188">
        <v>358.14</v>
      </c>
      <c r="G279" s="187">
        <v>359.21739100000002</v>
      </c>
      <c r="H279" s="188">
        <v>1.077391000000034</v>
      </c>
      <c r="I279" s="187" t="s">
        <v>2014</v>
      </c>
      <c r="J279" s="188" t="s">
        <v>2016</v>
      </c>
    </row>
    <row r="280" spans="1:10" ht="15.75" thickBot="1">
      <c r="A280" s="264"/>
      <c r="B280" s="206">
        <v>4</v>
      </c>
      <c r="C280" s="186">
        <v>0.46500000000000002</v>
      </c>
      <c r="D280" s="186">
        <v>1</v>
      </c>
      <c r="E280" s="186">
        <v>0.55000000000000004</v>
      </c>
      <c r="F280" s="188">
        <v>358.14</v>
      </c>
      <c r="G280" s="187">
        <v>356.43645850000001</v>
      </c>
      <c r="H280" s="188">
        <v>1.7035414999999721</v>
      </c>
      <c r="I280" s="187" t="s">
        <v>2014</v>
      </c>
      <c r="J280" s="188" t="s">
        <v>2016</v>
      </c>
    </row>
    <row r="281" spans="1:10" ht="15.75" thickBot="1">
      <c r="A281" s="264"/>
      <c r="B281" s="206">
        <v>5</v>
      </c>
      <c r="C281" s="186">
        <v>0.45500000000000002</v>
      </c>
      <c r="D281" s="186">
        <v>0.97499999999999998</v>
      </c>
      <c r="E281" s="186">
        <v>0.52500000000000002</v>
      </c>
      <c r="F281" s="188">
        <v>358.14</v>
      </c>
      <c r="G281" s="187"/>
      <c r="H281" s="188" t="s">
        <v>236</v>
      </c>
      <c r="I281" s="187" t="s">
        <v>2014</v>
      </c>
      <c r="J281" s="188" t="s">
        <v>2018</v>
      </c>
    </row>
    <row r="282" spans="1:10" ht="15.75" thickBot="1">
      <c r="A282" s="264"/>
      <c r="B282" s="206">
        <v>6</v>
      </c>
      <c r="C282" s="186">
        <v>0.49</v>
      </c>
      <c r="D282" s="186">
        <v>1.01</v>
      </c>
      <c r="E282" s="186">
        <v>0.55000000000000004</v>
      </c>
      <c r="F282" s="188">
        <v>319.07</v>
      </c>
      <c r="G282" s="187">
        <v>343.24073149999998</v>
      </c>
      <c r="H282" s="188">
        <v>24.170731500000041</v>
      </c>
      <c r="I282" s="187" t="s">
        <v>2014</v>
      </c>
      <c r="J282" s="188" t="s">
        <v>2017</v>
      </c>
    </row>
    <row r="283" spans="1:10" ht="15.75" thickBot="1">
      <c r="A283" s="264"/>
      <c r="B283" s="206">
        <v>7</v>
      </c>
      <c r="C283" s="186">
        <v>0.47499999999999998</v>
      </c>
      <c r="D283" s="186">
        <v>0.995</v>
      </c>
      <c r="E283" s="186">
        <v>0.55500000000000005</v>
      </c>
      <c r="F283" s="188">
        <v>239.03</v>
      </c>
      <c r="G283" s="187">
        <v>241.93948399999999</v>
      </c>
      <c r="H283" s="188">
        <v>2.909483999999992</v>
      </c>
      <c r="I283" s="187" t="s">
        <v>2014</v>
      </c>
      <c r="J283" s="188" t="s">
        <v>2016</v>
      </c>
    </row>
    <row r="284" spans="1:10" ht="15.75" thickBot="1">
      <c r="A284" s="264"/>
      <c r="B284" s="206">
        <v>8</v>
      </c>
      <c r="C284" s="186">
        <v>0.46</v>
      </c>
      <c r="D284" s="186">
        <v>0.995</v>
      </c>
      <c r="E284" s="186">
        <v>0.56000000000000005</v>
      </c>
      <c r="F284" s="188">
        <v>239.03</v>
      </c>
      <c r="G284" s="187"/>
      <c r="H284" s="188" t="s">
        <v>236</v>
      </c>
      <c r="I284" s="187" t="s">
        <v>2014</v>
      </c>
      <c r="J284" s="188" t="s">
        <v>2018</v>
      </c>
    </row>
    <row r="285" spans="1:10" ht="15.75" thickBot="1">
      <c r="A285" s="264"/>
      <c r="B285" s="206">
        <v>9</v>
      </c>
      <c r="C285" s="186">
        <v>0.46500000000000002</v>
      </c>
      <c r="D285" s="186">
        <v>0.97499999999999998</v>
      </c>
      <c r="E285" s="186">
        <v>0.55500000000000005</v>
      </c>
      <c r="F285" s="188">
        <v>319.07</v>
      </c>
      <c r="G285" s="187">
        <v>360.238158</v>
      </c>
      <c r="H285" s="188">
        <v>41.168158000000012</v>
      </c>
      <c r="I285" s="187" t="s">
        <v>2014</v>
      </c>
      <c r="J285" s="188" t="s">
        <v>2017</v>
      </c>
    </row>
    <row r="286" spans="1:10" ht="15.75" thickBot="1">
      <c r="A286" s="264"/>
      <c r="B286" s="206">
        <v>10</v>
      </c>
      <c r="C286" s="186">
        <v>0.45</v>
      </c>
      <c r="D286" s="186">
        <v>1</v>
      </c>
      <c r="E286" s="186">
        <v>0.54500000000000004</v>
      </c>
      <c r="F286" s="188">
        <v>239.03</v>
      </c>
      <c r="G286" s="187"/>
      <c r="H286" s="188" t="s">
        <v>236</v>
      </c>
      <c r="I286" s="187" t="s">
        <v>2014</v>
      </c>
      <c r="J286" s="188" t="s">
        <v>2018</v>
      </c>
    </row>
    <row r="287" spans="1:10" ht="15.75" thickBot="1">
      <c r="A287" s="264"/>
      <c r="B287" s="206">
        <v>11</v>
      </c>
      <c r="C287" s="186">
        <v>0.44</v>
      </c>
      <c r="D287" s="186">
        <v>1.01</v>
      </c>
      <c r="E287" s="186">
        <v>0.55500000000000005</v>
      </c>
      <c r="F287" s="188">
        <v>478.06</v>
      </c>
      <c r="G287" s="187">
        <v>403.13286399999998</v>
      </c>
      <c r="H287" s="188">
        <v>74.927136000000019</v>
      </c>
      <c r="I287" s="187" t="s">
        <v>2014</v>
      </c>
      <c r="J287" s="188" t="s">
        <v>2017</v>
      </c>
    </row>
    <row r="288" spans="1:10" ht="15.75" thickBot="1">
      <c r="A288" s="264"/>
      <c r="B288" s="206">
        <v>12</v>
      </c>
      <c r="C288" s="186">
        <v>0.57499999999999996</v>
      </c>
      <c r="D288" s="186">
        <v>1.0049999999999999</v>
      </c>
      <c r="E288" s="186">
        <v>0.56000000000000005</v>
      </c>
      <c r="F288" s="188">
        <v>319.07</v>
      </c>
      <c r="G288" s="187"/>
      <c r="H288" s="188" t="s">
        <v>236</v>
      </c>
      <c r="I288" s="187" t="s">
        <v>2014</v>
      </c>
      <c r="J288" s="188" t="s">
        <v>2018</v>
      </c>
    </row>
    <row r="289" spans="1:10" ht="15.75" thickBot="1">
      <c r="A289" s="264"/>
      <c r="B289" s="206">
        <v>13</v>
      </c>
      <c r="C289" s="186">
        <v>0.46500000000000002</v>
      </c>
      <c r="D289" s="186">
        <v>1.0049999999999999</v>
      </c>
      <c r="E289" s="186">
        <v>0.54500000000000004</v>
      </c>
      <c r="F289" s="188">
        <v>358.14</v>
      </c>
      <c r="G289" s="187"/>
      <c r="H289" s="188" t="s">
        <v>236</v>
      </c>
      <c r="I289" s="187" t="s">
        <v>2014</v>
      </c>
      <c r="J289" s="188" t="s">
        <v>2018</v>
      </c>
    </row>
    <row r="290" spans="1:10" ht="15.75" thickBot="1">
      <c r="A290" s="264"/>
      <c r="B290" s="206">
        <v>14</v>
      </c>
      <c r="C290" s="186">
        <v>0.46500000000000002</v>
      </c>
      <c r="D290" s="186">
        <v>1.01</v>
      </c>
      <c r="E290" s="186">
        <v>0.56999999999999995</v>
      </c>
      <c r="F290" s="188">
        <v>319.07</v>
      </c>
      <c r="G290" s="187"/>
      <c r="H290" s="188" t="s">
        <v>236</v>
      </c>
      <c r="I290" s="187" t="s">
        <v>2014</v>
      </c>
      <c r="J290" s="188" t="s">
        <v>2018</v>
      </c>
    </row>
    <row r="291" spans="1:10" ht="15.75" thickBot="1">
      <c r="A291" s="264"/>
      <c r="B291" s="206">
        <v>15</v>
      </c>
      <c r="C291" s="186">
        <v>0.43</v>
      </c>
      <c r="D291" s="186">
        <v>1.0249999999999999</v>
      </c>
      <c r="E291" s="186">
        <v>0.53500000000000003</v>
      </c>
      <c r="F291" s="188">
        <v>239.03</v>
      </c>
      <c r="G291" s="187"/>
      <c r="H291" s="188" t="s">
        <v>236</v>
      </c>
      <c r="I291" s="187" t="s">
        <v>2014</v>
      </c>
      <c r="J291" s="188" t="s">
        <v>2018</v>
      </c>
    </row>
    <row r="292" spans="1:10" ht="15.75" thickBot="1">
      <c r="A292" s="264"/>
      <c r="B292" s="206">
        <v>16</v>
      </c>
      <c r="C292" s="186">
        <v>0.51</v>
      </c>
      <c r="D292" s="186">
        <v>1.0149999999999999</v>
      </c>
      <c r="E292" s="186">
        <v>0.54500000000000004</v>
      </c>
      <c r="F292" s="188">
        <v>239.03</v>
      </c>
      <c r="G292" s="187"/>
      <c r="H292" s="188" t="s">
        <v>236</v>
      </c>
      <c r="I292" s="187" t="s">
        <v>2014</v>
      </c>
      <c r="J292" s="188" t="s">
        <v>2018</v>
      </c>
    </row>
    <row r="293" spans="1:10" ht="15.75" thickBot="1">
      <c r="A293" s="264" t="s">
        <v>1260</v>
      </c>
      <c r="B293" s="206">
        <v>1</v>
      </c>
      <c r="C293" s="186">
        <v>0.48</v>
      </c>
      <c r="D293" s="186">
        <v>1.01</v>
      </c>
      <c r="E293" s="186">
        <v>0.56999999999999995</v>
      </c>
      <c r="F293" s="188">
        <v>358.14</v>
      </c>
      <c r="G293" s="187">
        <v>404.04696100000001</v>
      </c>
      <c r="H293" s="188">
        <v>45.906961000000017</v>
      </c>
      <c r="I293" s="187" t="s">
        <v>2014</v>
      </c>
      <c r="J293" s="188" t="s">
        <v>2017</v>
      </c>
    </row>
    <row r="294" spans="1:10" ht="15.75" thickBot="1">
      <c r="A294" s="264"/>
      <c r="B294" s="206">
        <v>2</v>
      </c>
      <c r="C294" s="186">
        <v>0.44500000000000001</v>
      </c>
      <c r="D294" s="186">
        <v>1.0049999999999999</v>
      </c>
      <c r="E294" s="186">
        <v>0.55500000000000005</v>
      </c>
      <c r="F294" s="188">
        <v>478.06</v>
      </c>
      <c r="G294" s="187"/>
      <c r="H294" s="188" t="s">
        <v>236</v>
      </c>
      <c r="I294" s="187" t="s">
        <v>2014</v>
      </c>
      <c r="J294" s="188" t="s">
        <v>2018</v>
      </c>
    </row>
    <row r="295" spans="1:10" ht="15.75" thickBot="1">
      <c r="A295" s="264"/>
      <c r="B295" s="206">
        <v>3</v>
      </c>
      <c r="C295" s="186">
        <v>0.44500000000000001</v>
      </c>
      <c r="D295" s="186">
        <v>1</v>
      </c>
      <c r="E295" s="186">
        <v>0.55500000000000005</v>
      </c>
      <c r="F295" s="188">
        <v>358.14</v>
      </c>
      <c r="G295" s="187"/>
      <c r="H295" s="188" t="s">
        <v>236</v>
      </c>
      <c r="I295" s="187" t="s">
        <v>2015</v>
      </c>
      <c r="J295" s="188" t="s">
        <v>2018</v>
      </c>
    </row>
    <row r="296" spans="1:10" ht="15.75" thickBot="1">
      <c r="A296" s="264"/>
      <c r="B296" s="206">
        <v>4</v>
      </c>
      <c r="C296" s="186">
        <v>0.435</v>
      </c>
      <c r="D296" s="186">
        <v>0.93500000000000005</v>
      </c>
      <c r="E296" s="186">
        <v>0.61</v>
      </c>
      <c r="F296" s="188">
        <v>358.14</v>
      </c>
      <c r="G296" s="187">
        <v>366.45502099999999</v>
      </c>
      <c r="H296" s="188">
        <v>8.3150210000000015</v>
      </c>
      <c r="I296" s="187" t="s">
        <v>2015</v>
      </c>
      <c r="J296" s="188" t="s">
        <v>2016</v>
      </c>
    </row>
    <row r="297" spans="1:10" ht="15.75" thickBot="1">
      <c r="A297" s="264"/>
      <c r="B297" s="206">
        <v>5</v>
      </c>
      <c r="C297" s="186">
        <v>0.45500000000000002</v>
      </c>
      <c r="D297" s="186">
        <v>1.01</v>
      </c>
      <c r="E297" s="186">
        <v>0.55500000000000005</v>
      </c>
      <c r="F297" s="188">
        <v>358.14</v>
      </c>
      <c r="G297" s="187"/>
      <c r="H297" s="188" t="s">
        <v>236</v>
      </c>
      <c r="I297" s="187" t="s">
        <v>2015</v>
      </c>
      <c r="J297" s="188" t="s">
        <v>2018</v>
      </c>
    </row>
    <row r="298" spans="1:10" ht="15.75" thickBot="1">
      <c r="A298" s="264"/>
      <c r="B298" s="206">
        <v>6</v>
      </c>
      <c r="C298" s="186">
        <v>0.42</v>
      </c>
      <c r="D298" s="186">
        <v>0.94499999999999995</v>
      </c>
      <c r="E298" s="186">
        <v>0.6</v>
      </c>
      <c r="F298" s="188">
        <v>319.07</v>
      </c>
      <c r="G298" s="187">
        <v>182.071979</v>
      </c>
      <c r="H298" s="188">
        <v>136.99802099999999</v>
      </c>
      <c r="I298" s="187" t="s">
        <v>2015</v>
      </c>
      <c r="J298" s="188" t="s">
        <v>2017</v>
      </c>
    </row>
    <row r="299" spans="1:10" ht="15.75" thickBot="1">
      <c r="A299" s="264"/>
      <c r="B299" s="206">
        <v>7</v>
      </c>
      <c r="C299" s="186">
        <v>0.44</v>
      </c>
      <c r="D299" s="186">
        <v>0.96</v>
      </c>
      <c r="E299" s="186">
        <v>0.57499999999999996</v>
      </c>
      <c r="F299" s="188">
        <v>239.03</v>
      </c>
      <c r="G299" s="187">
        <v>239.20945399999999</v>
      </c>
      <c r="H299" s="188">
        <v>0.1794539999999927</v>
      </c>
      <c r="I299" s="187" t="s">
        <v>2015</v>
      </c>
      <c r="J299" s="188" t="s">
        <v>2016</v>
      </c>
    </row>
    <row r="300" spans="1:10" ht="15.75" thickBot="1">
      <c r="A300" s="264"/>
      <c r="B300" s="206">
        <v>8</v>
      </c>
      <c r="C300" s="186">
        <v>0.47</v>
      </c>
      <c r="D300" s="186">
        <v>1.04</v>
      </c>
      <c r="E300" s="186">
        <v>0.56000000000000005</v>
      </c>
      <c r="F300" s="188">
        <v>239.03</v>
      </c>
      <c r="G300" s="187"/>
      <c r="H300" s="188" t="s">
        <v>236</v>
      </c>
      <c r="I300" s="187" t="s">
        <v>2015</v>
      </c>
      <c r="J300" s="188" t="s">
        <v>2018</v>
      </c>
    </row>
    <row r="301" spans="1:10" ht="15.75" thickBot="1">
      <c r="A301" s="264"/>
      <c r="B301" s="206">
        <v>9</v>
      </c>
      <c r="C301" s="186">
        <v>0.41499999999999998</v>
      </c>
      <c r="D301" s="186">
        <v>1.0249999999999999</v>
      </c>
      <c r="E301" s="186">
        <v>0.55000000000000004</v>
      </c>
      <c r="F301" s="188">
        <v>319.07</v>
      </c>
      <c r="G301" s="187">
        <v>323.25617899999997</v>
      </c>
      <c r="H301" s="188">
        <v>4.1861789999999814</v>
      </c>
      <c r="I301" s="187" t="s">
        <v>2014</v>
      </c>
      <c r="J301" s="188" t="s">
        <v>2016</v>
      </c>
    </row>
    <row r="302" spans="1:10" ht="15.75" thickBot="1">
      <c r="A302" s="264"/>
      <c r="B302" s="206">
        <v>10</v>
      </c>
      <c r="C302" s="186">
        <v>0.47</v>
      </c>
      <c r="D302" s="186">
        <v>1.0149999999999999</v>
      </c>
      <c r="E302" s="186">
        <v>0.54500000000000004</v>
      </c>
      <c r="F302" s="188">
        <v>239.03</v>
      </c>
      <c r="G302" s="187"/>
      <c r="H302" s="188" t="s">
        <v>236</v>
      </c>
      <c r="I302" s="187" t="s">
        <v>2014</v>
      </c>
      <c r="J302" s="188" t="s">
        <v>2018</v>
      </c>
    </row>
    <row r="303" spans="1:10" ht="15.75" thickBot="1">
      <c r="A303" s="264"/>
      <c r="B303" s="206">
        <v>11</v>
      </c>
      <c r="C303" s="186">
        <v>0.41</v>
      </c>
      <c r="D303" s="186">
        <v>1.01</v>
      </c>
      <c r="E303" s="186">
        <v>0.53500000000000003</v>
      </c>
      <c r="F303" s="188">
        <v>478.06</v>
      </c>
      <c r="G303" s="187">
        <v>468.57253250000002</v>
      </c>
      <c r="H303" s="188">
        <v>9.4874675000000366</v>
      </c>
      <c r="I303" s="187" t="s">
        <v>2014</v>
      </c>
      <c r="J303" s="188" t="s">
        <v>2016</v>
      </c>
    </row>
    <row r="304" spans="1:10" ht="15.75" thickBot="1">
      <c r="A304" s="264"/>
      <c r="B304" s="206">
        <v>12</v>
      </c>
      <c r="C304" s="186">
        <v>0.44500000000000001</v>
      </c>
      <c r="D304" s="186">
        <v>1.0049999999999999</v>
      </c>
      <c r="E304" s="186">
        <v>0.53</v>
      </c>
      <c r="F304" s="188">
        <v>319.07</v>
      </c>
      <c r="G304" s="187">
        <v>335.67260299999998</v>
      </c>
      <c r="H304" s="188">
        <v>16.602602999999991</v>
      </c>
      <c r="I304" s="187" t="s">
        <v>2015</v>
      </c>
      <c r="J304" s="188" t="s">
        <v>2017</v>
      </c>
    </row>
    <row r="305" spans="1:10" ht="15.75" thickBot="1">
      <c r="A305" s="264"/>
      <c r="B305" s="206">
        <v>13</v>
      </c>
      <c r="C305" s="186">
        <v>0.43</v>
      </c>
      <c r="D305" s="186">
        <v>1.0149999999999999</v>
      </c>
      <c r="E305" s="186">
        <v>0.55000000000000004</v>
      </c>
      <c r="F305" s="188">
        <v>358.14</v>
      </c>
      <c r="G305" s="187"/>
      <c r="H305" s="188" t="s">
        <v>236</v>
      </c>
      <c r="I305" s="187" t="s">
        <v>2015</v>
      </c>
      <c r="J305" s="188" t="s">
        <v>2018</v>
      </c>
    </row>
    <row r="306" spans="1:10" ht="15.75" thickBot="1">
      <c r="A306" s="264"/>
      <c r="B306" s="206">
        <v>14</v>
      </c>
      <c r="C306" s="186">
        <v>0.45</v>
      </c>
      <c r="D306" s="186">
        <v>0.995</v>
      </c>
      <c r="E306" s="186">
        <v>0.55000000000000004</v>
      </c>
      <c r="F306" s="188">
        <v>319.07</v>
      </c>
      <c r="G306" s="187"/>
      <c r="H306" s="188" t="s">
        <v>236</v>
      </c>
      <c r="I306" s="187" t="s">
        <v>2014</v>
      </c>
      <c r="J306" s="188" t="s">
        <v>2018</v>
      </c>
    </row>
    <row r="307" spans="1:10" ht="15.75" thickBot="1">
      <c r="A307" s="264"/>
      <c r="B307" s="206">
        <v>15</v>
      </c>
      <c r="C307" s="186">
        <v>0.48499999999999999</v>
      </c>
      <c r="D307" s="186">
        <v>0.995</v>
      </c>
      <c r="E307" s="186">
        <v>0.54</v>
      </c>
      <c r="F307" s="188">
        <v>239.03</v>
      </c>
      <c r="G307" s="187">
        <v>245.68244899999999</v>
      </c>
      <c r="H307" s="188">
        <v>6.6524489999999901</v>
      </c>
      <c r="I307" s="187" t="s">
        <v>2014</v>
      </c>
      <c r="J307" s="188" t="s">
        <v>2017</v>
      </c>
    </row>
    <row r="308" spans="1:10" ht="15.75" thickBot="1">
      <c r="A308" s="264"/>
      <c r="B308" s="206">
        <v>16</v>
      </c>
      <c r="C308" s="186">
        <v>0.46</v>
      </c>
      <c r="D308" s="186">
        <v>1</v>
      </c>
      <c r="E308" s="186">
        <v>0.54</v>
      </c>
      <c r="F308" s="188">
        <v>239.03</v>
      </c>
      <c r="G308" s="187"/>
      <c r="H308" s="188" t="s">
        <v>236</v>
      </c>
      <c r="I308" s="187" t="s">
        <v>2015</v>
      </c>
      <c r="J308" s="188" t="s">
        <v>2018</v>
      </c>
    </row>
    <row r="309" spans="1:10" ht="15.75" thickBot="1">
      <c r="A309" s="264" t="s">
        <v>1299</v>
      </c>
      <c r="B309" s="206">
        <v>1</v>
      </c>
      <c r="C309" s="186">
        <v>0.46</v>
      </c>
      <c r="D309" s="186">
        <v>1</v>
      </c>
      <c r="E309" s="186">
        <v>0.54</v>
      </c>
      <c r="F309" s="188">
        <v>358.14</v>
      </c>
      <c r="G309" s="187">
        <v>359.97847200000001</v>
      </c>
      <c r="H309" s="188">
        <v>1.8384720000000241</v>
      </c>
      <c r="I309" s="187" t="s">
        <v>2015</v>
      </c>
      <c r="J309" s="188" t="s">
        <v>2016</v>
      </c>
    </row>
    <row r="310" spans="1:10" ht="15.75" thickBot="1">
      <c r="A310" s="264"/>
      <c r="B310" s="206">
        <v>2</v>
      </c>
      <c r="C310" s="186">
        <v>0.47</v>
      </c>
      <c r="D310" s="186">
        <v>1</v>
      </c>
      <c r="E310" s="186">
        <v>0.55500000000000005</v>
      </c>
      <c r="F310" s="188">
        <v>478.06</v>
      </c>
      <c r="G310" s="187">
        <v>480.51119299999999</v>
      </c>
      <c r="H310" s="188">
        <v>2.4511929999999889</v>
      </c>
      <c r="I310" s="187" t="s">
        <v>2014</v>
      </c>
      <c r="J310" s="188" t="s">
        <v>2016</v>
      </c>
    </row>
    <row r="311" spans="1:10" ht="15.75" thickBot="1">
      <c r="A311" s="264"/>
      <c r="B311" s="206">
        <v>3</v>
      </c>
      <c r="C311" s="186">
        <v>0.47</v>
      </c>
      <c r="D311" s="186">
        <v>1.0349999999999999</v>
      </c>
      <c r="E311" s="186">
        <v>0.52500000000000002</v>
      </c>
      <c r="F311" s="188">
        <v>358.14</v>
      </c>
      <c r="G311" s="187">
        <v>365.457784</v>
      </c>
      <c r="H311" s="188">
        <v>7.3177840000000174</v>
      </c>
      <c r="I311" s="187" t="s">
        <v>2014</v>
      </c>
      <c r="J311" s="188" t="s">
        <v>2016</v>
      </c>
    </row>
    <row r="312" spans="1:10" ht="15.75" thickBot="1">
      <c r="A312" s="264"/>
      <c r="B312" s="206">
        <v>4</v>
      </c>
      <c r="C312" s="186">
        <v>0.47499999999999998</v>
      </c>
      <c r="D312" s="186">
        <v>1.0249999999999999</v>
      </c>
      <c r="E312" s="186">
        <v>0.53500000000000003</v>
      </c>
      <c r="F312" s="188">
        <v>358.14</v>
      </c>
      <c r="G312" s="187">
        <v>366.25723099999999</v>
      </c>
      <c r="H312" s="188">
        <v>8.1172310000000607</v>
      </c>
      <c r="I312" s="187" t="s">
        <v>2014</v>
      </c>
      <c r="J312" s="188" t="s">
        <v>2016</v>
      </c>
    </row>
    <row r="313" spans="1:10" ht="15.75" thickBot="1">
      <c r="A313" s="264"/>
      <c r="B313" s="206">
        <v>5</v>
      </c>
      <c r="C313" s="186">
        <v>0.47499999999999998</v>
      </c>
      <c r="D313" s="186">
        <v>1.0249999999999999</v>
      </c>
      <c r="E313" s="186">
        <v>0.53500000000000003</v>
      </c>
      <c r="F313" s="188">
        <v>358.14</v>
      </c>
      <c r="G313" s="187"/>
      <c r="H313" s="188" t="s">
        <v>236</v>
      </c>
      <c r="I313" s="187" t="s">
        <v>2014</v>
      </c>
      <c r="J313" s="188" t="s">
        <v>2018</v>
      </c>
    </row>
    <row r="314" spans="1:10" ht="15.75" thickBot="1">
      <c r="A314" s="264"/>
      <c r="B314" s="206">
        <v>6</v>
      </c>
      <c r="C314" s="186">
        <v>0.45500000000000002</v>
      </c>
      <c r="D314" s="186">
        <v>1.0249999999999999</v>
      </c>
      <c r="E314" s="186">
        <v>0.52</v>
      </c>
      <c r="F314" s="188">
        <v>319.07</v>
      </c>
      <c r="G314" s="187">
        <v>320.33191199999999</v>
      </c>
      <c r="H314" s="188">
        <v>1.261911999999995</v>
      </c>
      <c r="I314" s="187" t="s">
        <v>2014</v>
      </c>
      <c r="J314" s="188" t="s">
        <v>2016</v>
      </c>
    </row>
    <row r="315" spans="1:10" ht="15.75" thickBot="1">
      <c r="A315" s="264"/>
      <c r="B315" s="206">
        <v>7</v>
      </c>
      <c r="C315" s="186">
        <v>0.44500000000000001</v>
      </c>
      <c r="D315" s="186">
        <v>1.01</v>
      </c>
      <c r="E315" s="186">
        <v>0.55000000000000004</v>
      </c>
      <c r="F315" s="188">
        <v>239.03</v>
      </c>
      <c r="G315" s="187">
        <v>244.095932</v>
      </c>
      <c r="H315" s="188">
        <v>5.0659320000000037</v>
      </c>
      <c r="I315" s="187" t="s">
        <v>2014</v>
      </c>
      <c r="J315" s="188" t="s">
        <v>2016</v>
      </c>
    </row>
    <row r="316" spans="1:10" ht="15.75" thickBot="1">
      <c r="A316" s="264"/>
      <c r="B316" s="206">
        <v>8</v>
      </c>
      <c r="C316" s="186">
        <v>0.42</v>
      </c>
      <c r="D316" s="186">
        <v>0.95499999999999996</v>
      </c>
      <c r="E316" s="186">
        <v>0.56499999999999995</v>
      </c>
      <c r="F316" s="188">
        <v>239.03</v>
      </c>
      <c r="G316" s="187">
        <v>238.64062300000001</v>
      </c>
      <c r="H316" s="188">
        <v>0.38937699999999609</v>
      </c>
      <c r="I316" s="187" t="s">
        <v>2014</v>
      </c>
      <c r="J316" s="188" t="s">
        <v>2016</v>
      </c>
    </row>
    <row r="317" spans="1:10" ht="15.75" thickBot="1">
      <c r="A317" s="264"/>
      <c r="B317" s="206">
        <v>9</v>
      </c>
      <c r="C317" s="186">
        <v>0.46500000000000002</v>
      </c>
      <c r="D317" s="186">
        <v>0.995</v>
      </c>
      <c r="E317" s="186">
        <v>0.55000000000000004</v>
      </c>
      <c r="F317" s="188">
        <v>319.07</v>
      </c>
      <c r="G317" s="187">
        <v>320.86966899999999</v>
      </c>
      <c r="H317" s="188">
        <v>1.799668999999994</v>
      </c>
      <c r="I317" s="187" t="s">
        <v>2014</v>
      </c>
      <c r="J317" s="188" t="s">
        <v>2016</v>
      </c>
    </row>
    <row r="318" spans="1:10" ht="15.75" thickBot="1">
      <c r="A318" s="264"/>
      <c r="B318" s="206">
        <v>10</v>
      </c>
      <c r="C318" s="186">
        <v>0.47499999999999998</v>
      </c>
      <c r="D318" s="186">
        <v>1.0049999999999999</v>
      </c>
      <c r="E318" s="186">
        <v>0.55000000000000004</v>
      </c>
      <c r="F318" s="188">
        <v>239.03</v>
      </c>
      <c r="G318" s="187">
        <v>245.41499899999999</v>
      </c>
      <c r="H318" s="188">
        <v>6.3849989999999934</v>
      </c>
      <c r="I318" s="187" t="s">
        <v>2014</v>
      </c>
      <c r="J318" s="188" t="s">
        <v>2017</v>
      </c>
    </row>
    <row r="319" spans="1:10" ht="15.75" thickBot="1">
      <c r="A319" s="264"/>
      <c r="B319" s="206">
        <v>11</v>
      </c>
      <c r="C319" s="186">
        <v>0.47</v>
      </c>
      <c r="D319" s="186">
        <v>0.995</v>
      </c>
      <c r="E319" s="186">
        <v>0.57499999999999996</v>
      </c>
      <c r="F319" s="188">
        <v>478.06</v>
      </c>
      <c r="G319" s="187">
        <v>478.06576899999999</v>
      </c>
      <c r="H319" s="188">
        <v>5.7689999999865904E-3</v>
      </c>
      <c r="I319" s="187" t="s">
        <v>2014</v>
      </c>
      <c r="J319" s="188" t="s">
        <v>2016</v>
      </c>
    </row>
    <row r="320" spans="1:10" ht="15.75" thickBot="1">
      <c r="A320" s="264"/>
      <c r="B320" s="206">
        <v>12</v>
      </c>
      <c r="C320" s="186">
        <v>0.46</v>
      </c>
      <c r="D320" s="186">
        <v>1</v>
      </c>
      <c r="E320" s="186">
        <v>0.54500000000000004</v>
      </c>
      <c r="F320" s="188">
        <v>319.07</v>
      </c>
      <c r="G320" s="187">
        <v>318.60906199999999</v>
      </c>
      <c r="H320" s="188">
        <v>0.46093799999999868</v>
      </c>
      <c r="I320" s="187" t="s">
        <v>2014</v>
      </c>
      <c r="J320" s="188" t="s">
        <v>2016</v>
      </c>
    </row>
    <row r="321" spans="1:10" ht="15.75" thickBot="1">
      <c r="A321" s="264"/>
      <c r="B321" s="206">
        <v>13</v>
      </c>
      <c r="C321" s="186">
        <v>0.44500000000000001</v>
      </c>
      <c r="D321" s="186">
        <v>1.0049999999999999</v>
      </c>
      <c r="E321" s="186">
        <v>0.56499999999999995</v>
      </c>
      <c r="F321" s="188">
        <v>358.14</v>
      </c>
      <c r="G321" s="187">
        <v>363.05699800000002</v>
      </c>
      <c r="H321" s="188">
        <v>4.9169980000000351</v>
      </c>
      <c r="I321" s="187" t="s">
        <v>2014</v>
      </c>
      <c r="J321" s="188" t="s">
        <v>2016</v>
      </c>
    </row>
    <row r="322" spans="1:10" ht="15.75" thickBot="1">
      <c r="A322" s="264"/>
      <c r="B322" s="206">
        <v>14</v>
      </c>
      <c r="C322" s="186">
        <v>0.45500000000000002</v>
      </c>
      <c r="D322" s="186">
        <v>1.0049999999999999</v>
      </c>
      <c r="E322" s="186">
        <v>0.54</v>
      </c>
      <c r="F322" s="188">
        <v>319.07</v>
      </c>
      <c r="G322" s="187">
        <v>323.58729299999999</v>
      </c>
      <c r="H322" s="188">
        <v>4.5172929999999951</v>
      </c>
      <c r="I322" s="187" t="s">
        <v>2014</v>
      </c>
      <c r="J322" s="188" t="s">
        <v>2016</v>
      </c>
    </row>
    <row r="323" spans="1:10" ht="15.75" thickBot="1">
      <c r="A323" s="264"/>
      <c r="B323" s="206">
        <v>15</v>
      </c>
      <c r="C323" s="186">
        <v>0.43</v>
      </c>
      <c r="D323" s="186">
        <v>1.0900000000000001</v>
      </c>
      <c r="E323" s="186">
        <v>0.49</v>
      </c>
      <c r="F323" s="188">
        <v>239.03</v>
      </c>
      <c r="G323" s="187">
        <v>242.97520399999999</v>
      </c>
      <c r="H323" s="188">
        <v>3.9452039999999902</v>
      </c>
      <c r="I323" s="187" t="s">
        <v>2014</v>
      </c>
      <c r="J323" s="188" t="s">
        <v>2016</v>
      </c>
    </row>
    <row r="324" spans="1:10" ht="15.75" thickBot="1">
      <c r="A324" s="264"/>
      <c r="B324" s="206">
        <v>16</v>
      </c>
      <c r="C324" s="186">
        <v>0.45500000000000002</v>
      </c>
      <c r="D324" s="186">
        <v>0.99</v>
      </c>
      <c r="E324" s="186">
        <v>0.52500000000000002</v>
      </c>
      <c r="F324" s="188">
        <v>239.03</v>
      </c>
      <c r="G324" s="187"/>
      <c r="H324" s="188" t="s">
        <v>236</v>
      </c>
      <c r="I324" s="187" t="s">
        <v>2014</v>
      </c>
      <c r="J324" s="188" t="s">
        <v>2018</v>
      </c>
    </row>
    <row r="325" spans="1:10" ht="15.75" thickBot="1">
      <c r="B325" s="207"/>
      <c r="C325" s="179"/>
      <c r="D325" s="179"/>
      <c r="E325" s="179"/>
      <c r="I325" s="189"/>
    </row>
    <row r="326" spans="1:10" s="181" customFormat="1" ht="15.75" thickBot="1">
      <c r="A326" s="270" t="s">
        <v>2025</v>
      </c>
      <c r="B326" s="271"/>
      <c r="C326" s="271"/>
      <c r="D326" s="271"/>
      <c r="E326" s="271"/>
      <c r="F326" s="271"/>
      <c r="G326" s="271"/>
      <c r="H326" s="271"/>
      <c r="I326" s="271"/>
      <c r="J326" s="272"/>
    </row>
    <row r="327" spans="1:10" s="181" customFormat="1" ht="36.75" thickBot="1">
      <c r="A327" s="92"/>
      <c r="B327" s="205" t="s">
        <v>2028</v>
      </c>
      <c r="C327" s="182" t="s">
        <v>2029</v>
      </c>
      <c r="D327" s="182" t="s">
        <v>2030</v>
      </c>
      <c r="E327" s="182" t="s">
        <v>2031</v>
      </c>
      <c r="F327" s="184" t="s">
        <v>216</v>
      </c>
      <c r="G327" s="183" t="s">
        <v>215</v>
      </c>
      <c r="H327" s="184" t="s">
        <v>217</v>
      </c>
      <c r="I327" s="183" t="s">
        <v>222</v>
      </c>
      <c r="J327" s="184" t="s">
        <v>218</v>
      </c>
    </row>
    <row r="328" spans="1:10" ht="15.75" thickBot="1">
      <c r="A328" s="264" t="s">
        <v>1336</v>
      </c>
      <c r="B328" s="206">
        <v>1</v>
      </c>
      <c r="C328" s="186">
        <v>0.54500000000000004</v>
      </c>
      <c r="D328" s="186">
        <v>0.995</v>
      </c>
      <c r="E328" s="186">
        <v>0.53500000000000003</v>
      </c>
      <c r="F328" s="188">
        <v>358.47</v>
      </c>
      <c r="G328" s="187">
        <v>373.72882099999998</v>
      </c>
      <c r="H328" s="188">
        <v>15.25882099999995</v>
      </c>
      <c r="I328" s="187" t="s">
        <v>2014</v>
      </c>
      <c r="J328" s="188" t="s">
        <v>2017</v>
      </c>
    </row>
    <row r="329" spans="1:10" ht="15.75" thickBot="1">
      <c r="A329" s="264"/>
      <c r="B329" s="206">
        <v>2</v>
      </c>
      <c r="C329" s="186">
        <v>0.60499999999999998</v>
      </c>
      <c r="D329" s="186">
        <v>1.02</v>
      </c>
      <c r="E329" s="186">
        <v>0.505</v>
      </c>
      <c r="F329" s="188">
        <v>478.5</v>
      </c>
      <c r="G329" s="187">
        <v>406.92064599999998</v>
      </c>
      <c r="H329" s="188">
        <v>71.579354000000023</v>
      </c>
      <c r="I329" s="187" t="s">
        <v>2014</v>
      </c>
      <c r="J329" s="188" t="s">
        <v>2017</v>
      </c>
    </row>
    <row r="330" spans="1:10" ht="15.75" thickBot="1">
      <c r="A330" s="264"/>
      <c r="B330" s="206">
        <v>3</v>
      </c>
      <c r="C330" s="186">
        <v>0.755</v>
      </c>
      <c r="D330" s="186">
        <v>0.89500000000000002</v>
      </c>
      <c r="E330" s="186">
        <v>0.51500000000000001</v>
      </c>
      <c r="F330" s="188">
        <v>358.47</v>
      </c>
      <c r="G330" s="187">
        <v>357.70544799999999</v>
      </c>
      <c r="H330" s="188">
        <v>0.76455200000003742</v>
      </c>
      <c r="I330" s="187" t="s">
        <v>2014</v>
      </c>
      <c r="J330" s="188" t="s">
        <v>2016</v>
      </c>
    </row>
    <row r="331" spans="1:10" ht="15.75" thickBot="1">
      <c r="A331" s="264"/>
      <c r="B331" s="206">
        <v>4</v>
      </c>
      <c r="C331" s="186">
        <v>0.64</v>
      </c>
      <c r="D331" s="186">
        <v>1</v>
      </c>
      <c r="E331" s="186">
        <v>0.435</v>
      </c>
      <c r="F331" s="188">
        <v>358.47</v>
      </c>
      <c r="G331" s="187">
        <v>361.11676399999999</v>
      </c>
      <c r="H331" s="188">
        <v>2.6467639999999619</v>
      </c>
      <c r="I331" s="187" t="s">
        <v>2014</v>
      </c>
      <c r="J331" s="188" t="s">
        <v>2016</v>
      </c>
    </row>
    <row r="332" spans="1:10" ht="15.75" thickBot="1">
      <c r="A332" s="264"/>
      <c r="B332" s="206">
        <v>5</v>
      </c>
      <c r="C332" s="186">
        <v>0.53500000000000003</v>
      </c>
      <c r="D332" s="186">
        <v>0.99</v>
      </c>
      <c r="E332" s="186">
        <v>0.44</v>
      </c>
      <c r="F332" s="188">
        <v>358.47</v>
      </c>
      <c r="G332" s="187">
        <v>361.85686099999998</v>
      </c>
      <c r="H332" s="188">
        <v>3.386860999999953</v>
      </c>
      <c r="I332" s="187" t="s">
        <v>2014</v>
      </c>
      <c r="J332" s="188" t="s">
        <v>2016</v>
      </c>
    </row>
    <row r="333" spans="1:10" ht="15.75" thickBot="1">
      <c r="A333" s="264"/>
      <c r="B333" s="206">
        <v>6</v>
      </c>
      <c r="C333" s="186">
        <v>0.66</v>
      </c>
      <c r="D333" s="186">
        <v>1.085</v>
      </c>
      <c r="E333" s="186">
        <v>0.46</v>
      </c>
      <c r="F333" s="188">
        <v>319.36</v>
      </c>
      <c r="G333" s="187">
        <v>317.93937249999999</v>
      </c>
      <c r="H333" s="188">
        <v>1.420627500000023</v>
      </c>
      <c r="I333" s="187" t="s">
        <v>2014</v>
      </c>
      <c r="J333" s="188" t="s">
        <v>2016</v>
      </c>
    </row>
    <row r="334" spans="1:10" ht="15.75" thickBot="1">
      <c r="A334" s="264"/>
      <c r="B334" s="206">
        <v>7</v>
      </c>
      <c r="C334" s="186">
        <v>0.56499999999999995</v>
      </c>
      <c r="D334" s="186">
        <v>1.07</v>
      </c>
      <c r="E334" s="186">
        <v>0.41499999999999998</v>
      </c>
      <c r="F334" s="188">
        <v>239.25</v>
      </c>
      <c r="G334" s="187">
        <v>241.2282725</v>
      </c>
      <c r="H334" s="188">
        <v>1.978272500000003</v>
      </c>
      <c r="I334" s="187" t="s">
        <v>2014</v>
      </c>
      <c r="J334" s="188" t="s">
        <v>2016</v>
      </c>
    </row>
    <row r="335" spans="1:10" ht="15.75" thickBot="1">
      <c r="A335" s="264"/>
      <c r="B335" s="206">
        <v>8</v>
      </c>
      <c r="C335" s="186">
        <v>0.57499999999999996</v>
      </c>
      <c r="D335" s="186">
        <v>1.0249999999999999</v>
      </c>
      <c r="E335" s="186">
        <v>0.37</v>
      </c>
      <c r="F335" s="188">
        <v>239.25</v>
      </c>
      <c r="G335" s="187">
        <v>240.075378</v>
      </c>
      <c r="H335" s="188">
        <v>0.82537800000000061</v>
      </c>
      <c r="I335" s="187" t="s">
        <v>2014</v>
      </c>
      <c r="J335" s="188" t="s">
        <v>2016</v>
      </c>
    </row>
    <row r="336" spans="1:10" ht="15.75" thickBot="1">
      <c r="A336" s="264"/>
      <c r="B336" s="206">
        <v>9</v>
      </c>
      <c r="C336" s="186">
        <v>0.59499999999999997</v>
      </c>
      <c r="D336" s="186">
        <v>1.0149999999999999</v>
      </c>
      <c r="E336" s="186">
        <v>0.41499999999999998</v>
      </c>
      <c r="F336" s="188">
        <v>319.36</v>
      </c>
      <c r="G336" s="187">
        <v>315.40002149999998</v>
      </c>
      <c r="H336" s="188">
        <v>3.9599785000000338</v>
      </c>
      <c r="I336" s="187" t="s">
        <v>2014</v>
      </c>
      <c r="J336" s="188" t="s">
        <v>2016</v>
      </c>
    </row>
    <row r="337" spans="1:10" ht="15.75" thickBot="1">
      <c r="A337" s="264"/>
      <c r="B337" s="206">
        <v>10</v>
      </c>
      <c r="C337" s="186">
        <v>0.57499999999999996</v>
      </c>
      <c r="D337" s="186">
        <v>1.0149999999999999</v>
      </c>
      <c r="E337" s="186">
        <v>0.39500000000000002</v>
      </c>
      <c r="F337" s="188">
        <v>239.25</v>
      </c>
      <c r="G337" s="187">
        <v>238.27301299999999</v>
      </c>
      <c r="H337" s="188">
        <v>0.97698700000000827</v>
      </c>
      <c r="I337" s="187" t="s">
        <v>2014</v>
      </c>
      <c r="J337" s="188" t="s">
        <v>2016</v>
      </c>
    </row>
    <row r="338" spans="1:10" ht="15.75" thickBot="1">
      <c r="A338" s="264"/>
      <c r="B338" s="206">
        <v>11</v>
      </c>
      <c r="C338" s="186">
        <v>0.58499999999999996</v>
      </c>
      <c r="D338" s="186">
        <v>1.01</v>
      </c>
      <c r="E338" s="186">
        <v>0.39</v>
      </c>
      <c r="F338" s="188">
        <v>478.5</v>
      </c>
      <c r="G338" s="187">
        <v>410.08067299999999</v>
      </c>
      <c r="H338" s="188">
        <v>68.41932700000001</v>
      </c>
      <c r="I338" s="187" t="s">
        <v>2014</v>
      </c>
      <c r="J338" s="188" t="s">
        <v>2017</v>
      </c>
    </row>
    <row r="339" spans="1:10" ht="15.75" thickBot="1">
      <c r="A339" s="264"/>
      <c r="B339" s="206">
        <v>12</v>
      </c>
      <c r="C339" s="186">
        <v>0.56499999999999995</v>
      </c>
      <c r="D339" s="186">
        <v>1</v>
      </c>
      <c r="E339" s="186">
        <v>0.43</v>
      </c>
      <c r="F339" s="188">
        <v>319.36</v>
      </c>
      <c r="G339" s="187">
        <v>317.21051833333343</v>
      </c>
      <c r="H339" s="188">
        <v>2.1494816666666452</v>
      </c>
      <c r="I339" s="187" t="s">
        <v>2014</v>
      </c>
      <c r="J339" s="188" t="s">
        <v>2016</v>
      </c>
    </row>
    <row r="340" spans="1:10" ht="15.75" thickBot="1">
      <c r="A340" s="264"/>
      <c r="B340" s="206">
        <v>13</v>
      </c>
      <c r="C340" s="186">
        <v>0.625</v>
      </c>
      <c r="D340" s="186">
        <v>1.0149999999999999</v>
      </c>
      <c r="E340" s="186">
        <v>0.43</v>
      </c>
      <c r="F340" s="188">
        <v>358.47</v>
      </c>
      <c r="G340" s="187">
        <v>356.76325700000001</v>
      </c>
      <c r="H340" s="188">
        <v>1.706743000000017</v>
      </c>
      <c r="I340" s="187" t="s">
        <v>2014</v>
      </c>
      <c r="J340" s="188" t="s">
        <v>2016</v>
      </c>
    </row>
    <row r="341" spans="1:10" ht="15.75" thickBot="1">
      <c r="A341" s="264"/>
      <c r="B341" s="206">
        <v>14</v>
      </c>
      <c r="C341" s="186">
        <v>0.64</v>
      </c>
      <c r="D341" s="186">
        <v>1.0549999999999999</v>
      </c>
      <c r="E341" s="186">
        <v>0.44500000000000001</v>
      </c>
      <c r="F341" s="188">
        <v>319.36</v>
      </c>
      <c r="G341" s="187">
        <v>315.79756800000001</v>
      </c>
      <c r="H341" s="188">
        <v>3.562432000000058</v>
      </c>
      <c r="I341" s="187" t="s">
        <v>2014</v>
      </c>
      <c r="J341" s="188" t="s">
        <v>2016</v>
      </c>
    </row>
    <row r="342" spans="1:10" ht="15.75" thickBot="1">
      <c r="A342" s="264"/>
      <c r="B342" s="206">
        <v>15</v>
      </c>
      <c r="C342" s="186">
        <v>0.55000000000000004</v>
      </c>
      <c r="D342" s="186">
        <v>1.01</v>
      </c>
      <c r="E342" s="186">
        <v>0.435</v>
      </c>
      <c r="F342" s="188">
        <v>239.25</v>
      </c>
      <c r="G342" s="187">
        <v>236.85309849999999</v>
      </c>
      <c r="H342" s="188">
        <v>2.3969015000000131</v>
      </c>
      <c r="I342" s="187" t="s">
        <v>2014</v>
      </c>
      <c r="J342" s="188" t="s">
        <v>2016</v>
      </c>
    </row>
    <row r="343" spans="1:10" ht="15.75" thickBot="1">
      <c r="A343" s="264"/>
      <c r="B343" s="206">
        <v>16</v>
      </c>
      <c r="C343" s="186">
        <v>0.61499999999999999</v>
      </c>
      <c r="D343" s="186">
        <v>1.01</v>
      </c>
      <c r="E343" s="186">
        <v>0.36499999999999999</v>
      </c>
      <c r="F343" s="188">
        <v>239.25</v>
      </c>
      <c r="G343" s="187">
        <v>335.05827099999999</v>
      </c>
      <c r="H343" s="188">
        <v>95.808270999999991</v>
      </c>
      <c r="I343" s="187" t="s">
        <v>2014</v>
      </c>
      <c r="J343" s="188" t="s">
        <v>2017</v>
      </c>
    </row>
    <row r="344" spans="1:10" ht="15.75" thickBot="1">
      <c r="A344" s="264" t="s">
        <v>1382</v>
      </c>
      <c r="B344" s="206">
        <v>1</v>
      </c>
      <c r="C344" s="186">
        <v>0.60499999999999998</v>
      </c>
      <c r="D344" s="186">
        <v>1.0049999999999999</v>
      </c>
      <c r="E344" s="186">
        <v>0.41</v>
      </c>
      <c r="F344" s="188">
        <v>358.47</v>
      </c>
      <c r="G344" s="187"/>
      <c r="H344" s="188" t="s">
        <v>236</v>
      </c>
      <c r="I344" s="187" t="s">
        <v>2014</v>
      </c>
      <c r="J344" s="188" t="s">
        <v>2018</v>
      </c>
    </row>
    <row r="345" spans="1:10" ht="15.75" thickBot="1">
      <c r="A345" s="264"/>
      <c r="B345" s="206">
        <v>2</v>
      </c>
      <c r="C345" s="186">
        <v>0.56499999999999995</v>
      </c>
      <c r="D345" s="186">
        <v>1.01</v>
      </c>
      <c r="E345" s="186">
        <v>0.435</v>
      </c>
      <c r="F345" s="188">
        <v>478.5</v>
      </c>
      <c r="G345" s="187">
        <v>396.05802666666659</v>
      </c>
      <c r="H345" s="188">
        <v>82.441973333333351</v>
      </c>
      <c r="I345" s="187" t="s">
        <v>2014</v>
      </c>
      <c r="J345" s="188" t="s">
        <v>2017</v>
      </c>
    </row>
    <row r="346" spans="1:10" ht="15.75" thickBot="1">
      <c r="A346" s="264"/>
      <c r="B346" s="206">
        <v>3</v>
      </c>
      <c r="C346" s="186">
        <v>0.64500000000000002</v>
      </c>
      <c r="D346" s="186">
        <v>0.99</v>
      </c>
      <c r="E346" s="186">
        <v>0.43</v>
      </c>
      <c r="F346" s="188">
        <v>358.47</v>
      </c>
      <c r="G346" s="187">
        <v>357.36533100000003</v>
      </c>
      <c r="H346" s="188">
        <v>1.104669000000001</v>
      </c>
      <c r="I346" s="187" t="s">
        <v>2015</v>
      </c>
      <c r="J346" s="188" t="s">
        <v>2016</v>
      </c>
    </row>
    <row r="347" spans="1:10" ht="15.75" thickBot="1">
      <c r="A347" s="264"/>
      <c r="B347" s="206">
        <v>4</v>
      </c>
      <c r="C347" s="186">
        <v>0.59</v>
      </c>
      <c r="D347" s="186">
        <v>1</v>
      </c>
      <c r="E347" s="186">
        <v>0.42499999999999999</v>
      </c>
      <c r="F347" s="188">
        <v>358.47</v>
      </c>
      <c r="G347" s="187">
        <v>355.93149149999999</v>
      </c>
      <c r="H347" s="188">
        <v>2.538508500000034</v>
      </c>
      <c r="I347" s="187" t="s">
        <v>2015</v>
      </c>
      <c r="J347" s="188" t="s">
        <v>2016</v>
      </c>
    </row>
    <row r="348" spans="1:10" ht="15.75" thickBot="1">
      <c r="A348" s="264"/>
      <c r="B348" s="206">
        <v>5</v>
      </c>
      <c r="C348" s="186">
        <v>0.56999999999999995</v>
      </c>
      <c r="D348" s="186">
        <v>1.0449999999999999</v>
      </c>
      <c r="E348" s="186">
        <v>0.46500000000000002</v>
      </c>
      <c r="F348" s="188">
        <v>358.47</v>
      </c>
      <c r="G348" s="187">
        <v>358.95258699999999</v>
      </c>
      <c r="H348" s="188">
        <v>0.48258699999996679</v>
      </c>
      <c r="I348" s="187" t="s">
        <v>2015</v>
      </c>
      <c r="J348" s="188" t="s">
        <v>2016</v>
      </c>
    </row>
    <row r="349" spans="1:10" ht="15.75" thickBot="1">
      <c r="A349" s="264"/>
      <c r="B349" s="206">
        <v>6</v>
      </c>
      <c r="C349" s="186">
        <v>0.61499999999999999</v>
      </c>
      <c r="D349" s="186">
        <v>1.0149999999999999</v>
      </c>
      <c r="E349" s="186">
        <v>0.42499999999999999</v>
      </c>
      <c r="F349" s="188">
        <v>319.36</v>
      </c>
      <c r="G349" s="187">
        <v>317.49303500000002</v>
      </c>
      <c r="H349" s="188">
        <v>1.8669649999999931</v>
      </c>
      <c r="I349" s="187" t="s">
        <v>2015</v>
      </c>
      <c r="J349" s="188" t="s">
        <v>2016</v>
      </c>
    </row>
    <row r="350" spans="1:10" ht="15.75" thickBot="1">
      <c r="A350" s="264"/>
      <c r="B350" s="206">
        <v>7</v>
      </c>
      <c r="C350" s="186">
        <v>0.57999999999999996</v>
      </c>
      <c r="D350" s="186">
        <v>1.0349999999999999</v>
      </c>
      <c r="E350" s="186">
        <v>0.42</v>
      </c>
      <c r="F350" s="188">
        <v>239.25</v>
      </c>
      <c r="G350" s="187"/>
      <c r="H350" s="188" t="s">
        <v>236</v>
      </c>
      <c r="I350" s="187" t="s">
        <v>2015</v>
      </c>
      <c r="J350" s="188" t="s">
        <v>2018</v>
      </c>
    </row>
    <row r="351" spans="1:10" ht="15.75" thickBot="1">
      <c r="A351" s="264"/>
      <c r="B351" s="206">
        <v>8</v>
      </c>
      <c r="C351" s="186">
        <v>0.53500000000000003</v>
      </c>
      <c r="D351" s="186">
        <v>1.06</v>
      </c>
      <c r="E351" s="186">
        <v>0.47499999999999998</v>
      </c>
      <c r="F351" s="188">
        <v>239.25</v>
      </c>
      <c r="G351" s="187">
        <v>238.817983</v>
      </c>
      <c r="H351" s="188">
        <v>0.43201700000000193</v>
      </c>
      <c r="I351" s="187" t="s">
        <v>2014</v>
      </c>
      <c r="J351" s="188" t="s">
        <v>2016</v>
      </c>
    </row>
    <row r="352" spans="1:10" ht="15.75" thickBot="1">
      <c r="A352" s="264"/>
      <c r="B352" s="206">
        <v>9</v>
      </c>
      <c r="C352" s="186">
        <v>0.45</v>
      </c>
      <c r="D352" s="186">
        <v>1.0549999999999999</v>
      </c>
      <c r="E352" s="186">
        <v>0.39500000000000002</v>
      </c>
      <c r="F352" s="188">
        <v>319.36</v>
      </c>
      <c r="G352" s="187">
        <v>314.97185999999999</v>
      </c>
      <c r="H352" s="188">
        <v>4.3881400000000212</v>
      </c>
      <c r="I352" s="187" t="s">
        <v>2015</v>
      </c>
      <c r="J352" s="188" t="s">
        <v>2016</v>
      </c>
    </row>
    <row r="353" spans="1:10" ht="15.75" thickBot="1">
      <c r="A353" s="264"/>
      <c r="B353" s="206">
        <v>10</v>
      </c>
      <c r="C353" s="186">
        <v>0.57499999999999996</v>
      </c>
      <c r="D353" s="186">
        <v>1.01</v>
      </c>
      <c r="E353" s="186">
        <v>0.36</v>
      </c>
      <c r="F353" s="188">
        <v>239.25</v>
      </c>
      <c r="G353" s="187">
        <v>235.96950150000001</v>
      </c>
      <c r="H353" s="188">
        <v>3.2804984999999931</v>
      </c>
      <c r="I353" s="187" t="s">
        <v>2015</v>
      </c>
      <c r="J353" s="188" t="s">
        <v>2016</v>
      </c>
    </row>
    <row r="354" spans="1:10" ht="15.75" thickBot="1">
      <c r="A354" s="264"/>
      <c r="B354" s="206">
        <v>11</v>
      </c>
      <c r="C354" s="186">
        <v>0.45500000000000002</v>
      </c>
      <c r="D354" s="186">
        <v>1.06</v>
      </c>
      <c r="E354" s="186">
        <v>0.42499999999999999</v>
      </c>
      <c r="F354" s="188">
        <v>478.5</v>
      </c>
      <c r="G354" s="187">
        <v>407.79391500000003</v>
      </c>
      <c r="H354" s="188">
        <v>70.706084999999973</v>
      </c>
      <c r="I354" s="187" t="s">
        <v>2015</v>
      </c>
      <c r="J354" s="188" t="s">
        <v>2017</v>
      </c>
    </row>
    <row r="355" spans="1:10" ht="15.75" thickBot="1">
      <c r="A355" s="264"/>
      <c r="B355" s="206">
        <v>12</v>
      </c>
      <c r="C355" s="186">
        <v>0.55000000000000004</v>
      </c>
      <c r="D355" s="186">
        <v>1.0900000000000001</v>
      </c>
      <c r="E355" s="186">
        <v>0.36</v>
      </c>
      <c r="F355" s="188">
        <v>319.36</v>
      </c>
      <c r="G355" s="187">
        <v>316.4891945</v>
      </c>
      <c r="H355" s="188">
        <v>2.8708055000000172</v>
      </c>
      <c r="I355" s="187" t="s">
        <v>2015</v>
      </c>
      <c r="J355" s="188" t="s">
        <v>2016</v>
      </c>
    </row>
    <row r="356" spans="1:10" ht="15.75" thickBot="1">
      <c r="A356" s="264"/>
      <c r="B356" s="206">
        <v>13</v>
      </c>
      <c r="C356" s="186">
        <v>0.58499999999999996</v>
      </c>
      <c r="D356" s="186">
        <v>0.98499999999999999</v>
      </c>
      <c r="E356" s="186">
        <v>0.43</v>
      </c>
      <c r="F356" s="188">
        <v>358.47</v>
      </c>
      <c r="G356" s="187"/>
      <c r="H356" s="188" t="s">
        <v>236</v>
      </c>
      <c r="I356" s="187" t="s">
        <v>2015</v>
      </c>
      <c r="J356" s="188" t="s">
        <v>2018</v>
      </c>
    </row>
    <row r="357" spans="1:10" ht="15.75" thickBot="1">
      <c r="A357" s="264"/>
      <c r="B357" s="206">
        <v>14</v>
      </c>
      <c r="C357" s="186">
        <v>0.53500000000000003</v>
      </c>
      <c r="D357" s="186">
        <v>1.0049999999999999</v>
      </c>
      <c r="E357" s="186">
        <v>0.40500000000000003</v>
      </c>
      <c r="F357" s="188">
        <v>319.36</v>
      </c>
      <c r="G357" s="187">
        <v>315.90400599999998</v>
      </c>
      <c r="H357" s="188">
        <v>3.455994000000032</v>
      </c>
      <c r="I357" s="187" t="s">
        <v>2015</v>
      </c>
      <c r="J357" s="188" t="s">
        <v>2016</v>
      </c>
    </row>
    <row r="358" spans="1:10" ht="15.75" thickBot="1">
      <c r="A358" s="264"/>
      <c r="B358" s="206">
        <v>15</v>
      </c>
      <c r="C358" s="186">
        <v>0.62</v>
      </c>
      <c r="D358" s="186">
        <v>0.97</v>
      </c>
      <c r="E358" s="186">
        <v>0.40500000000000003</v>
      </c>
      <c r="F358" s="188">
        <v>239.25</v>
      </c>
      <c r="G358" s="187">
        <v>237.81661399999999</v>
      </c>
      <c r="H358" s="188">
        <v>1.4333860000000129</v>
      </c>
      <c r="I358" s="187" t="s">
        <v>2015</v>
      </c>
      <c r="J358" s="188" t="s">
        <v>2016</v>
      </c>
    </row>
    <row r="359" spans="1:10" ht="15.75" thickBot="1">
      <c r="A359" s="264"/>
      <c r="B359" s="206">
        <v>16</v>
      </c>
      <c r="C359" s="186">
        <v>0.67500000000000004</v>
      </c>
      <c r="D359" s="186">
        <v>1.0349999999999999</v>
      </c>
      <c r="E359" s="186">
        <v>0.43</v>
      </c>
      <c r="F359" s="188">
        <v>239.25</v>
      </c>
      <c r="G359" s="187">
        <v>238.90500599999999</v>
      </c>
      <c r="H359" s="188">
        <v>0.34499400000001401</v>
      </c>
      <c r="I359" s="187" t="s">
        <v>2015</v>
      </c>
      <c r="J359" s="188" t="s">
        <v>2016</v>
      </c>
    </row>
    <row r="360" spans="1:10" ht="15.75" thickBot="1">
      <c r="A360" s="264" t="s">
        <v>1423</v>
      </c>
      <c r="B360" s="206">
        <v>1</v>
      </c>
      <c r="C360" s="186">
        <v>0.55000000000000004</v>
      </c>
      <c r="D360" s="186">
        <v>1.06</v>
      </c>
      <c r="E360" s="186">
        <v>0.375</v>
      </c>
      <c r="F360" s="188">
        <v>358.47</v>
      </c>
      <c r="G360" s="187">
        <v>359.7630093333334</v>
      </c>
      <c r="H360" s="188">
        <v>1.293009333333373</v>
      </c>
      <c r="I360" s="187" t="s">
        <v>2014</v>
      </c>
      <c r="J360" s="188" t="s">
        <v>2016</v>
      </c>
    </row>
    <row r="361" spans="1:10" ht="15.75" thickBot="1">
      <c r="A361" s="264"/>
      <c r="B361" s="206">
        <v>2</v>
      </c>
      <c r="C361" s="186">
        <v>0.57999999999999996</v>
      </c>
      <c r="D361" s="186">
        <v>1.02</v>
      </c>
      <c r="E361" s="186">
        <v>0.42499999999999999</v>
      </c>
      <c r="F361" s="188">
        <v>478.5</v>
      </c>
      <c r="G361" s="187">
        <v>482.28236199999998</v>
      </c>
      <c r="H361" s="188">
        <v>3.7823619999999778</v>
      </c>
      <c r="I361" s="187" t="s">
        <v>2015</v>
      </c>
      <c r="J361" s="188" t="s">
        <v>2016</v>
      </c>
    </row>
    <row r="362" spans="1:10" ht="15.75" thickBot="1">
      <c r="A362" s="264"/>
      <c r="B362" s="206">
        <v>3</v>
      </c>
      <c r="C362" s="186">
        <v>0.57999999999999996</v>
      </c>
      <c r="D362" s="186">
        <v>1.0149999999999999</v>
      </c>
      <c r="E362" s="186">
        <v>0.38500000000000001</v>
      </c>
      <c r="F362" s="188">
        <v>358.47</v>
      </c>
      <c r="G362" s="187">
        <v>365.00509799999998</v>
      </c>
      <c r="H362" s="188">
        <v>6.5350979999999481</v>
      </c>
      <c r="I362" s="187" t="s">
        <v>2015</v>
      </c>
      <c r="J362" s="188" t="s">
        <v>2016</v>
      </c>
    </row>
    <row r="363" spans="1:10" ht="15.75" thickBot="1">
      <c r="A363" s="264"/>
      <c r="B363" s="206">
        <v>4</v>
      </c>
      <c r="C363" s="186">
        <v>0.40500000000000003</v>
      </c>
      <c r="D363" s="186">
        <v>1.1100000000000001</v>
      </c>
      <c r="E363" s="186">
        <v>0.35</v>
      </c>
      <c r="F363" s="188">
        <v>358.47</v>
      </c>
      <c r="G363" s="187">
        <v>363.89290599999998</v>
      </c>
      <c r="H363" s="188">
        <v>5.4229060000000118</v>
      </c>
      <c r="I363" s="187" t="s">
        <v>2015</v>
      </c>
      <c r="J363" s="188" t="s">
        <v>2016</v>
      </c>
    </row>
    <row r="364" spans="1:10" ht="15.75" thickBot="1">
      <c r="A364" s="264"/>
      <c r="B364" s="206">
        <v>5</v>
      </c>
      <c r="C364" s="186">
        <v>0.56999999999999995</v>
      </c>
      <c r="D364" s="186">
        <v>1.01</v>
      </c>
      <c r="E364" s="186">
        <v>0.43</v>
      </c>
      <c r="F364" s="188">
        <v>358.47</v>
      </c>
      <c r="G364" s="187">
        <v>364.44113950000002</v>
      </c>
      <c r="H364" s="188">
        <v>5.9711394999999357</v>
      </c>
      <c r="I364" s="187" t="s">
        <v>2015</v>
      </c>
      <c r="J364" s="188" t="s">
        <v>2016</v>
      </c>
    </row>
    <row r="365" spans="1:10" ht="15.75" thickBot="1">
      <c r="A365" s="264"/>
      <c r="B365" s="206">
        <v>6</v>
      </c>
      <c r="C365" s="186">
        <v>0.55500000000000005</v>
      </c>
      <c r="D365" s="186">
        <v>1.01</v>
      </c>
      <c r="E365" s="186">
        <v>0.435</v>
      </c>
      <c r="F365" s="188">
        <v>319.36</v>
      </c>
      <c r="G365" s="187">
        <v>320.17835500000001</v>
      </c>
      <c r="H365" s="188">
        <v>0.81835499999999683</v>
      </c>
      <c r="I365" s="187" t="s">
        <v>2015</v>
      </c>
      <c r="J365" s="188" t="s">
        <v>2016</v>
      </c>
    </row>
    <row r="366" spans="1:10" ht="15.75" thickBot="1">
      <c r="A366" s="264"/>
      <c r="B366" s="206">
        <v>7</v>
      </c>
      <c r="C366" s="186">
        <v>0.48</v>
      </c>
      <c r="D366" s="186">
        <v>1.0549999999999999</v>
      </c>
      <c r="E366" s="186">
        <v>0.38500000000000001</v>
      </c>
      <c r="F366" s="188">
        <v>239.25</v>
      </c>
      <c r="G366" s="187">
        <v>239.54238699999999</v>
      </c>
      <c r="H366" s="188">
        <v>0.29238699999999079</v>
      </c>
      <c r="I366" s="187" t="s">
        <v>2015</v>
      </c>
      <c r="J366" s="188" t="s">
        <v>2016</v>
      </c>
    </row>
    <row r="367" spans="1:10" ht="15.75" thickBot="1">
      <c r="A367" s="264"/>
      <c r="B367" s="206">
        <v>8</v>
      </c>
      <c r="C367" s="186">
        <v>0.66500000000000004</v>
      </c>
      <c r="D367" s="186">
        <v>1.0049999999999999</v>
      </c>
      <c r="E367" s="186">
        <v>0.435</v>
      </c>
      <c r="F367" s="188">
        <v>239.25</v>
      </c>
      <c r="G367" s="187">
        <v>239.467288</v>
      </c>
      <c r="H367" s="188">
        <v>0.2172879999999964</v>
      </c>
      <c r="I367" s="187" t="s">
        <v>2015</v>
      </c>
      <c r="J367" s="188" t="s">
        <v>2016</v>
      </c>
    </row>
    <row r="368" spans="1:10" ht="15.75" thickBot="1">
      <c r="A368" s="264"/>
      <c r="B368" s="206">
        <v>9</v>
      </c>
      <c r="C368" s="186">
        <v>0.59</v>
      </c>
      <c r="D368" s="186">
        <v>1.0449999999999999</v>
      </c>
      <c r="E368" s="186">
        <v>0.47499999999999998</v>
      </c>
      <c r="F368" s="188">
        <v>319.36</v>
      </c>
      <c r="G368" s="187">
        <v>322.44817</v>
      </c>
      <c r="H368" s="188">
        <v>3.088169999999991</v>
      </c>
      <c r="I368" s="187" t="s">
        <v>2015</v>
      </c>
      <c r="J368" s="188" t="s">
        <v>2016</v>
      </c>
    </row>
    <row r="369" spans="1:10" ht="15.75" thickBot="1">
      <c r="A369" s="264"/>
      <c r="B369" s="206">
        <v>10</v>
      </c>
      <c r="C369" s="186">
        <v>0.57499999999999996</v>
      </c>
      <c r="D369" s="186">
        <v>1.0149999999999999</v>
      </c>
      <c r="E369" s="186">
        <v>0.4</v>
      </c>
      <c r="F369" s="188">
        <v>239.25</v>
      </c>
      <c r="G369" s="187">
        <v>238.592491</v>
      </c>
      <c r="H369" s="188">
        <v>0.65750900000000456</v>
      </c>
      <c r="I369" s="187" t="s">
        <v>2015</v>
      </c>
      <c r="J369" s="188" t="s">
        <v>2016</v>
      </c>
    </row>
    <row r="370" spans="1:10" ht="15.75" thickBot="1">
      <c r="A370" s="264"/>
      <c r="B370" s="206">
        <v>11</v>
      </c>
      <c r="C370" s="186">
        <v>0.755</v>
      </c>
      <c r="D370" s="186">
        <v>0.98</v>
      </c>
      <c r="E370" s="186">
        <v>0.34</v>
      </c>
      <c r="F370" s="188">
        <v>478.5</v>
      </c>
      <c r="G370" s="187">
        <v>481.16696200000001</v>
      </c>
      <c r="H370" s="188">
        <v>2.6669620000000118</v>
      </c>
      <c r="I370" s="187" t="s">
        <v>2015</v>
      </c>
      <c r="J370" s="188" t="s">
        <v>2016</v>
      </c>
    </row>
    <row r="371" spans="1:10" ht="15.75" thickBot="1">
      <c r="A371" s="264"/>
      <c r="B371" s="206">
        <v>12</v>
      </c>
      <c r="C371" s="186">
        <v>0.64</v>
      </c>
      <c r="D371" s="186">
        <v>0.93</v>
      </c>
      <c r="E371" s="186">
        <v>0.43</v>
      </c>
      <c r="F371" s="188">
        <v>319.36</v>
      </c>
      <c r="G371" s="187">
        <v>322.93580633333329</v>
      </c>
      <c r="H371" s="188">
        <v>3.575806333333333</v>
      </c>
      <c r="I371" s="187" t="s">
        <v>2015</v>
      </c>
      <c r="J371" s="188" t="s">
        <v>2016</v>
      </c>
    </row>
    <row r="372" spans="1:10" ht="15.75" thickBot="1">
      <c r="A372" s="264"/>
      <c r="B372" s="206">
        <v>13</v>
      </c>
      <c r="C372" s="186">
        <v>0.6</v>
      </c>
      <c r="D372" s="186">
        <v>1.03</v>
      </c>
      <c r="E372" s="186">
        <v>0.315</v>
      </c>
      <c r="F372" s="188">
        <v>358.47</v>
      </c>
      <c r="G372" s="187">
        <v>354.66977900000001</v>
      </c>
      <c r="H372" s="188">
        <v>3.8002210000000218</v>
      </c>
      <c r="I372" s="187" t="s">
        <v>2015</v>
      </c>
      <c r="J372" s="188" t="s">
        <v>2016</v>
      </c>
    </row>
    <row r="373" spans="1:10" ht="15.75" thickBot="1">
      <c r="A373" s="264"/>
      <c r="B373" s="206">
        <v>14</v>
      </c>
      <c r="C373" s="186">
        <v>0.69</v>
      </c>
      <c r="D373" s="186">
        <v>0.94</v>
      </c>
      <c r="E373" s="186">
        <v>0.44</v>
      </c>
      <c r="F373" s="188">
        <v>319.36</v>
      </c>
      <c r="G373" s="187">
        <v>320.98024500000002</v>
      </c>
      <c r="H373" s="188">
        <v>1.620244999999954</v>
      </c>
      <c r="I373" s="187" t="s">
        <v>2015</v>
      </c>
      <c r="J373" s="188" t="s">
        <v>2016</v>
      </c>
    </row>
    <row r="374" spans="1:10" ht="15.75" thickBot="1">
      <c r="A374" s="264"/>
      <c r="B374" s="206">
        <v>15</v>
      </c>
      <c r="C374" s="186">
        <v>0.55500000000000005</v>
      </c>
      <c r="D374" s="186">
        <v>1.01</v>
      </c>
      <c r="E374" s="186">
        <v>0.45</v>
      </c>
      <c r="F374" s="188">
        <v>239.25</v>
      </c>
      <c r="G374" s="187">
        <v>283.54264599999999</v>
      </c>
      <c r="H374" s="188">
        <v>44.292645999999991</v>
      </c>
      <c r="I374" s="187" t="s">
        <v>2015</v>
      </c>
      <c r="J374" s="188" t="s">
        <v>2017</v>
      </c>
    </row>
    <row r="375" spans="1:10" ht="15.75" thickBot="1">
      <c r="A375" s="264"/>
      <c r="B375" s="206">
        <v>16</v>
      </c>
      <c r="C375" s="186">
        <v>0.60499999999999998</v>
      </c>
      <c r="D375" s="186">
        <v>1.04</v>
      </c>
      <c r="E375" s="186">
        <v>0.44</v>
      </c>
      <c r="F375" s="188">
        <v>239.25</v>
      </c>
      <c r="G375" s="187"/>
      <c r="H375" s="188" t="s">
        <v>236</v>
      </c>
      <c r="I375" s="187" t="s">
        <v>2015</v>
      </c>
      <c r="J375" s="188" t="s">
        <v>2018</v>
      </c>
    </row>
    <row r="376" spans="1:10" ht="15.75" thickBot="1">
      <c r="B376" s="207"/>
      <c r="C376" s="179"/>
      <c r="D376" s="179"/>
      <c r="E376" s="179"/>
      <c r="I376" s="189"/>
    </row>
    <row r="377" spans="1:10" s="181" customFormat="1" ht="15.75" thickBot="1">
      <c r="A377" s="270" t="s">
        <v>2026</v>
      </c>
      <c r="B377" s="271"/>
      <c r="C377" s="271"/>
      <c r="D377" s="271"/>
      <c r="E377" s="271"/>
      <c r="F377" s="271"/>
      <c r="G377" s="271"/>
      <c r="H377" s="271"/>
      <c r="I377" s="271"/>
      <c r="J377" s="272"/>
    </row>
    <row r="378" spans="1:10" s="181" customFormat="1" ht="36.75" thickBot="1">
      <c r="A378" s="92"/>
      <c r="B378" s="205" t="s">
        <v>2028</v>
      </c>
      <c r="C378" s="182" t="s">
        <v>2029</v>
      </c>
      <c r="D378" s="182" t="s">
        <v>2030</v>
      </c>
      <c r="E378" s="182" t="s">
        <v>2031</v>
      </c>
      <c r="F378" s="184" t="s">
        <v>216</v>
      </c>
      <c r="G378" s="183" t="s">
        <v>215</v>
      </c>
      <c r="H378" s="184" t="s">
        <v>217</v>
      </c>
      <c r="I378" s="183" t="s">
        <v>222</v>
      </c>
      <c r="J378" s="184" t="s">
        <v>218</v>
      </c>
    </row>
    <row r="379" spans="1:10" ht="15.75" thickBot="1">
      <c r="A379" s="264" t="s">
        <v>1473</v>
      </c>
      <c r="B379" s="206">
        <v>1</v>
      </c>
      <c r="C379" s="186">
        <v>0.57499999999999996</v>
      </c>
      <c r="D379" s="186">
        <v>0.98499999999999999</v>
      </c>
      <c r="E379" s="186">
        <v>0.41499999999999998</v>
      </c>
      <c r="F379" s="188">
        <v>415.31</v>
      </c>
      <c r="G379" s="187">
        <v>408.26502099999999</v>
      </c>
      <c r="H379" s="188">
        <v>7.0449790000000121</v>
      </c>
      <c r="I379" s="187" t="s">
        <v>2014</v>
      </c>
      <c r="J379" s="188" t="s">
        <v>2016</v>
      </c>
    </row>
    <row r="380" spans="1:10" ht="15.75" thickBot="1">
      <c r="A380" s="264"/>
      <c r="B380" s="206">
        <v>2</v>
      </c>
      <c r="C380" s="186">
        <v>0.48499999999999999</v>
      </c>
      <c r="D380" s="186">
        <v>0.995</v>
      </c>
      <c r="E380" s="186">
        <v>0.495</v>
      </c>
      <c r="F380" s="188">
        <v>554.37</v>
      </c>
      <c r="G380" s="187">
        <v>596.06358699999998</v>
      </c>
      <c r="H380" s="188">
        <v>41.69358699999998</v>
      </c>
      <c r="I380" s="187" t="s">
        <v>2014</v>
      </c>
      <c r="J380" s="188" t="s">
        <v>2017</v>
      </c>
    </row>
    <row r="381" spans="1:10" ht="15.75" thickBot="1">
      <c r="A381" s="264"/>
      <c r="B381" s="206">
        <v>3</v>
      </c>
      <c r="C381" s="186">
        <v>0.45500000000000002</v>
      </c>
      <c r="D381" s="186">
        <v>0.995</v>
      </c>
      <c r="E381" s="186">
        <v>0.505</v>
      </c>
      <c r="F381" s="188">
        <v>415.31</v>
      </c>
      <c r="G381" s="187"/>
      <c r="H381" s="188" t="s">
        <v>236</v>
      </c>
      <c r="I381" s="187" t="s">
        <v>2014</v>
      </c>
      <c r="J381" s="188" t="s">
        <v>2018</v>
      </c>
    </row>
    <row r="382" spans="1:10" ht="15.75" thickBot="1">
      <c r="A382" s="264"/>
      <c r="B382" s="206">
        <v>4</v>
      </c>
      <c r="C382" s="186">
        <v>0.49</v>
      </c>
      <c r="D382" s="186">
        <v>1.0049999999999999</v>
      </c>
      <c r="E382" s="186">
        <v>0.48</v>
      </c>
      <c r="F382" s="188">
        <v>415.31</v>
      </c>
      <c r="G382" s="187">
        <v>440.20859533333328</v>
      </c>
      <c r="H382" s="188">
        <v>24.898595333333329</v>
      </c>
      <c r="I382" s="187" t="s">
        <v>2014</v>
      </c>
      <c r="J382" s="188" t="s">
        <v>2017</v>
      </c>
    </row>
    <row r="383" spans="1:10" ht="15.75" thickBot="1">
      <c r="A383" s="264"/>
      <c r="B383" s="206">
        <v>5</v>
      </c>
      <c r="C383" s="186">
        <v>0.51</v>
      </c>
      <c r="D383" s="186">
        <v>0.99</v>
      </c>
      <c r="E383" s="186">
        <v>0.49</v>
      </c>
      <c r="F383" s="188">
        <v>415.31</v>
      </c>
      <c r="G383" s="187">
        <v>442.621647</v>
      </c>
      <c r="H383" s="188">
        <v>27.31164699999999</v>
      </c>
      <c r="I383" s="187" t="s">
        <v>2014</v>
      </c>
      <c r="J383" s="188" t="s">
        <v>2017</v>
      </c>
    </row>
    <row r="384" spans="1:10" ht="15.75" thickBot="1">
      <c r="A384" s="264"/>
      <c r="B384" s="206">
        <v>6</v>
      </c>
      <c r="C384" s="186">
        <v>0.47499999999999998</v>
      </c>
      <c r="D384" s="186">
        <v>0.98499999999999999</v>
      </c>
      <c r="E384" s="186">
        <v>0.495</v>
      </c>
      <c r="F384" s="188">
        <v>370</v>
      </c>
      <c r="G384" s="187">
        <v>391.01803699999999</v>
      </c>
      <c r="H384" s="188">
        <v>21.018036999999989</v>
      </c>
      <c r="I384" s="187" t="s">
        <v>2014</v>
      </c>
      <c r="J384" s="188" t="s">
        <v>2017</v>
      </c>
    </row>
    <row r="385" spans="1:10" ht="15.75" thickBot="1">
      <c r="A385" s="264"/>
      <c r="B385" s="206">
        <v>7</v>
      </c>
      <c r="C385" s="186">
        <v>0.47499999999999998</v>
      </c>
      <c r="D385" s="186">
        <v>1.0049999999999999</v>
      </c>
      <c r="E385" s="186">
        <v>0.47499999999999998</v>
      </c>
      <c r="F385" s="188">
        <v>277.19</v>
      </c>
      <c r="G385" s="187">
        <v>299.99287049999998</v>
      </c>
      <c r="H385" s="188">
        <v>22.80287049999998</v>
      </c>
      <c r="I385" s="187" t="s">
        <v>2014</v>
      </c>
      <c r="J385" s="188" t="s">
        <v>2017</v>
      </c>
    </row>
    <row r="386" spans="1:10" ht="15.75" thickBot="1">
      <c r="A386" s="264"/>
      <c r="B386" s="206">
        <v>8</v>
      </c>
      <c r="C386" s="186">
        <v>0.49</v>
      </c>
      <c r="D386" s="186">
        <v>0.995</v>
      </c>
      <c r="E386" s="186">
        <v>0.48499999999999999</v>
      </c>
      <c r="F386" s="188">
        <v>277.19</v>
      </c>
      <c r="G386" s="187">
        <v>303.95393680000001</v>
      </c>
      <c r="H386" s="188">
        <v>26.76393679999995</v>
      </c>
      <c r="I386" s="187" t="s">
        <v>2014</v>
      </c>
      <c r="J386" s="188" t="s">
        <v>2017</v>
      </c>
    </row>
    <row r="387" spans="1:10" ht="15.75" thickBot="1">
      <c r="A387" s="264"/>
      <c r="B387" s="206">
        <v>9</v>
      </c>
      <c r="C387" s="186">
        <v>0.48499999999999999</v>
      </c>
      <c r="D387" s="186">
        <v>0.995</v>
      </c>
      <c r="E387" s="186">
        <v>0.47499999999999998</v>
      </c>
      <c r="F387" s="188">
        <v>370</v>
      </c>
      <c r="G387" s="187">
        <v>388.67298</v>
      </c>
      <c r="H387" s="188">
        <v>18.672979999999999</v>
      </c>
      <c r="I387" s="187" t="s">
        <v>2014</v>
      </c>
      <c r="J387" s="188" t="s">
        <v>2017</v>
      </c>
    </row>
    <row r="388" spans="1:10" ht="15.75" thickBot="1">
      <c r="A388" s="264"/>
      <c r="B388" s="206">
        <v>10</v>
      </c>
      <c r="C388" s="186">
        <v>0.495</v>
      </c>
      <c r="D388" s="186">
        <v>1.0049999999999999</v>
      </c>
      <c r="E388" s="186">
        <v>0.49</v>
      </c>
      <c r="F388" s="188">
        <v>277.19</v>
      </c>
      <c r="G388" s="187">
        <v>294.641931</v>
      </c>
      <c r="H388" s="188">
        <v>17.451930999999998</v>
      </c>
      <c r="I388" s="187" t="s">
        <v>2014</v>
      </c>
      <c r="J388" s="188" t="s">
        <v>2017</v>
      </c>
    </row>
    <row r="389" spans="1:10" ht="15.75" thickBot="1">
      <c r="A389" s="264"/>
      <c r="B389" s="206">
        <v>11</v>
      </c>
      <c r="C389" s="186">
        <v>0.47499999999999998</v>
      </c>
      <c r="D389" s="186">
        <v>0.98</v>
      </c>
      <c r="E389" s="186">
        <v>0.5</v>
      </c>
      <c r="F389" s="188">
        <v>554.37</v>
      </c>
      <c r="G389" s="187">
        <v>588.69964766666669</v>
      </c>
      <c r="H389" s="188">
        <v>34.329647666666688</v>
      </c>
      <c r="I389" s="187" t="s">
        <v>2014</v>
      </c>
      <c r="J389" s="188" t="s">
        <v>2017</v>
      </c>
    </row>
    <row r="390" spans="1:10" ht="15.75" thickBot="1">
      <c r="A390" s="264"/>
      <c r="B390" s="206">
        <v>12</v>
      </c>
      <c r="C390" s="186">
        <v>0.46</v>
      </c>
      <c r="D390" s="186">
        <v>0.98499999999999999</v>
      </c>
      <c r="E390" s="186">
        <v>0.47</v>
      </c>
      <c r="F390" s="188">
        <v>370</v>
      </c>
      <c r="G390" s="187">
        <v>382.24071666666669</v>
      </c>
      <c r="H390" s="188">
        <v>12.240716666666691</v>
      </c>
      <c r="I390" s="187" t="s">
        <v>2014</v>
      </c>
      <c r="J390" s="188" t="s">
        <v>2017</v>
      </c>
    </row>
    <row r="391" spans="1:10" ht="15.75" thickBot="1">
      <c r="A391" s="264"/>
      <c r="B391" s="206">
        <v>13</v>
      </c>
      <c r="C391" s="186">
        <v>0.495</v>
      </c>
      <c r="D391" s="186">
        <v>0.995</v>
      </c>
      <c r="E391" s="186">
        <v>0.5</v>
      </c>
      <c r="F391" s="188">
        <v>415.31</v>
      </c>
      <c r="G391" s="187"/>
      <c r="H391" s="188" t="s">
        <v>236</v>
      </c>
      <c r="I391" s="187" t="s">
        <v>2014</v>
      </c>
      <c r="J391" s="188" t="s">
        <v>2018</v>
      </c>
    </row>
    <row r="392" spans="1:10" ht="15.75" thickBot="1">
      <c r="A392" s="264"/>
      <c r="B392" s="206">
        <v>14</v>
      </c>
      <c r="C392" s="186">
        <v>0.47499999999999998</v>
      </c>
      <c r="D392" s="186">
        <v>0.995</v>
      </c>
      <c r="E392" s="186">
        <v>0.5</v>
      </c>
      <c r="F392" s="188">
        <v>370</v>
      </c>
      <c r="G392" s="187"/>
      <c r="H392" s="188" t="s">
        <v>236</v>
      </c>
      <c r="I392" s="187" t="s">
        <v>2014</v>
      </c>
      <c r="J392" s="188" t="s">
        <v>2018</v>
      </c>
    </row>
    <row r="393" spans="1:10" ht="15.75" thickBot="1">
      <c r="A393" s="264"/>
      <c r="B393" s="206">
        <v>15</v>
      </c>
      <c r="C393" s="186">
        <v>0.47</v>
      </c>
      <c r="D393" s="186">
        <v>0.99</v>
      </c>
      <c r="E393" s="186">
        <v>0.495</v>
      </c>
      <c r="F393" s="188">
        <v>277.19</v>
      </c>
      <c r="G393" s="187"/>
      <c r="H393" s="188" t="s">
        <v>236</v>
      </c>
      <c r="I393" s="187" t="s">
        <v>2014</v>
      </c>
      <c r="J393" s="188" t="s">
        <v>2018</v>
      </c>
    </row>
    <row r="394" spans="1:10" ht="15.75" thickBot="1">
      <c r="A394" s="264"/>
      <c r="B394" s="206">
        <v>16</v>
      </c>
      <c r="C394" s="186">
        <v>0.47</v>
      </c>
      <c r="D394" s="186">
        <v>0.98499999999999999</v>
      </c>
      <c r="E394" s="186">
        <v>0.5</v>
      </c>
      <c r="F394" s="188">
        <v>277.19</v>
      </c>
      <c r="G394" s="187"/>
      <c r="H394" s="188" t="s">
        <v>236</v>
      </c>
      <c r="I394" s="187" t="s">
        <v>2014</v>
      </c>
      <c r="J394" s="188" t="s">
        <v>2018</v>
      </c>
    </row>
    <row r="395" spans="1:10" ht="15.75" thickBot="1">
      <c r="A395" s="264" t="s">
        <v>1527</v>
      </c>
      <c r="B395" s="206">
        <v>1</v>
      </c>
      <c r="C395" s="186">
        <v>0.48</v>
      </c>
      <c r="D395" s="186">
        <v>0.98499999999999999</v>
      </c>
      <c r="E395" s="186">
        <v>0.49</v>
      </c>
      <c r="F395" s="188">
        <v>415.31</v>
      </c>
      <c r="G395" s="187">
        <v>442.204319</v>
      </c>
      <c r="H395" s="188">
        <v>26.894318999999999</v>
      </c>
      <c r="I395" s="187" t="s">
        <v>2014</v>
      </c>
      <c r="J395" s="188" t="s">
        <v>2017</v>
      </c>
    </row>
    <row r="396" spans="1:10" ht="15.75" thickBot="1">
      <c r="A396" s="264"/>
      <c r="B396" s="206">
        <v>2</v>
      </c>
      <c r="C396" s="186">
        <v>0.495</v>
      </c>
      <c r="D396" s="186">
        <v>0.995</v>
      </c>
      <c r="E396" s="186">
        <v>0.51500000000000001</v>
      </c>
      <c r="F396" s="188">
        <v>554.37</v>
      </c>
      <c r="G396" s="187">
        <v>571.06890533333342</v>
      </c>
      <c r="H396" s="188">
        <v>16.698905333333411</v>
      </c>
      <c r="I396" s="187" t="s">
        <v>2015</v>
      </c>
      <c r="J396" s="188" t="s">
        <v>2017</v>
      </c>
    </row>
    <row r="397" spans="1:10" ht="15.75" thickBot="1">
      <c r="A397" s="264"/>
      <c r="B397" s="206">
        <v>3</v>
      </c>
      <c r="C397" s="186">
        <v>0.49</v>
      </c>
      <c r="D397" s="186">
        <v>0.99</v>
      </c>
      <c r="E397" s="186">
        <v>0.52500000000000002</v>
      </c>
      <c r="F397" s="188">
        <v>415.31</v>
      </c>
      <c r="G397" s="187">
        <v>438.42382600000002</v>
      </c>
      <c r="H397" s="188">
        <v>23.113826000000021</v>
      </c>
      <c r="I397" s="187" t="s">
        <v>2015</v>
      </c>
      <c r="J397" s="188" t="s">
        <v>2017</v>
      </c>
    </row>
    <row r="398" spans="1:10" ht="15.75" thickBot="1">
      <c r="A398" s="264"/>
      <c r="B398" s="206">
        <v>4</v>
      </c>
      <c r="C398" s="186">
        <v>0.46</v>
      </c>
      <c r="D398" s="186">
        <v>0.98499999999999999</v>
      </c>
      <c r="E398" s="186">
        <v>0.56999999999999995</v>
      </c>
      <c r="F398" s="188">
        <v>415.31</v>
      </c>
      <c r="G398" s="187">
        <v>405.193917</v>
      </c>
      <c r="H398" s="188">
        <v>10.116083</v>
      </c>
      <c r="I398" s="187" t="s">
        <v>2015</v>
      </c>
      <c r="J398" s="188" t="s">
        <v>2017</v>
      </c>
    </row>
    <row r="399" spans="1:10" ht="15.75" thickBot="1">
      <c r="A399" s="264"/>
      <c r="B399" s="206">
        <v>5</v>
      </c>
      <c r="C399" s="186">
        <v>0.48499999999999999</v>
      </c>
      <c r="D399" s="186">
        <v>1.0149999999999999</v>
      </c>
      <c r="E399" s="186">
        <v>0.49</v>
      </c>
      <c r="F399" s="188">
        <v>415.31</v>
      </c>
      <c r="G399" s="187"/>
      <c r="H399" s="188" t="s">
        <v>236</v>
      </c>
      <c r="I399" s="187" t="s">
        <v>2014</v>
      </c>
      <c r="J399" s="188" t="s">
        <v>2018</v>
      </c>
    </row>
    <row r="400" spans="1:10" ht="15.75" thickBot="1">
      <c r="A400" s="264"/>
      <c r="B400" s="206">
        <v>6</v>
      </c>
      <c r="C400" s="186">
        <v>0.5</v>
      </c>
      <c r="D400" s="186">
        <v>0.99</v>
      </c>
      <c r="E400" s="186">
        <v>0.54</v>
      </c>
      <c r="F400" s="188">
        <v>370</v>
      </c>
      <c r="G400" s="187">
        <v>391.57822566666658</v>
      </c>
      <c r="H400" s="188">
        <v>21.57822566666664</v>
      </c>
      <c r="I400" s="187" t="s">
        <v>2015</v>
      </c>
      <c r="J400" s="188" t="s">
        <v>2017</v>
      </c>
    </row>
    <row r="401" spans="1:10" ht="15.75" thickBot="1">
      <c r="A401" s="264"/>
      <c r="B401" s="206">
        <v>7</v>
      </c>
      <c r="C401" s="186">
        <v>0.47</v>
      </c>
      <c r="D401" s="186">
        <v>0.98499999999999999</v>
      </c>
      <c r="E401" s="186">
        <v>0.56499999999999995</v>
      </c>
      <c r="F401" s="188">
        <v>277.19</v>
      </c>
      <c r="G401" s="187"/>
      <c r="H401" s="188" t="s">
        <v>236</v>
      </c>
      <c r="I401" s="187" t="s">
        <v>2015</v>
      </c>
      <c r="J401" s="188" t="s">
        <v>2018</v>
      </c>
    </row>
    <row r="402" spans="1:10" ht="15.75" thickBot="1">
      <c r="A402" s="264"/>
      <c r="B402" s="206">
        <v>8</v>
      </c>
      <c r="C402" s="186">
        <v>0.46</v>
      </c>
      <c r="D402" s="186">
        <v>0.98</v>
      </c>
      <c r="E402" s="186">
        <v>0.54500000000000004</v>
      </c>
      <c r="F402" s="188">
        <v>277.19</v>
      </c>
      <c r="G402" s="187">
        <v>292.14918</v>
      </c>
      <c r="H402" s="188">
        <v>14.95918</v>
      </c>
      <c r="I402" s="187" t="s">
        <v>2014</v>
      </c>
      <c r="J402" s="188" t="s">
        <v>2017</v>
      </c>
    </row>
    <row r="403" spans="1:10" ht="15.75" thickBot="1">
      <c r="A403" s="264"/>
      <c r="B403" s="206">
        <v>9</v>
      </c>
      <c r="C403" s="186">
        <v>0.47</v>
      </c>
      <c r="D403" s="186">
        <v>1.01</v>
      </c>
      <c r="E403" s="186">
        <v>0.52500000000000002</v>
      </c>
      <c r="F403" s="188">
        <v>370</v>
      </c>
      <c r="G403" s="187">
        <v>385.90374066666658</v>
      </c>
      <c r="H403" s="188">
        <v>15.903740666666639</v>
      </c>
      <c r="I403" s="187" t="s">
        <v>2014</v>
      </c>
      <c r="J403" s="188" t="s">
        <v>2017</v>
      </c>
    </row>
    <row r="404" spans="1:10" ht="15.75" thickBot="1">
      <c r="A404" s="264"/>
      <c r="B404" s="206">
        <v>10</v>
      </c>
      <c r="C404" s="186">
        <v>0.48499999999999999</v>
      </c>
      <c r="D404" s="186">
        <v>0.98499999999999999</v>
      </c>
      <c r="E404" s="186">
        <v>0.51500000000000001</v>
      </c>
      <c r="F404" s="188">
        <v>277.19</v>
      </c>
      <c r="G404" s="187">
        <v>295.78610800000001</v>
      </c>
      <c r="H404" s="188">
        <v>18.596108000000015</v>
      </c>
      <c r="I404" s="187" t="s">
        <v>2015</v>
      </c>
      <c r="J404" s="188" t="s">
        <v>2017</v>
      </c>
    </row>
    <row r="405" spans="1:10" ht="15.75" thickBot="1">
      <c r="A405" s="264"/>
      <c r="B405" s="206">
        <v>11</v>
      </c>
      <c r="C405" s="186">
        <v>0.49</v>
      </c>
      <c r="D405" s="186">
        <v>1.0549999999999999</v>
      </c>
      <c r="E405" s="186">
        <v>0.47499999999999998</v>
      </c>
      <c r="F405" s="188">
        <v>554.37</v>
      </c>
      <c r="G405" s="187">
        <v>560.20647533333329</v>
      </c>
      <c r="H405" s="188">
        <v>5.8364753333332828</v>
      </c>
      <c r="I405" s="187" t="s">
        <v>2014</v>
      </c>
      <c r="J405" s="188" t="s">
        <v>2016</v>
      </c>
    </row>
    <row r="406" spans="1:10" ht="15.75" thickBot="1">
      <c r="A406" s="264"/>
      <c r="B406" s="206">
        <v>12</v>
      </c>
      <c r="C406" s="186">
        <v>0.53500000000000003</v>
      </c>
      <c r="D406" s="186">
        <v>0.995</v>
      </c>
      <c r="E406" s="186">
        <v>0.55500000000000005</v>
      </c>
      <c r="F406" s="188">
        <v>370</v>
      </c>
      <c r="G406" s="187">
        <v>385.82830300000001</v>
      </c>
      <c r="H406" s="188">
        <v>15.828303000000011</v>
      </c>
      <c r="I406" s="187" t="s">
        <v>2015</v>
      </c>
      <c r="J406" s="188" t="s">
        <v>2017</v>
      </c>
    </row>
    <row r="407" spans="1:10" ht="15.75" thickBot="1">
      <c r="A407" s="264"/>
      <c r="B407" s="206">
        <v>13</v>
      </c>
      <c r="C407" s="186">
        <v>0.52</v>
      </c>
      <c r="D407" s="186">
        <v>0.99</v>
      </c>
      <c r="E407" s="186">
        <v>0.51500000000000001</v>
      </c>
      <c r="F407" s="188">
        <v>415.31</v>
      </c>
      <c r="G407" s="187"/>
      <c r="H407" s="188" t="s">
        <v>236</v>
      </c>
      <c r="I407" s="187" t="s">
        <v>2015</v>
      </c>
      <c r="J407" s="188" t="s">
        <v>2018</v>
      </c>
    </row>
    <row r="408" spans="1:10" ht="15.75" thickBot="1">
      <c r="A408" s="264"/>
      <c r="B408" s="206">
        <v>15</v>
      </c>
      <c r="C408" s="186">
        <v>0.48</v>
      </c>
      <c r="D408" s="186">
        <v>0.995</v>
      </c>
      <c r="E408" s="186">
        <v>0.505</v>
      </c>
      <c r="F408" s="188">
        <v>277.19</v>
      </c>
      <c r="G408" s="187"/>
      <c r="H408" s="188" t="s">
        <v>236</v>
      </c>
      <c r="I408" s="187" t="s">
        <v>2015</v>
      </c>
      <c r="J408" s="188" t="s">
        <v>2018</v>
      </c>
    </row>
    <row r="409" spans="1:10" ht="15.75" thickBot="1">
      <c r="A409" s="264"/>
      <c r="B409" s="206">
        <v>14</v>
      </c>
      <c r="C409" s="186">
        <v>0.495</v>
      </c>
      <c r="D409" s="186">
        <v>1</v>
      </c>
      <c r="E409" s="186">
        <v>0.51500000000000001</v>
      </c>
      <c r="F409" s="188">
        <v>370</v>
      </c>
      <c r="G409" s="187">
        <v>391.92668200000003</v>
      </c>
      <c r="H409" s="188">
        <v>21.926682000000032</v>
      </c>
      <c r="I409" s="187" t="s">
        <v>2014</v>
      </c>
      <c r="J409" s="188" t="s">
        <v>2017</v>
      </c>
    </row>
    <row r="410" spans="1:10" ht="15.75" thickBot="1">
      <c r="A410" s="264"/>
      <c r="B410" s="206">
        <v>16</v>
      </c>
      <c r="C410" s="186">
        <v>0.48499999999999999</v>
      </c>
      <c r="D410" s="186">
        <v>0.99</v>
      </c>
      <c r="E410" s="186">
        <v>0.56000000000000005</v>
      </c>
      <c r="F410" s="188">
        <v>277.19</v>
      </c>
      <c r="G410" s="187">
        <v>291.7513265</v>
      </c>
      <c r="H410" s="188">
        <v>14.56132650000001</v>
      </c>
      <c r="I410" s="187" t="s">
        <v>2015</v>
      </c>
      <c r="J410" s="188" t="s">
        <v>2017</v>
      </c>
    </row>
    <row r="411" spans="1:10" ht="15.75" thickBot="1">
      <c r="A411" s="264" t="s">
        <v>1560</v>
      </c>
      <c r="B411" s="206">
        <v>1</v>
      </c>
      <c r="C411" s="186">
        <v>0.55500000000000005</v>
      </c>
      <c r="D411" s="186">
        <v>0.98</v>
      </c>
      <c r="E411" s="186">
        <v>0.495</v>
      </c>
      <c r="F411" s="188">
        <v>415.31</v>
      </c>
      <c r="G411" s="187">
        <v>429.94626</v>
      </c>
      <c r="H411" s="188">
        <v>14.636259999999993</v>
      </c>
      <c r="I411" s="187" t="s">
        <v>2015</v>
      </c>
      <c r="J411" s="188" t="s">
        <v>2017</v>
      </c>
    </row>
    <row r="412" spans="1:10" ht="15.75" thickBot="1">
      <c r="A412" s="264"/>
      <c r="B412" s="206">
        <v>2</v>
      </c>
      <c r="C412" s="186">
        <v>0.52500000000000002</v>
      </c>
      <c r="D412" s="186">
        <v>0.98</v>
      </c>
      <c r="E412" s="186">
        <v>0.48</v>
      </c>
      <c r="F412" s="188">
        <v>554.37</v>
      </c>
      <c r="G412" s="187">
        <v>564.46732899999995</v>
      </c>
      <c r="H412" s="188">
        <v>10.09732899999995</v>
      </c>
      <c r="I412" s="187" t="s">
        <v>2015</v>
      </c>
      <c r="J412" s="188" t="s">
        <v>2016</v>
      </c>
    </row>
    <row r="413" spans="1:10" ht="15.75" thickBot="1">
      <c r="A413" s="264"/>
      <c r="B413" s="206">
        <v>3</v>
      </c>
      <c r="C413" s="186">
        <v>0.51500000000000001</v>
      </c>
      <c r="D413" s="186">
        <v>0.98499999999999999</v>
      </c>
      <c r="E413" s="186">
        <v>0.53500000000000003</v>
      </c>
      <c r="F413" s="188">
        <v>415.31</v>
      </c>
      <c r="G413" s="187">
        <v>430.63387799999998</v>
      </c>
      <c r="H413" s="188">
        <v>15.323877999999979</v>
      </c>
      <c r="I413" s="187" t="s">
        <v>2015</v>
      </c>
      <c r="J413" s="188" t="s">
        <v>2017</v>
      </c>
    </row>
    <row r="414" spans="1:10" ht="15.75" thickBot="1">
      <c r="A414" s="264"/>
      <c r="B414" s="206">
        <v>4</v>
      </c>
      <c r="C414" s="186">
        <v>0.47</v>
      </c>
      <c r="D414" s="186">
        <v>0.995</v>
      </c>
      <c r="E414" s="186">
        <v>0.56999999999999995</v>
      </c>
      <c r="F414" s="188">
        <v>415.31</v>
      </c>
      <c r="G414" s="187">
        <v>420.54160633333339</v>
      </c>
      <c r="H414" s="188">
        <v>5.2316063333333886</v>
      </c>
      <c r="I414" s="187" t="s">
        <v>2015</v>
      </c>
      <c r="J414" s="188" t="s">
        <v>2016</v>
      </c>
    </row>
    <row r="415" spans="1:10" ht="15.75" thickBot="1">
      <c r="A415" s="264"/>
      <c r="B415" s="206">
        <v>5</v>
      </c>
      <c r="C415" s="186">
        <v>0.51</v>
      </c>
      <c r="D415" s="186">
        <v>0.96</v>
      </c>
      <c r="E415" s="186">
        <v>0.52500000000000002</v>
      </c>
      <c r="F415" s="188">
        <v>415.31</v>
      </c>
      <c r="G415" s="187">
        <v>428.39212149999997</v>
      </c>
      <c r="H415" s="188">
        <v>13.08212150000003</v>
      </c>
      <c r="I415" s="187" t="s">
        <v>2014</v>
      </c>
      <c r="J415" s="188" t="s">
        <v>2017</v>
      </c>
    </row>
    <row r="416" spans="1:10" ht="15.75" thickBot="1">
      <c r="A416" s="264"/>
      <c r="B416" s="206">
        <v>6</v>
      </c>
      <c r="C416" s="186">
        <v>0.48499999999999999</v>
      </c>
      <c r="D416" s="186">
        <v>0.99</v>
      </c>
      <c r="E416" s="186">
        <v>0.53500000000000003</v>
      </c>
      <c r="F416" s="188">
        <v>370</v>
      </c>
      <c r="G416" s="187">
        <v>390.574093</v>
      </c>
      <c r="H416" s="188">
        <v>20.574093000000001</v>
      </c>
      <c r="I416" s="187" t="s">
        <v>2015</v>
      </c>
      <c r="J416" s="188" t="s">
        <v>2017</v>
      </c>
    </row>
    <row r="417" spans="1:10" ht="15.75" thickBot="1">
      <c r="A417" s="264"/>
      <c r="B417" s="206">
        <v>7</v>
      </c>
      <c r="C417" s="186">
        <v>0.495</v>
      </c>
      <c r="D417" s="186">
        <v>0.98</v>
      </c>
      <c r="E417" s="186">
        <v>0.55000000000000004</v>
      </c>
      <c r="F417" s="188">
        <v>277.19</v>
      </c>
      <c r="G417" s="187">
        <v>296.466812</v>
      </c>
      <c r="H417" s="188">
        <v>19.27681200000001</v>
      </c>
      <c r="I417" s="187" t="s">
        <v>2015</v>
      </c>
      <c r="J417" s="188" t="s">
        <v>2017</v>
      </c>
    </row>
    <row r="418" spans="1:10" ht="15.75" thickBot="1">
      <c r="A418" s="264"/>
      <c r="B418" s="206">
        <v>8</v>
      </c>
      <c r="C418" s="186">
        <v>0.48499999999999999</v>
      </c>
      <c r="D418" s="186">
        <v>0.99</v>
      </c>
      <c r="E418" s="186">
        <v>0.51</v>
      </c>
      <c r="F418" s="188">
        <v>277.19</v>
      </c>
      <c r="G418" s="187"/>
      <c r="H418" s="188" t="s">
        <v>236</v>
      </c>
      <c r="I418" s="187" t="s">
        <v>2014</v>
      </c>
      <c r="J418" s="188" t="s">
        <v>2018</v>
      </c>
    </row>
    <row r="419" spans="1:10" ht="15.75" thickBot="1">
      <c r="A419" s="264"/>
      <c r="B419" s="206">
        <v>9</v>
      </c>
      <c r="C419" s="186">
        <v>0.51</v>
      </c>
      <c r="D419" s="186">
        <v>0.98499999999999999</v>
      </c>
      <c r="E419" s="186">
        <v>0.51</v>
      </c>
      <c r="F419" s="188">
        <v>370</v>
      </c>
      <c r="G419" s="187">
        <v>378.72137500000002</v>
      </c>
      <c r="H419" s="188">
        <v>8.7213750000000232</v>
      </c>
      <c r="I419" s="187" t="s">
        <v>2014</v>
      </c>
      <c r="J419" s="188" t="s">
        <v>2017</v>
      </c>
    </row>
    <row r="420" spans="1:10" ht="15.75" thickBot="1">
      <c r="A420" s="264"/>
      <c r="B420" s="206">
        <v>10</v>
      </c>
      <c r="C420" s="186">
        <v>0.48499999999999999</v>
      </c>
      <c r="D420" s="186">
        <v>0.995</v>
      </c>
      <c r="E420" s="186">
        <v>0.54</v>
      </c>
      <c r="F420" s="188">
        <v>277.19</v>
      </c>
      <c r="G420" s="187">
        <v>301.19567549999999</v>
      </c>
      <c r="H420" s="188">
        <v>24.005675499999999</v>
      </c>
      <c r="I420" s="187" t="s">
        <v>2015</v>
      </c>
      <c r="J420" s="188" t="s">
        <v>2017</v>
      </c>
    </row>
    <row r="421" spans="1:10" ht="15.75" thickBot="1">
      <c r="A421" s="264"/>
      <c r="B421" s="206">
        <v>11</v>
      </c>
      <c r="C421" s="186">
        <v>0.495</v>
      </c>
      <c r="D421" s="186">
        <v>0.99</v>
      </c>
      <c r="E421" s="186">
        <v>0.52500000000000002</v>
      </c>
      <c r="F421" s="188">
        <v>554.37</v>
      </c>
      <c r="G421" s="187">
        <v>559.61552099999994</v>
      </c>
      <c r="H421" s="188">
        <v>5.2455209999999397</v>
      </c>
      <c r="I421" s="187" t="s">
        <v>2014</v>
      </c>
      <c r="J421" s="188" t="s">
        <v>2016</v>
      </c>
    </row>
    <row r="422" spans="1:10" ht="15.75" thickBot="1">
      <c r="A422" s="264"/>
      <c r="B422" s="206">
        <v>12</v>
      </c>
      <c r="C422" s="186">
        <v>0.51</v>
      </c>
      <c r="D422" s="186">
        <v>1.0149999999999999</v>
      </c>
      <c r="E422" s="186">
        <v>0.56499999999999995</v>
      </c>
      <c r="F422" s="188">
        <v>370</v>
      </c>
      <c r="G422" s="187">
        <v>364.79222700000003</v>
      </c>
      <c r="H422" s="188">
        <v>5.2077729999999747</v>
      </c>
      <c r="I422" s="187" t="s">
        <v>2015</v>
      </c>
      <c r="J422" s="188" t="s">
        <v>2016</v>
      </c>
    </row>
    <row r="423" spans="1:10" ht="15.75" thickBot="1">
      <c r="A423" s="264"/>
      <c r="B423" s="206">
        <v>13</v>
      </c>
      <c r="C423" s="186">
        <v>0.54500000000000004</v>
      </c>
      <c r="D423" s="186">
        <v>1.0049999999999999</v>
      </c>
      <c r="E423" s="186">
        <v>0.43</v>
      </c>
      <c r="F423" s="188">
        <v>415.31</v>
      </c>
      <c r="G423" s="187">
        <v>428.37197400000002</v>
      </c>
      <c r="H423" s="188">
        <v>13.061974000000021</v>
      </c>
      <c r="I423" s="187" t="s">
        <v>2015</v>
      </c>
      <c r="J423" s="188" t="s">
        <v>2017</v>
      </c>
    </row>
    <row r="424" spans="1:10" ht="15.75" thickBot="1">
      <c r="A424" s="264"/>
      <c r="B424" s="206">
        <v>14</v>
      </c>
      <c r="C424" s="186">
        <v>0.495</v>
      </c>
      <c r="D424" s="186">
        <v>0.99</v>
      </c>
      <c r="E424" s="186">
        <v>0.54500000000000004</v>
      </c>
      <c r="F424" s="188">
        <v>370</v>
      </c>
      <c r="G424" s="187"/>
      <c r="H424" s="188" t="s">
        <v>236</v>
      </c>
      <c r="I424" s="187" t="s">
        <v>2015</v>
      </c>
      <c r="J424" s="188" t="s">
        <v>2018</v>
      </c>
    </row>
    <row r="425" spans="1:10" ht="15.75" thickBot="1">
      <c r="A425" s="264"/>
      <c r="B425" s="206">
        <v>15</v>
      </c>
      <c r="C425" s="186">
        <v>0.51500000000000001</v>
      </c>
      <c r="D425" s="186">
        <v>0.98499999999999999</v>
      </c>
      <c r="E425" s="186">
        <v>0.51</v>
      </c>
      <c r="F425" s="188">
        <v>277.19</v>
      </c>
      <c r="G425" s="187"/>
      <c r="H425" s="188" t="s">
        <v>236</v>
      </c>
      <c r="I425" s="187" t="s">
        <v>2015</v>
      </c>
      <c r="J425" s="188" t="s">
        <v>2018</v>
      </c>
    </row>
    <row r="426" spans="1:10" ht="15.75" thickBot="1">
      <c r="A426" s="264"/>
      <c r="B426" s="206">
        <v>16</v>
      </c>
      <c r="C426" s="186">
        <v>0.45</v>
      </c>
      <c r="D426" s="186">
        <v>0.98</v>
      </c>
      <c r="E426" s="186">
        <v>0.53</v>
      </c>
      <c r="F426" s="188">
        <v>277.19</v>
      </c>
      <c r="G426" s="187">
        <v>293.94692700000002</v>
      </c>
      <c r="H426" s="188">
        <v>16.756926999999958</v>
      </c>
      <c r="I426" s="187" t="s">
        <v>2014</v>
      </c>
      <c r="J426" s="188" t="s">
        <v>2017</v>
      </c>
    </row>
    <row r="427" spans="1:10" ht="15.75" thickBot="1">
      <c r="B427" s="207"/>
      <c r="C427" s="179"/>
      <c r="D427" s="179"/>
      <c r="E427" s="179"/>
      <c r="I427" s="189"/>
    </row>
    <row r="428" spans="1:10" s="181" customFormat="1" ht="15.75" thickBot="1">
      <c r="A428" s="270" t="s">
        <v>2027</v>
      </c>
      <c r="B428" s="271"/>
      <c r="C428" s="271"/>
      <c r="D428" s="271"/>
      <c r="E428" s="271"/>
      <c r="F428" s="271"/>
      <c r="G428" s="271"/>
      <c r="H428" s="271"/>
      <c r="I428" s="271"/>
      <c r="J428" s="272"/>
    </row>
    <row r="429" spans="1:10" s="181" customFormat="1" ht="36.75" thickBot="1">
      <c r="A429" s="92"/>
      <c r="B429" s="205" t="s">
        <v>2028</v>
      </c>
      <c r="C429" s="182" t="s">
        <v>2029</v>
      </c>
      <c r="D429" s="182" t="s">
        <v>2030</v>
      </c>
      <c r="E429" s="182" t="s">
        <v>2031</v>
      </c>
      <c r="F429" s="184" t="s">
        <v>216</v>
      </c>
      <c r="G429" s="183" t="s">
        <v>215</v>
      </c>
      <c r="H429" s="184" t="s">
        <v>217</v>
      </c>
      <c r="I429" s="183" t="s">
        <v>222</v>
      </c>
      <c r="J429" s="184" t="s">
        <v>218</v>
      </c>
    </row>
    <row r="430" spans="1:10" ht="15.75" thickBot="1">
      <c r="A430" s="264" t="s">
        <v>1592</v>
      </c>
      <c r="B430" s="206">
        <v>1</v>
      </c>
      <c r="C430" s="186">
        <v>0.48</v>
      </c>
      <c r="D430" s="186">
        <v>0.995</v>
      </c>
      <c r="E430" s="186">
        <v>0.53500000000000003</v>
      </c>
      <c r="F430" s="188">
        <v>418.68</v>
      </c>
      <c r="G430" s="187">
        <v>413.12521066666659</v>
      </c>
      <c r="H430" s="188">
        <v>5.5547893333333596</v>
      </c>
      <c r="I430" s="187" t="s">
        <v>2014</v>
      </c>
      <c r="J430" s="188" t="s">
        <v>2016</v>
      </c>
    </row>
    <row r="431" spans="1:10" ht="15.75" thickBot="1">
      <c r="A431" s="264"/>
      <c r="B431" s="206">
        <v>2</v>
      </c>
      <c r="C431" s="186">
        <v>0.5</v>
      </c>
      <c r="D431" s="186">
        <v>0.99</v>
      </c>
      <c r="E431" s="186">
        <v>0.51500000000000001</v>
      </c>
      <c r="F431" s="188">
        <v>558.87</v>
      </c>
      <c r="G431" s="187">
        <v>568.25424850000002</v>
      </c>
      <c r="H431" s="188">
        <v>9.3842485000000124</v>
      </c>
      <c r="I431" s="187" t="s">
        <v>2014</v>
      </c>
      <c r="J431" s="188" t="s">
        <v>2016</v>
      </c>
    </row>
    <row r="432" spans="1:10" ht="15.75" thickBot="1">
      <c r="A432" s="264"/>
      <c r="B432" s="206">
        <v>3</v>
      </c>
      <c r="C432" s="186">
        <v>0.52500000000000002</v>
      </c>
      <c r="D432" s="186">
        <v>0.94499999999999995</v>
      </c>
      <c r="E432" s="186">
        <v>0.54</v>
      </c>
      <c r="F432" s="188">
        <v>418.68</v>
      </c>
      <c r="G432" s="187">
        <v>426.00051500000001</v>
      </c>
      <c r="H432" s="188">
        <v>7.3205150000000003</v>
      </c>
      <c r="I432" s="187" t="s">
        <v>2014</v>
      </c>
      <c r="J432" s="188" t="s">
        <v>2016</v>
      </c>
    </row>
    <row r="433" spans="1:10" ht="15.75" thickBot="1">
      <c r="A433" s="264"/>
      <c r="B433" s="206">
        <v>4</v>
      </c>
      <c r="C433" s="186">
        <v>0.54</v>
      </c>
      <c r="D433" s="186">
        <v>0.99</v>
      </c>
      <c r="E433" s="186">
        <v>0.53500000000000003</v>
      </c>
      <c r="F433" s="188">
        <v>418.68</v>
      </c>
      <c r="G433" s="187">
        <v>414.55245250000002</v>
      </c>
      <c r="H433" s="188">
        <v>4.1275474999999915</v>
      </c>
      <c r="I433" s="187" t="s">
        <v>2014</v>
      </c>
      <c r="J433" s="188" t="s">
        <v>2016</v>
      </c>
    </row>
    <row r="434" spans="1:10" ht="15.75" thickBot="1">
      <c r="A434" s="264"/>
      <c r="B434" s="206">
        <v>5</v>
      </c>
      <c r="C434" s="186">
        <v>0.505</v>
      </c>
      <c r="D434" s="186">
        <v>0.96499999999999997</v>
      </c>
      <c r="E434" s="186">
        <v>0.505</v>
      </c>
      <c r="F434" s="188">
        <v>418.68</v>
      </c>
      <c r="G434" s="187">
        <v>425.934618</v>
      </c>
      <c r="H434" s="188">
        <v>7.2546179999999936</v>
      </c>
      <c r="I434" s="187" t="s">
        <v>2014</v>
      </c>
      <c r="J434" s="188" t="s">
        <v>2016</v>
      </c>
    </row>
    <row r="435" spans="1:10" ht="15.75" thickBot="1">
      <c r="A435" s="264"/>
      <c r="B435" s="206">
        <v>6</v>
      </c>
      <c r="C435" s="186">
        <v>0.51500000000000001</v>
      </c>
      <c r="D435" s="186">
        <v>0.98499999999999999</v>
      </c>
      <c r="E435" s="186">
        <v>0.495</v>
      </c>
      <c r="F435" s="188">
        <v>373</v>
      </c>
      <c r="G435" s="187">
        <v>386.93748649999998</v>
      </c>
      <c r="H435" s="188">
        <v>13.937486499999981</v>
      </c>
      <c r="I435" s="187" t="s">
        <v>2014</v>
      </c>
      <c r="J435" s="188" t="s">
        <v>2017</v>
      </c>
    </row>
    <row r="436" spans="1:10" ht="15.75" thickBot="1">
      <c r="A436" s="264"/>
      <c r="B436" s="206">
        <v>7</v>
      </c>
      <c r="C436" s="186">
        <v>0.505</v>
      </c>
      <c r="D436" s="186">
        <v>0.995</v>
      </c>
      <c r="E436" s="186">
        <v>0.505</v>
      </c>
      <c r="F436" s="188">
        <v>279.43</v>
      </c>
      <c r="G436" s="187">
        <v>285.72008733333331</v>
      </c>
      <c r="H436" s="188">
        <v>6.2900873333333038</v>
      </c>
      <c r="I436" s="187" t="s">
        <v>2014</v>
      </c>
      <c r="J436" s="188" t="s">
        <v>2016</v>
      </c>
    </row>
    <row r="437" spans="1:10" ht="15.75" thickBot="1">
      <c r="A437" s="264"/>
      <c r="B437" s="206">
        <v>8</v>
      </c>
      <c r="C437" s="186">
        <v>0.55500000000000005</v>
      </c>
      <c r="D437" s="186">
        <v>1.0049999999999999</v>
      </c>
      <c r="E437" s="186">
        <v>0.54</v>
      </c>
      <c r="F437" s="188">
        <v>279.43</v>
      </c>
      <c r="G437" s="187">
        <v>285.65759939999998</v>
      </c>
      <c r="H437" s="188">
        <v>6.2275993999999741</v>
      </c>
      <c r="I437" s="187" t="s">
        <v>2014</v>
      </c>
      <c r="J437" s="188" t="s">
        <v>2016</v>
      </c>
    </row>
    <row r="438" spans="1:10" ht="15.75" thickBot="1">
      <c r="A438" s="264"/>
      <c r="B438" s="206">
        <v>9</v>
      </c>
      <c r="C438" s="186">
        <v>0.56000000000000005</v>
      </c>
      <c r="D438" s="186">
        <v>0.995</v>
      </c>
      <c r="E438" s="186">
        <v>0.48499999999999999</v>
      </c>
      <c r="F438" s="188">
        <v>373</v>
      </c>
      <c r="G438" s="187">
        <v>385.79308733333329</v>
      </c>
      <c r="H438" s="188">
        <v>12.79308733333329</v>
      </c>
      <c r="I438" s="187" t="s">
        <v>2014</v>
      </c>
      <c r="J438" s="188" t="s">
        <v>2017</v>
      </c>
    </row>
    <row r="439" spans="1:10" ht="15.75" thickBot="1">
      <c r="A439" s="264"/>
      <c r="B439" s="206">
        <v>10</v>
      </c>
      <c r="C439" s="186">
        <v>0.54500000000000004</v>
      </c>
      <c r="D439" s="186">
        <v>0.98499999999999999</v>
      </c>
      <c r="E439" s="186">
        <v>0.51</v>
      </c>
      <c r="F439" s="188">
        <v>279.43</v>
      </c>
      <c r="G439" s="187">
        <v>283.90498366666662</v>
      </c>
      <c r="H439" s="188">
        <v>4.474983666666617</v>
      </c>
      <c r="I439" s="187" t="s">
        <v>2014</v>
      </c>
      <c r="J439" s="188" t="s">
        <v>2016</v>
      </c>
    </row>
    <row r="440" spans="1:10" ht="15.75" thickBot="1">
      <c r="A440" s="264"/>
      <c r="B440" s="206">
        <v>11</v>
      </c>
      <c r="C440" s="186">
        <v>0.56000000000000005</v>
      </c>
      <c r="D440" s="186">
        <v>0.99</v>
      </c>
      <c r="E440" s="186">
        <v>0.51500000000000001</v>
      </c>
      <c r="F440" s="188">
        <v>558.87</v>
      </c>
      <c r="G440" s="187">
        <v>556.36327800000004</v>
      </c>
      <c r="H440" s="188">
        <v>2.5067219999999679</v>
      </c>
      <c r="I440" s="187" t="s">
        <v>2014</v>
      </c>
      <c r="J440" s="188" t="s">
        <v>2016</v>
      </c>
    </row>
    <row r="441" spans="1:10" ht="15.75" thickBot="1">
      <c r="A441" s="264"/>
      <c r="B441" s="206">
        <v>12</v>
      </c>
      <c r="C441" s="186">
        <v>0.51</v>
      </c>
      <c r="D441" s="186">
        <v>1.02</v>
      </c>
      <c r="E441" s="186">
        <v>0.49</v>
      </c>
      <c r="F441" s="188">
        <v>373</v>
      </c>
      <c r="G441" s="187">
        <v>381.40940575000002</v>
      </c>
      <c r="H441" s="188">
        <v>8.409405750000019</v>
      </c>
      <c r="I441" s="187" t="s">
        <v>2014</v>
      </c>
      <c r="J441" s="188" t="s">
        <v>2016</v>
      </c>
    </row>
    <row r="442" spans="1:10" ht="15.75" thickBot="1">
      <c r="A442" s="264"/>
      <c r="B442" s="206">
        <v>13</v>
      </c>
      <c r="C442" s="186">
        <v>0.51500000000000001</v>
      </c>
      <c r="D442" s="186">
        <v>0.85</v>
      </c>
      <c r="E442" s="186">
        <v>0.56999999999999995</v>
      </c>
      <c r="F442" s="188">
        <v>418.68</v>
      </c>
      <c r="G442" s="187">
        <v>422.78942699999999</v>
      </c>
      <c r="H442" s="188">
        <v>4.1094269999999824</v>
      </c>
      <c r="I442" s="187" t="s">
        <v>2014</v>
      </c>
      <c r="J442" s="188" t="s">
        <v>2016</v>
      </c>
    </row>
    <row r="443" spans="1:10" ht="15.75" thickBot="1">
      <c r="A443" s="264"/>
      <c r="B443" s="206">
        <v>14</v>
      </c>
      <c r="C443" s="186">
        <v>0.51500000000000001</v>
      </c>
      <c r="D443" s="186">
        <v>0.95</v>
      </c>
      <c r="E443" s="186">
        <v>0.53500000000000003</v>
      </c>
      <c r="F443" s="188">
        <v>373</v>
      </c>
      <c r="G443" s="187">
        <v>386.45200849999998</v>
      </c>
      <c r="H443" s="188">
        <v>13.45200850000003</v>
      </c>
      <c r="I443" s="187" t="s">
        <v>2014</v>
      </c>
      <c r="J443" s="188" t="s">
        <v>2017</v>
      </c>
    </row>
    <row r="444" spans="1:10" ht="15.75" thickBot="1">
      <c r="A444" s="264"/>
      <c r="B444" s="206">
        <v>15</v>
      </c>
      <c r="C444" s="186">
        <v>0.52</v>
      </c>
      <c r="D444" s="186">
        <v>0.96</v>
      </c>
      <c r="E444" s="186">
        <v>0.55000000000000004</v>
      </c>
      <c r="F444" s="188">
        <v>279.43</v>
      </c>
      <c r="G444" s="187">
        <v>0</v>
      </c>
      <c r="H444" s="188" t="s">
        <v>236</v>
      </c>
      <c r="I444" s="187" t="s">
        <v>2014</v>
      </c>
      <c r="J444" s="188" t="s">
        <v>2018</v>
      </c>
    </row>
    <row r="445" spans="1:10" ht="15.75" thickBot="1">
      <c r="A445" s="264"/>
      <c r="B445" s="206">
        <v>16</v>
      </c>
      <c r="C445" s="186">
        <v>0.52</v>
      </c>
      <c r="D445" s="186">
        <v>0.94499999999999995</v>
      </c>
      <c r="E445" s="186">
        <v>0.54500000000000004</v>
      </c>
      <c r="F445" s="188">
        <v>279.43</v>
      </c>
      <c r="G445" s="187"/>
      <c r="H445" s="188" t="s">
        <v>236</v>
      </c>
      <c r="I445" s="187" t="s">
        <v>2014</v>
      </c>
      <c r="J445" s="188" t="s">
        <v>2018</v>
      </c>
    </row>
    <row r="446" spans="1:10" ht="15.75" thickBot="1">
      <c r="A446" s="264" t="s">
        <v>1657</v>
      </c>
      <c r="B446" s="206">
        <v>1</v>
      </c>
      <c r="C446" s="186">
        <v>0.53</v>
      </c>
      <c r="D446" s="186">
        <v>0.97</v>
      </c>
      <c r="E446" s="186">
        <v>0.53</v>
      </c>
      <c r="F446" s="188">
        <v>418.68</v>
      </c>
      <c r="G446" s="187">
        <v>417.07809033333342</v>
      </c>
      <c r="H446" s="188">
        <v>1.601909666666643</v>
      </c>
      <c r="I446" s="187" t="s">
        <v>2014</v>
      </c>
      <c r="J446" s="188" t="s">
        <v>2016</v>
      </c>
    </row>
    <row r="447" spans="1:10" ht="15.75" thickBot="1">
      <c r="A447" s="264"/>
      <c r="B447" s="206">
        <v>2</v>
      </c>
      <c r="C447" s="186">
        <v>0.51</v>
      </c>
      <c r="D447" s="186">
        <v>0.995</v>
      </c>
      <c r="E447" s="186">
        <v>0.495</v>
      </c>
      <c r="F447" s="188">
        <v>558.87</v>
      </c>
      <c r="G447" s="187">
        <v>530.91367033333336</v>
      </c>
      <c r="H447" s="188">
        <v>27.956329666666651</v>
      </c>
      <c r="I447" s="187" t="s">
        <v>2015</v>
      </c>
      <c r="J447" s="188" t="s">
        <v>2017</v>
      </c>
    </row>
    <row r="448" spans="1:10" ht="15.75" thickBot="1">
      <c r="A448" s="264"/>
      <c r="B448" s="206">
        <v>3</v>
      </c>
      <c r="C448" s="186">
        <v>0.53</v>
      </c>
      <c r="D448" s="186">
        <v>0.94</v>
      </c>
      <c r="E448" s="186">
        <v>0.5</v>
      </c>
      <c r="F448" s="188">
        <v>418.68</v>
      </c>
      <c r="G448" s="187">
        <v>419.90683949999999</v>
      </c>
      <c r="H448" s="188">
        <v>1.226839499999983</v>
      </c>
      <c r="I448" s="187" t="s">
        <v>2015</v>
      </c>
      <c r="J448" s="188" t="s">
        <v>2016</v>
      </c>
    </row>
    <row r="449" spans="1:10" ht="15.75" thickBot="1">
      <c r="A449" s="264"/>
      <c r="B449" s="206">
        <v>4</v>
      </c>
      <c r="C449" s="186">
        <v>0.495</v>
      </c>
      <c r="D449" s="186">
        <v>0.99</v>
      </c>
      <c r="E449" s="186">
        <v>0.52</v>
      </c>
      <c r="F449" s="188">
        <v>418.68</v>
      </c>
      <c r="G449" s="187">
        <v>407.61689633333327</v>
      </c>
      <c r="H449" s="188">
        <v>11.063103666666731</v>
      </c>
      <c r="I449" s="187" t="s">
        <v>2015</v>
      </c>
      <c r="J449" s="188" t="s">
        <v>2017</v>
      </c>
    </row>
    <row r="450" spans="1:10" ht="15.75" thickBot="1">
      <c r="A450" s="264"/>
      <c r="B450" s="206">
        <v>5</v>
      </c>
      <c r="C450" s="186">
        <v>0.52500000000000002</v>
      </c>
      <c r="D450" s="186">
        <v>1.01</v>
      </c>
      <c r="E450" s="186">
        <v>0.505</v>
      </c>
      <c r="F450" s="188">
        <v>418.68</v>
      </c>
      <c r="G450" s="187">
        <v>426.77013799999997</v>
      </c>
      <c r="H450" s="188">
        <v>8.0901379999999676</v>
      </c>
      <c r="I450" s="187" t="s">
        <v>2014</v>
      </c>
      <c r="J450" s="188" t="s">
        <v>2016</v>
      </c>
    </row>
    <row r="451" spans="1:10" ht="15.75" thickBot="1">
      <c r="A451" s="264"/>
      <c r="B451" s="206">
        <v>6</v>
      </c>
      <c r="C451" s="186">
        <v>0.51</v>
      </c>
      <c r="D451" s="186">
        <v>0.99</v>
      </c>
      <c r="E451" s="186">
        <v>0.505</v>
      </c>
      <c r="F451" s="188">
        <v>373</v>
      </c>
      <c r="G451" s="187">
        <v>379.46358133333342</v>
      </c>
      <c r="H451" s="188">
        <v>6.4635813333333658</v>
      </c>
      <c r="I451" s="187" t="s">
        <v>2014</v>
      </c>
      <c r="J451" s="188" t="s">
        <v>2016</v>
      </c>
    </row>
    <row r="452" spans="1:10" ht="15.75" thickBot="1">
      <c r="A452" s="264"/>
      <c r="B452" s="206">
        <v>7</v>
      </c>
      <c r="C452" s="186">
        <v>0.48</v>
      </c>
      <c r="D452" s="186">
        <v>0.92</v>
      </c>
      <c r="E452" s="186">
        <v>0.54</v>
      </c>
      <c r="F452" s="188">
        <v>279.43</v>
      </c>
      <c r="G452" s="187">
        <v>283.36821850000001</v>
      </c>
      <c r="H452" s="188">
        <v>3.938218500000005</v>
      </c>
      <c r="I452" s="187" t="s">
        <v>2015</v>
      </c>
      <c r="J452" s="188" t="s">
        <v>2016</v>
      </c>
    </row>
    <row r="453" spans="1:10" ht="15.75" thickBot="1">
      <c r="A453" s="264"/>
      <c r="B453" s="206">
        <v>8</v>
      </c>
      <c r="C453" s="186">
        <v>0.5</v>
      </c>
      <c r="D453" s="186">
        <v>0.95499999999999996</v>
      </c>
      <c r="E453" s="186">
        <v>0.54500000000000004</v>
      </c>
      <c r="F453" s="188">
        <v>279.43</v>
      </c>
      <c r="G453" s="187">
        <v>276.40231683333337</v>
      </c>
      <c r="H453" s="188">
        <v>3.027683166666634</v>
      </c>
      <c r="I453" s="187" t="s">
        <v>2014</v>
      </c>
      <c r="J453" s="188" t="s">
        <v>2016</v>
      </c>
    </row>
    <row r="454" spans="1:10" ht="15.75" thickBot="1">
      <c r="A454" s="264"/>
      <c r="B454" s="206">
        <v>9</v>
      </c>
      <c r="C454" s="186">
        <v>0.45</v>
      </c>
      <c r="D454" s="186">
        <v>0.97499999999999998</v>
      </c>
      <c r="E454" s="186">
        <v>0.52</v>
      </c>
      <c r="F454" s="188">
        <v>373</v>
      </c>
      <c r="G454" s="187">
        <v>381.20620100000002</v>
      </c>
      <c r="H454" s="188">
        <v>8.2062009999999646</v>
      </c>
      <c r="I454" s="187" t="s">
        <v>2014</v>
      </c>
      <c r="J454" s="188" t="s">
        <v>2016</v>
      </c>
    </row>
    <row r="455" spans="1:10" ht="15.75" thickBot="1">
      <c r="A455" s="264"/>
      <c r="B455" s="206">
        <v>10</v>
      </c>
      <c r="C455" s="186">
        <v>0.5</v>
      </c>
      <c r="D455" s="186">
        <v>1.0349999999999999</v>
      </c>
      <c r="E455" s="186">
        <v>0.45500000000000002</v>
      </c>
      <c r="F455" s="188">
        <v>279.43</v>
      </c>
      <c r="G455" s="187">
        <v>285.32850100000002</v>
      </c>
      <c r="H455" s="188">
        <v>5.8985009999999534</v>
      </c>
      <c r="I455" s="187" t="s">
        <v>2015</v>
      </c>
      <c r="J455" s="188" t="s">
        <v>2016</v>
      </c>
    </row>
    <row r="456" spans="1:10" ht="15.75" thickBot="1">
      <c r="A456" s="264"/>
      <c r="B456" s="206">
        <v>11</v>
      </c>
      <c r="C456" s="186">
        <v>0.505</v>
      </c>
      <c r="D456" s="186">
        <v>0.92500000000000004</v>
      </c>
      <c r="E456" s="186">
        <v>0.55000000000000004</v>
      </c>
      <c r="F456" s="188">
        <v>558.87</v>
      </c>
      <c r="G456" s="187">
        <v>554.90777333333335</v>
      </c>
      <c r="H456" s="188">
        <v>3.9622266666666519</v>
      </c>
      <c r="I456" s="187" t="s">
        <v>2014</v>
      </c>
      <c r="J456" s="188" t="s">
        <v>2016</v>
      </c>
    </row>
    <row r="457" spans="1:10" ht="15.75" thickBot="1">
      <c r="A457" s="264"/>
      <c r="B457" s="206">
        <v>12</v>
      </c>
      <c r="C457" s="186">
        <v>0.68500000000000005</v>
      </c>
      <c r="D457" s="186">
        <v>0.97499999999999998</v>
      </c>
      <c r="E457" s="186">
        <v>0.53500000000000003</v>
      </c>
      <c r="F457" s="188">
        <v>373</v>
      </c>
      <c r="G457" s="187">
        <v>380.0996205714286</v>
      </c>
      <c r="H457" s="188">
        <v>7.099620571428602</v>
      </c>
      <c r="I457" s="187" t="s">
        <v>2015</v>
      </c>
      <c r="J457" s="188" t="s">
        <v>2016</v>
      </c>
    </row>
    <row r="458" spans="1:10" ht="15.75" thickBot="1">
      <c r="A458" s="264"/>
      <c r="B458" s="206">
        <v>13</v>
      </c>
      <c r="C458" s="186">
        <v>0.52</v>
      </c>
      <c r="D458" s="186">
        <v>1</v>
      </c>
      <c r="E458" s="186">
        <v>0.51</v>
      </c>
      <c r="F458" s="188">
        <v>418.68</v>
      </c>
      <c r="G458" s="187">
        <v>420.129189</v>
      </c>
      <c r="H458" s="188">
        <v>1.4491889999999901</v>
      </c>
      <c r="I458" s="187" t="s">
        <v>2015</v>
      </c>
      <c r="J458" s="188" t="s">
        <v>2016</v>
      </c>
    </row>
    <row r="459" spans="1:10" ht="15.75" thickBot="1">
      <c r="A459" s="264"/>
      <c r="B459" s="206">
        <v>14</v>
      </c>
      <c r="C459" s="186">
        <v>0.53</v>
      </c>
      <c r="D459" s="186">
        <v>1.0349999999999999</v>
      </c>
      <c r="E459" s="186">
        <v>0.46500000000000002</v>
      </c>
      <c r="F459" s="188">
        <v>373</v>
      </c>
      <c r="G459" s="187">
        <v>381.62167599999998</v>
      </c>
      <c r="H459" s="188">
        <v>8.6216759999999795</v>
      </c>
      <c r="I459" s="187" t="s">
        <v>2014</v>
      </c>
      <c r="J459" s="188" t="s">
        <v>2016</v>
      </c>
    </row>
    <row r="460" spans="1:10" ht="15.75" thickBot="1">
      <c r="A460" s="264"/>
      <c r="B460" s="206">
        <v>15</v>
      </c>
      <c r="C460" s="186">
        <v>0.52</v>
      </c>
      <c r="D460" s="186">
        <v>0.95499999999999996</v>
      </c>
      <c r="E460" s="186">
        <v>0.53</v>
      </c>
      <c r="F460" s="188">
        <v>279.43</v>
      </c>
      <c r="G460" s="187">
        <v>290.82074750000004</v>
      </c>
      <c r="H460" s="188">
        <v>11.390747500000032</v>
      </c>
      <c r="I460" s="187" t="s">
        <v>2014</v>
      </c>
      <c r="J460" s="188" t="s">
        <v>2017</v>
      </c>
    </row>
    <row r="461" spans="1:10" ht="15.75" thickBot="1">
      <c r="A461" s="264"/>
      <c r="B461" s="206">
        <v>16</v>
      </c>
      <c r="C461" s="186">
        <v>0.495</v>
      </c>
      <c r="D461" s="186">
        <v>1.02</v>
      </c>
      <c r="E461" s="186">
        <v>0.495</v>
      </c>
      <c r="F461" s="188">
        <v>279.43</v>
      </c>
      <c r="G461" s="187">
        <v>280.73242066666666</v>
      </c>
      <c r="H461" s="188">
        <v>1.3024206666666487</v>
      </c>
      <c r="I461" s="187" t="s">
        <v>2015</v>
      </c>
      <c r="J461" s="188" t="s">
        <v>2016</v>
      </c>
    </row>
    <row r="462" spans="1:10" ht="15.75" thickBot="1">
      <c r="A462" s="264" t="s">
        <v>1722</v>
      </c>
      <c r="B462" s="206">
        <v>1</v>
      </c>
      <c r="C462" s="186">
        <v>0.69</v>
      </c>
      <c r="D462" s="186">
        <v>1.0249999999999999</v>
      </c>
      <c r="E462" s="186">
        <v>0.8</v>
      </c>
      <c r="F462" s="188">
        <v>418.68</v>
      </c>
      <c r="G462" s="187">
        <v>213.560834</v>
      </c>
      <c r="H462" s="188">
        <v>205.11916600000001</v>
      </c>
      <c r="I462" s="187" t="s">
        <v>2015</v>
      </c>
      <c r="J462" s="188" t="s">
        <v>2017</v>
      </c>
    </row>
    <row r="463" spans="1:10" ht="15.75" thickBot="1">
      <c r="A463" s="264"/>
      <c r="B463" s="206">
        <v>2</v>
      </c>
      <c r="C463" s="186">
        <v>0.5</v>
      </c>
      <c r="D463" s="186">
        <v>1.01</v>
      </c>
      <c r="E463" s="186">
        <v>0.5</v>
      </c>
      <c r="F463" s="188">
        <v>558.87</v>
      </c>
      <c r="G463" s="187">
        <v>554.3981685</v>
      </c>
      <c r="H463" s="188">
        <v>4.4718315000000075</v>
      </c>
      <c r="I463" s="187" t="s">
        <v>2014</v>
      </c>
      <c r="J463" s="188" t="s">
        <v>2016</v>
      </c>
    </row>
    <row r="464" spans="1:10" ht="15.75" thickBot="1">
      <c r="A464" s="264"/>
      <c r="B464" s="206">
        <v>3</v>
      </c>
      <c r="C464" s="186">
        <v>0.52</v>
      </c>
      <c r="D464" s="186">
        <v>1.02</v>
      </c>
      <c r="E464" s="186">
        <v>0.47</v>
      </c>
      <c r="F464" s="188">
        <v>418.68</v>
      </c>
      <c r="G464" s="187">
        <v>417.90084966666672</v>
      </c>
      <c r="H464" s="188">
        <v>0.7791503333332912</v>
      </c>
      <c r="I464" s="187" t="s">
        <v>2014</v>
      </c>
      <c r="J464" s="188" t="s">
        <v>2016</v>
      </c>
    </row>
    <row r="465" spans="1:10" ht="15.75" thickBot="1">
      <c r="A465" s="264"/>
      <c r="B465" s="206">
        <v>4</v>
      </c>
      <c r="C465" s="186">
        <v>0.54500000000000004</v>
      </c>
      <c r="D465" s="186">
        <v>0.98499999999999999</v>
      </c>
      <c r="E465" s="186">
        <v>0.49</v>
      </c>
      <c r="F465" s="188">
        <v>418.68</v>
      </c>
      <c r="G465" s="187">
        <v>417.73748133333328</v>
      </c>
      <c r="H465" s="188">
        <v>0.94251866666667183</v>
      </c>
      <c r="I465" s="187" t="s">
        <v>2014</v>
      </c>
      <c r="J465" s="188" t="s">
        <v>2016</v>
      </c>
    </row>
    <row r="466" spans="1:10" ht="15.75" thickBot="1">
      <c r="A466" s="264"/>
      <c r="B466" s="206">
        <v>5</v>
      </c>
      <c r="C466" s="186">
        <v>0.48499999999999999</v>
      </c>
      <c r="D466" s="186">
        <v>0.96499999999999997</v>
      </c>
      <c r="E466" s="186">
        <v>0.505</v>
      </c>
      <c r="F466" s="188">
        <v>418.68</v>
      </c>
      <c r="G466" s="187">
        <v>420.67267700000002</v>
      </c>
      <c r="H466" s="188">
        <v>1.9926770000000149</v>
      </c>
      <c r="I466" s="187" t="s">
        <v>2014</v>
      </c>
      <c r="J466" s="188" t="s">
        <v>2016</v>
      </c>
    </row>
    <row r="467" spans="1:10" ht="15.75" thickBot="1">
      <c r="A467" s="264"/>
      <c r="B467" s="206">
        <v>6</v>
      </c>
      <c r="C467" s="186">
        <v>0.505</v>
      </c>
      <c r="D467" s="186">
        <v>0.99</v>
      </c>
      <c r="E467" s="186">
        <v>0.51</v>
      </c>
      <c r="F467" s="188">
        <v>373</v>
      </c>
      <c r="G467" s="187">
        <v>381.81817599999999</v>
      </c>
      <c r="H467" s="188">
        <v>8.818175999999994</v>
      </c>
      <c r="I467" s="187" t="s">
        <v>2014</v>
      </c>
      <c r="J467" s="188" t="s">
        <v>2017</v>
      </c>
    </row>
    <row r="468" spans="1:10" ht="15.75" thickBot="1">
      <c r="A468" s="264"/>
      <c r="B468" s="206">
        <v>7</v>
      </c>
      <c r="C468" s="186">
        <v>0.56000000000000005</v>
      </c>
      <c r="D468" s="186">
        <v>1.02</v>
      </c>
      <c r="E468" s="186">
        <v>0.60499999999999998</v>
      </c>
      <c r="F468" s="188">
        <v>279.43</v>
      </c>
      <c r="G468" s="187">
        <v>282.21884</v>
      </c>
      <c r="H468" s="188">
        <v>2.7888399999999929</v>
      </c>
      <c r="I468" s="187" t="s">
        <v>2014</v>
      </c>
      <c r="J468" s="188" t="s">
        <v>2016</v>
      </c>
    </row>
    <row r="469" spans="1:10" ht="15.75" thickBot="1">
      <c r="A469" s="264"/>
      <c r="B469" s="206">
        <v>8</v>
      </c>
      <c r="C469" s="186">
        <v>0.53</v>
      </c>
      <c r="D469" s="186">
        <v>1.145</v>
      </c>
      <c r="E469" s="186">
        <v>0.375</v>
      </c>
      <c r="F469" s="188">
        <v>279.43</v>
      </c>
      <c r="G469" s="187">
        <v>284.27357514285723</v>
      </c>
      <c r="H469" s="188">
        <v>4.8435751428571621</v>
      </c>
      <c r="I469" s="187" t="s">
        <v>2014</v>
      </c>
      <c r="J469" s="188" t="s">
        <v>2016</v>
      </c>
    </row>
    <row r="470" spans="1:10" ht="15.75" thickBot="1">
      <c r="A470" s="264"/>
      <c r="B470" s="206">
        <v>9</v>
      </c>
      <c r="C470" s="186">
        <v>0.51</v>
      </c>
      <c r="D470" s="186">
        <v>1</v>
      </c>
      <c r="E470" s="186">
        <v>0.49</v>
      </c>
      <c r="F470" s="188">
        <v>373</v>
      </c>
      <c r="G470" s="187">
        <v>390.389568</v>
      </c>
      <c r="H470" s="188">
        <v>17.389568000000001</v>
      </c>
      <c r="I470" s="187" t="s">
        <v>2014</v>
      </c>
      <c r="J470" s="188" t="s">
        <v>2017</v>
      </c>
    </row>
    <row r="471" spans="1:10" ht="15.75" thickBot="1">
      <c r="A471" s="264"/>
      <c r="B471" s="206">
        <v>10</v>
      </c>
      <c r="C471" s="186">
        <v>0.495</v>
      </c>
      <c r="D471" s="186">
        <v>1.0249999999999999</v>
      </c>
      <c r="E471" s="186">
        <v>0.45500000000000002</v>
      </c>
      <c r="F471" s="188">
        <v>279.43</v>
      </c>
      <c r="G471" s="187">
        <v>276.55208149999999</v>
      </c>
      <c r="H471" s="188">
        <v>2.8779185000000211</v>
      </c>
      <c r="I471" s="187" t="s">
        <v>2014</v>
      </c>
      <c r="J471" s="188" t="s">
        <v>2016</v>
      </c>
    </row>
    <row r="472" spans="1:10" ht="15.75" thickBot="1">
      <c r="A472" s="264"/>
      <c r="B472" s="206">
        <v>11</v>
      </c>
      <c r="C472" s="186">
        <v>0.53</v>
      </c>
      <c r="D472" s="186">
        <v>1.02</v>
      </c>
      <c r="E472" s="186">
        <v>0.46500000000000002</v>
      </c>
      <c r="F472" s="188">
        <v>558.87</v>
      </c>
      <c r="G472" s="187">
        <v>564.36214733333338</v>
      </c>
      <c r="H472" s="188">
        <v>5.4921473333333779</v>
      </c>
      <c r="I472" s="187" t="s">
        <v>2014</v>
      </c>
      <c r="J472" s="188" t="s">
        <v>2016</v>
      </c>
    </row>
    <row r="473" spans="1:10" ht="15.75" thickBot="1">
      <c r="A473" s="264"/>
      <c r="B473" s="206">
        <v>12</v>
      </c>
      <c r="C473" s="186">
        <v>0.57999999999999996</v>
      </c>
      <c r="D473" s="186">
        <v>0.96499999999999997</v>
      </c>
      <c r="E473" s="186">
        <v>0.46</v>
      </c>
      <c r="F473" s="188">
        <v>373</v>
      </c>
      <c r="G473" s="187">
        <v>386.96409514285722</v>
      </c>
      <c r="H473" s="188">
        <v>13.964095142857159</v>
      </c>
      <c r="I473" s="187" t="s">
        <v>2014</v>
      </c>
      <c r="J473" s="188" t="s">
        <v>2017</v>
      </c>
    </row>
    <row r="474" spans="1:10" ht="15.75" thickBot="1">
      <c r="A474" s="264"/>
      <c r="B474" s="206">
        <v>13</v>
      </c>
      <c r="C474" s="186">
        <v>0.52</v>
      </c>
      <c r="D474" s="186">
        <v>0.99</v>
      </c>
      <c r="E474" s="186">
        <v>0.495</v>
      </c>
      <c r="F474" s="188">
        <v>418.68</v>
      </c>
      <c r="G474" s="187">
        <v>426.0112676666667</v>
      </c>
      <c r="H474" s="188">
        <v>7.3312676666666903</v>
      </c>
      <c r="I474" s="187" t="s">
        <v>2014</v>
      </c>
      <c r="J474" s="188" t="s">
        <v>2016</v>
      </c>
    </row>
    <row r="475" spans="1:10" ht="15.75" thickBot="1">
      <c r="A475" s="264"/>
      <c r="B475" s="206">
        <v>14</v>
      </c>
      <c r="C475" s="186">
        <v>0.51</v>
      </c>
      <c r="D475" s="186">
        <v>0.98</v>
      </c>
      <c r="E475" s="186">
        <v>0.47499999999999998</v>
      </c>
      <c r="F475" s="188">
        <v>373</v>
      </c>
      <c r="G475" s="187">
        <v>392.05125450000003</v>
      </c>
      <c r="H475" s="188">
        <v>19.051254500000031</v>
      </c>
      <c r="I475" s="187" t="s">
        <v>2014</v>
      </c>
      <c r="J475" s="188" t="s">
        <v>2017</v>
      </c>
    </row>
    <row r="476" spans="1:10" ht="15.75" thickBot="1">
      <c r="A476" s="264"/>
      <c r="B476" s="206">
        <v>15</v>
      </c>
      <c r="C476" s="186">
        <v>0.51</v>
      </c>
      <c r="D476" s="186">
        <v>0.95499999999999996</v>
      </c>
      <c r="E476" s="186">
        <v>0.51500000000000001</v>
      </c>
      <c r="F476" s="188">
        <v>279.43</v>
      </c>
      <c r="G476" s="187">
        <v>285.35687899999999</v>
      </c>
      <c r="H476" s="188">
        <v>5.9268789999999854</v>
      </c>
      <c r="I476" s="187" t="s">
        <v>2014</v>
      </c>
      <c r="J476" s="188" t="s">
        <v>2016</v>
      </c>
    </row>
    <row r="477" spans="1:10" ht="15.75" thickBot="1">
      <c r="A477" s="264"/>
      <c r="B477" s="206">
        <v>16</v>
      </c>
      <c r="C477" s="186">
        <v>0.49</v>
      </c>
      <c r="D477" s="186">
        <v>1.165</v>
      </c>
      <c r="E477" s="186">
        <v>0.38</v>
      </c>
      <c r="F477" s="188">
        <v>279.43</v>
      </c>
      <c r="G477" s="187">
        <v>280.17367349999989</v>
      </c>
      <c r="H477" s="188">
        <v>0.74367349999994303</v>
      </c>
      <c r="I477" s="187" t="s">
        <v>2014</v>
      </c>
      <c r="J477" s="188" t="s">
        <v>2016</v>
      </c>
    </row>
    <row r="478" spans="1:10" ht="15.75" thickBot="1">
      <c r="A478" s="191"/>
      <c r="B478" s="208"/>
      <c r="C478" s="186">
        <v>0.46</v>
      </c>
      <c r="D478" s="186">
        <v>0.98499999999999999</v>
      </c>
      <c r="E478" s="186">
        <v>0.495</v>
      </c>
      <c r="F478" s="188"/>
      <c r="G478" s="187"/>
      <c r="H478" s="188"/>
      <c r="I478" s="187" t="s">
        <v>2014</v>
      </c>
      <c r="J478" s="188"/>
    </row>
  </sheetData>
  <mergeCells count="38">
    <mergeCell ref="A73:A88"/>
    <mergeCell ref="A89:A104"/>
    <mergeCell ref="A105:A120"/>
    <mergeCell ref="A124:A139"/>
    <mergeCell ref="A3:A18"/>
    <mergeCell ref="A22:A37"/>
    <mergeCell ref="A38:A53"/>
    <mergeCell ref="A54:A69"/>
    <mergeCell ref="A226:A241"/>
    <mergeCell ref="A242:A257"/>
    <mergeCell ref="A258:A273"/>
    <mergeCell ref="A277:A292"/>
    <mergeCell ref="A140:A155"/>
    <mergeCell ref="A156:A171"/>
    <mergeCell ref="A175:A190"/>
    <mergeCell ref="A191:A206"/>
    <mergeCell ref="A207:A222"/>
    <mergeCell ref="A293:A308"/>
    <mergeCell ref="A309:A324"/>
    <mergeCell ref="A328:A343"/>
    <mergeCell ref="A344:A359"/>
    <mergeCell ref="A360:A375"/>
    <mergeCell ref="A446:A461"/>
    <mergeCell ref="A462:A477"/>
    <mergeCell ref="A1:J1"/>
    <mergeCell ref="A20:J20"/>
    <mergeCell ref="A71:J71"/>
    <mergeCell ref="A122:J122"/>
    <mergeCell ref="A173:J173"/>
    <mergeCell ref="A224:J224"/>
    <mergeCell ref="A275:J275"/>
    <mergeCell ref="A326:J326"/>
    <mergeCell ref="A379:A394"/>
    <mergeCell ref="A395:A410"/>
    <mergeCell ref="A411:A426"/>
    <mergeCell ref="A430:A445"/>
    <mergeCell ref="A377:J377"/>
    <mergeCell ref="A428:J428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5E519F-7451-4462-92F7-706DDDE2CD60}">
  <dimension ref="A1:P179"/>
  <sheetViews>
    <sheetView topLeftCell="A166" workbookViewId="0">
      <selection sqref="A1:P179"/>
    </sheetView>
  </sheetViews>
  <sheetFormatPr defaultRowHeight="12"/>
  <cols>
    <col min="1" max="1" width="9.140625" style="176"/>
    <col min="2" max="2" width="9.5703125" style="170" customWidth="1"/>
    <col min="3" max="6" width="9.140625" style="170"/>
    <col min="7" max="7" width="9.140625" style="212"/>
    <col min="8" max="16384" width="9.140625" style="170"/>
  </cols>
  <sheetData>
    <row r="1" spans="1:16" ht="12.75" thickBot="1">
      <c r="A1" s="284" t="s">
        <v>1979</v>
      </c>
      <c r="B1" s="284"/>
      <c r="C1" s="284"/>
      <c r="D1" s="284"/>
      <c r="E1" s="284"/>
      <c r="F1" s="284"/>
      <c r="G1" s="284"/>
      <c r="H1" s="284"/>
      <c r="I1" s="284"/>
      <c r="J1" s="284"/>
      <c r="K1" s="284"/>
      <c r="L1" s="284"/>
      <c r="M1" s="284"/>
      <c r="N1" s="284"/>
      <c r="O1" s="284"/>
      <c r="P1" s="284"/>
    </row>
    <row r="2" spans="1:16" ht="24.75" thickBot="1">
      <c r="A2" s="174" t="s">
        <v>1980</v>
      </c>
      <c r="B2" s="63" t="s">
        <v>1789</v>
      </c>
      <c r="C2" s="63" t="s">
        <v>1981</v>
      </c>
      <c r="D2" s="63" t="s">
        <v>1982</v>
      </c>
      <c r="E2" s="63" t="s">
        <v>15</v>
      </c>
      <c r="F2" s="63" t="s">
        <v>1983</v>
      </c>
      <c r="G2" s="210" t="s">
        <v>1984</v>
      </c>
      <c r="H2" s="63" t="s">
        <v>1985</v>
      </c>
      <c r="I2" s="63" t="s">
        <v>1986</v>
      </c>
      <c r="J2" s="63" t="s">
        <v>1987</v>
      </c>
      <c r="K2" s="63" t="s">
        <v>1988</v>
      </c>
      <c r="L2" s="63" t="s">
        <v>1989</v>
      </c>
      <c r="M2" s="63" t="s">
        <v>1990</v>
      </c>
      <c r="N2" s="63" t="s">
        <v>1991</v>
      </c>
      <c r="O2" s="63" t="s">
        <v>1992</v>
      </c>
      <c r="P2" s="63" t="s">
        <v>1993</v>
      </c>
    </row>
    <row r="3" spans="1:16" ht="12.75" thickBot="1">
      <c r="A3" s="175">
        <v>1</v>
      </c>
      <c r="B3" s="171" t="s">
        <v>1785</v>
      </c>
      <c r="C3" s="171">
        <v>359.19</v>
      </c>
      <c r="D3" s="171"/>
      <c r="E3" s="171"/>
      <c r="F3" s="171"/>
      <c r="G3" s="211"/>
      <c r="H3" s="171"/>
      <c r="I3" s="171"/>
      <c r="J3" s="171"/>
      <c r="K3" s="171"/>
      <c r="L3" s="171"/>
      <c r="M3" s="171"/>
      <c r="N3" s="171"/>
      <c r="O3" s="171"/>
      <c r="P3" s="171"/>
    </row>
    <row r="4" spans="1:16" ht="12.75" thickBot="1">
      <c r="A4" s="175">
        <v>2</v>
      </c>
      <c r="B4" s="171" t="s">
        <v>1786</v>
      </c>
      <c r="C4" s="171">
        <v>479.46112721933463</v>
      </c>
      <c r="D4" s="171" t="s">
        <v>1786</v>
      </c>
      <c r="E4" s="171">
        <v>479.45826460120622</v>
      </c>
      <c r="F4" s="171">
        <v>-1.033634738358679E-2</v>
      </c>
      <c r="G4" s="211" t="b">
        <v>1</v>
      </c>
      <c r="H4" s="171">
        <v>1.1839999999999999</v>
      </c>
      <c r="I4" s="171">
        <v>1.6137868480725619</v>
      </c>
      <c r="J4" s="171">
        <v>0.4297868480725624</v>
      </c>
      <c r="K4" s="171">
        <v>1.533786848072562</v>
      </c>
      <c r="L4" s="171">
        <v>3.0534240362811791</v>
      </c>
      <c r="M4" s="171">
        <v>1.519637188208617</v>
      </c>
      <c r="N4" s="171">
        <v>2.1037868480725619</v>
      </c>
      <c r="O4" s="171">
        <v>2.1937868480725622</v>
      </c>
      <c r="P4" s="171">
        <v>8.9999999999999858E-2</v>
      </c>
    </row>
    <row r="5" spans="1:16" ht="12.75" thickBot="1">
      <c r="A5" s="175">
        <v>3</v>
      </c>
      <c r="B5" s="171" t="s">
        <v>1785</v>
      </c>
      <c r="C5" s="171">
        <v>359.19</v>
      </c>
      <c r="D5" s="171" t="s">
        <v>1786</v>
      </c>
      <c r="E5" s="171">
        <v>474.37361234275608</v>
      </c>
      <c r="F5" s="171">
        <v>481.53188987897062</v>
      </c>
      <c r="G5" s="211" t="b">
        <v>0</v>
      </c>
      <c r="H5" s="171">
        <v>2.9790000000000001</v>
      </c>
      <c r="I5" s="171">
        <v>3.0534240362811791</v>
      </c>
      <c r="J5" s="171">
        <v>7.4424036281178996E-2</v>
      </c>
      <c r="K5" s="171">
        <v>2.973424036281179</v>
      </c>
      <c r="L5" s="171">
        <v>4.0867120181405898</v>
      </c>
      <c r="M5" s="171">
        <v>1.113287981859411</v>
      </c>
      <c r="N5" s="171">
        <v>3.7534240362811788</v>
      </c>
      <c r="O5" s="171">
        <v>3.8734240362811789</v>
      </c>
      <c r="P5" s="171">
        <v>0.12000000000000011</v>
      </c>
    </row>
    <row r="6" spans="1:16" ht="12.75" thickBot="1">
      <c r="A6" s="175">
        <v>4</v>
      </c>
      <c r="B6" s="171" t="s">
        <v>1785</v>
      </c>
      <c r="C6" s="171">
        <v>359.19</v>
      </c>
      <c r="D6" s="171" t="s">
        <v>1785</v>
      </c>
      <c r="E6" s="171">
        <v>359.18785545949987</v>
      </c>
      <c r="F6" s="171">
        <v>-1.033634738377899E-2</v>
      </c>
      <c r="G6" s="211" t="b">
        <v>1</v>
      </c>
      <c r="H6" s="171">
        <v>3.8740000000000001</v>
      </c>
      <c r="I6" s="171">
        <v>4.0867120181405898</v>
      </c>
      <c r="J6" s="171">
        <v>0.21271201814058971</v>
      </c>
      <c r="K6" s="171">
        <v>4.0067120181405897</v>
      </c>
      <c r="L6" s="171">
        <v>6.7221768707482994</v>
      </c>
      <c r="M6" s="171">
        <v>2.7154648526077101</v>
      </c>
      <c r="N6" s="171">
        <v>5.3467120181405896</v>
      </c>
      <c r="O6" s="171">
        <v>5.4667120181405897</v>
      </c>
      <c r="P6" s="171">
        <v>0.12000000000000011</v>
      </c>
    </row>
    <row r="7" spans="1:16" ht="12.75" thickBot="1">
      <c r="A7" s="175">
        <v>5</v>
      </c>
      <c r="B7" s="171" t="s">
        <v>1785</v>
      </c>
      <c r="C7" s="171">
        <v>359.19</v>
      </c>
      <c r="D7" s="171"/>
      <c r="E7" s="171"/>
      <c r="F7" s="171"/>
      <c r="G7" s="211"/>
      <c r="H7" s="171"/>
      <c r="I7" s="171"/>
      <c r="J7" s="171"/>
      <c r="K7" s="171"/>
      <c r="L7" s="171"/>
      <c r="M7" s="171"/>
      <c r="N7" s="171"/>
      <c r="O7" s="171"/>
      <c r="P7" s="171"/>
    </row>
    <row r="8" spans="1:16" ht="12.75" thickBot="1">
      <c r="A8" s="175">
        <v>6</v>
      </c>
      <c r="B8" s="171" t="s">
        <v>1787</v>
      </c>
      <c r="C8" s="171">
        <v>320.00191056882852</v>
      </c>
      <c r="D8" s="171" t="s">
        <v>1785</v>
      </c>
      <c r="E8" s="171">
        <v>359.18785545949987</v>
      </c>
      <c r="F8" s="171">
        <v>199.98966365261609</v>
      </c>
      <c r="G8" s="211" t="b">
        <v>0</v>
      </c>
      <c r="H8" s="171">
        <v>6.7009999999999996</v>
      </c>
      <c r="I8" s="171">
        <v>6.7221768707482994</v>
      </c>
      <c r="J8" s="171">
        <v>2.117687074829977E-2</v>
      </c>
      <c r="K8" s="171">
        <v>6.6421768707482993</v>
      </c>
      <c r="L8" s="171">
        <v>8.1385941043083907</v>
      </c>
      <c r="M8" s="171">
        <v>1.4964172335600909</v>
      </c>
      <c r="N8" s="171">
        <v>7.492176870748299</v>
      </c>
      <c r="O8" s="171">
        <v>7.5521768707482986</v>
      </c>
      <c r="P8" s="171">
        <v>6.0000000000000497E-2</v>
      </c>
    </row>
    <row r="9" spans="1:16" ht="12.75" thickBot="1">
      <c r="A9" s="175">
        <v>7</v>
      </c>
      <c r="B9" s="171" t="s">
        <v>1788</v>
      </c>
      <c r="C9" s="171">
        <v>239.73056360966731</v>
      </c>
      <c r="D9" s="171"/>
      <c r="E9" s="171"/>
      <c r="F9" s="171"/>
      <c r="G9" s="211"/>
      <c r="H9" s="171"/>
      <c r="I9" s="171"/>
      <c r="J9" s="171"/>
      <c r="K9" s="171"/>
      <c r="L9" s="171"/>
      <c r="M9" s="171"/>
      <c r="N9" s="171"/>
      <c r="O9" s="171"/>
      <c r="P9" s="171"/>
    </row>
    <row r="10" spans="1:16" ht="12.75" thickBot="1">
      <c r="A10" s="175">
        <v>8</v>
      </c>
      <c r="B10" s="171" t="s">
        <v>1787</v>
      </c>
      <c r="C10" s="171">
        <v>320.00191056882852</v>
      </c>
      <c r="D10" s="171" t="s">
        <v>1787</v>
      </c>
      <c r="E10" s="171">
        <v>323.71822089706632</v>
      </c>
      <c r="F10" s="171">
        <v>19.98966365261607</v>
      </c>
      <c r="G10" s="211" t="b">
        <v>1</v>
      </c>
      <c r="H10" s="171">
        <v>7.5510000000000002</v>
      </c>
      <c r="I10" s="171">
        <v>8.1385941043083907</v>
      </c>
      <c r="J10" s="171">
        <v>0.58759410430839054</v>
      </c>
      <c r="K10" s="171">
        <v>8.0585941043083906</v>
      </c>
      <c r="L10" s="171">
        <v>9.1602721088435377</v>
      </c>
      <c r="M10" s="171">
        <v>1.1016780045351471</v>
      </c>
      <c r="N10" s="171">
        <v>8.458594104308391</v>
      </c>
      <c r="O10" s="171">
        <v>8.5985941043083898</v>
      </c>
      <c r="P10" s="171">
        <v>0.13999999999999879</v>
      </c>
    </row>
    <row r="11" spans="1:16" ht="12.75" thickBot="1">
      <c r="A11" s="175">
        <v>9</v>
      </c>
      <c r="B11" s="171" t="s">
        <v>1788</v>
      </c>
      <c r="C11" s="171">
        <v>239.73056360966731</v>
      </c>
      <c r="D11" s="171"/>
      <c r="E11" s="171"/>
      <c r="F11" s="171"/>
      <c r="G11" s="211"/>
      <c r="H11" s="171"/>
      <c r="I11" s="171"/>
      <c r="J11" s="171"/>
      <c r="K11" s="171"/>
      <c r="L11" s="171"/>
      <c r="M11" s="171"/>
      <c r="N11" s="171"/>
      <c r="O11" s="171"/>
      <c r="P11" s="171"/>
    </row>
    <row r="12" spans="1:16" ht="12.75" thickBot="1">
      <c r="A12" s="175">
        <v>10</v>
      </c>
      <c r="B12" s="171" t="s">
        <v>1786</v>
      </c>
      <c r="C12" s="171">
        <v>479.46112721933463</v>
      </c>
      <c r="D12" s="171"/>
      <c r="E12" s="171"/>
      <c r="F12" s="171"/>
      <c r="G12" s="211"/>
      <c r="H12" s="171"/>
      <c r="I12" s="171"/>
      <c r="J12" s="171"/>
      <c r="K12" s="171"/>
      <c r="L12" s="171"/>
      <c r="M12" s="171"/>
      <c r="N12" s="171"/>
      <c r="O12" s="171"/>
      <c r="P12" s="171"/>
    </row>
    <row r="13" spans="1:16" ht="12.75" thickBot="1">
      <c r="A13" s="175">
        <v>11</v>
      </c>
      <c r="B13" s="171" t="s">
        <v>1787</v>
      </c>
      <c r="C13" s="171">
        <v>320.00191056882852</v>
      </c>
      <c r="D13" s="171"/>
      <c r="E13" s="171"/>
      <c r="F13" s="171"/>
      <c r="G13" s="211"/>
      <c r="H13" s="171"/>
      <c r="I13" s="171"/>
      <c r="J13" s="171"/>
      <c r="K13" s="171"/>
      <c r="L13" s="171"/>
      <c r="M13" s="171"/>
      <c r="N13" s="171"/>
      <c r="O13" s="171"/>
      <c r="P13" s="171"/>
    </row>
    <row r="14" spans="1:16" ht="12.75" thickBot="1">
      <c r="A14" s="175">
        <v>12</v>
      </c>
      <c r="B14" s="171" t="s">
        <v>1785</v>
      </c>
      <c r="C14" s="171">
        <v>359.19</v>
      </c>
      <c r="D14" s="171" t="s">
        <v>1787</v>
      </c>
      <c r="E14" s="171">
        <v>325.59350147331332</v>
      </c>
      <c r="F14" s="171">
        <v>-170.01033634738431</v>
      </c>
      <c r="G14" s="211" t="b">
        <v>0</v>
      </c>
      <c r="H14" s="171">
        <v>12.122999999999999</v>
      </c>
      <c r="I14" s="171">
        <v>12.51555555555556</v>
      </c>
      <c r="J14" s="171">
        <v>0.39255555555555688</v>
      </c>
      <c r="K14" s="171">
        <v>12.43555555555556</v>
      </c>
      <c r="L14" s="171">
        <v>13.79265306122449</v>
      </c>
      <c r="M14" s="171">
        <v>1.3570975056689341</v>
      </c>
      <c r="N14" s="171">
        <v>13.32555555555556</v>
      </c>
      <c r="O14" s="171">
        <v>13.445555555555559</v>
      </c>
      <c r="P14" s="171">
        <v>0.1199999999999992</v>
      </c>
    </row>
    <row r="15" spans="1:16" ht="12.75" thickBot="1">
      <c r="A15" s="175">
        <v>13</v>
      </c>
      <c r="B15" s="171" t="s">
        <v>1787</v>
      </c>
      <c r="C15" s="171">
        <v>320.00191056882852</v>
      </c>
      <c r="D15" s="171" t="s">
        <v>1786</v>
      </c>
      <c r="E15" s="171">
        <v>479.45826460120611</v>
      </c>
      <c r="F15" s="171">
        <v>699.98966365261572</v>
      </c>
      <c r="G15" s="211" t="b">
        <v>0</v>
      </c>
      <c r="H15" s="171">
        <v>14.9</v>
      </c>
      <c r="I15" s="171">
        <v>14.976870748299319</v>
      </c>
      <c r="J15" s="171">
        <v>7.6870748299318947E-2</v>
      </c>
      <c r="K15" s="171">
        <v>14.896870748299319</v>
      </c>
      <c r="L15" s="171">
        <v>15.91727891156463</v>
      </c>
      <c r="M15" s="171">
        <v>1.020408163265307</v>
      </c>
      <c r="N15" s="171">
        <v>15.54687074829932</v>
      </c>
      <c r="O15" s="171">
        <v>15.67687074829932</v>
      </c>
      <c r="P15" s="171">
        <v>0.12999999999999901</v>
      </c>
    </row>
    <row r="16" spans="1:16" ht="12.75" thickBot="1">
      <c r="A16" s="175">
        <v>14</v>
      </c>
      <c r="B16" s="171" t="s">
        <v>1788</v>
      </c>
      <c r="C16" s="171">
        <v>239.73056360966731</v>
      </c>
      <c r="D16" s="171"/>
      <c r="E16" s="171"/>
      <c r="F16" s="171"/>
      <c r="G16" s="211"/>
      <c r="H16" s="171"/>
      <c r="I16" s="171"/>
      <c r="J16" s="171"/>
      <c r="K16" s="171"/>
      <c r="L16" s="171"/>
      <c r="M16" s="171"/>
      <c r="N16" s="171"/>
      <c r="O16" s="171"/>
      <c r="P16" s="171"/>
    </row>
    <row r="17" spans="1:16" ht="12.75" thickBot="1">
      <c r="A17" s="175">
        <v>15</v>
      </c>
      <c r="B17" s="171" t="s">
        <v>1788</v>
      </c>
      <c r="C17" s="171">
        <v>239.73056360966731</v>
      </c>
      <c r="D17" s="171" t="s">
        <v>1787</v>
      </c>
      <c r="E17" s="171">
        <v>323.71822089706632</v>
      </c>
      <c r="F17" s="171">
        <v>519.98966365261606</v>
      </c>
      <c r="G17" s="211" t="b">
        <v>0</v>
      </c>
      <c r="H17" s="171">
        <v>15.845000000000001</v>
      </c>
      <c r="I17" s="171">
        <v>15.91727891156463</v>
      </c>
      <c r="J17" s="171">
        <v>7.2278911564625403E-2</v>
      </c>
      <c r="K17" s="171">
        <v>15.83727891156463</v>
      </c>
      <c r="L17" s="171">
        <v>18.366984126984129</v>
      </c>
      <c r="M17" s="171">
        <v>2.529705215419503</v>
      </c>
      <c r="N17" s="171">
        <v>16.757278911564629</v>
      </c>
      <c r="O17" s="171">
        <v>16.837278911564621</v>
      </c>
      <c r="P17" s="171">
        <v>7.9999999999998295E-2</v>
      </c>
    </row>
    <row r="18" spans="1:16" ht="12.75" thickBot="1"/>
    <row r="19" spans="1:16" ht="12.75" thickBot="1">
      <c r="A19" s="284" t="s">
        <v>1994</v>
      </c>
      <c r="B19" s="284"/>
      <c r="C19" s="284"/>
      <c r="D19" s="284"/>
      <c r="E19" s="284"/>
      <c r="F19" s="284"/>
      <c r="G19" s="284"/>
      <c r="H19" s="284"/>
      <c r="I19" s="284"/>
      <c r="J19" s="284"/>
      <c r="K19" s="284"/>
      <c r="L19" s="284"/>
      <c r="M19" s="284"/>
      <c r="N19" s="284"/>
      <c r="O19" s="284"/>
      <c r="P19" s="284"/>
    </row>
    <row r="20" spans="1:16" ht="24.75" thickBot="1">
      <c r="A20" s="174" t="s">
        <v>1980</v>
      </c>
      <c r="B20" s="63" t="s">
        <v>1789</v>
      </c>
      <c r="C20" s="63" t="s">
        <v>1981</v>
      </c>
      <c r="D20" s="63" t="s">
        <v>1982</v>
      </c>
      <c r="E20" s="63" t="s">
        <v>15</v>
      </c>
      <c r="F20" s="63" t="s">
        <v>1983</v>
      </c>
      <c r="G20" s="210" t="s">
        <v>1984</v>
      </c>
      <c r="H20" s="63" t="s">
        <v>1985</v>
      </c>
      <c r="I20" s="63" t="s">
        <v>1986</v>
      </c>
      <c r="J20" s="63" t="s">
        <v>1987</v>
      </c>
      <c r="K20" s="63" t="s">
        <v>1988</v>
      </c>
      <c r="L20" s="63" t="s">
        <v>1989</v>
      </c>
      <c r="M20" s="63" t="s">
        <v>1990</v>
      </c>
      <c r="N20" s="63" t="s">
        <v>1991</v>
      </c>
      <c r="O20" s="63" t="s">
        <v>1992</v>
      </c>
      <c r="P20" s="63" t="s">
        <v>1993</v>
      </c>
    </row>
    <row r="21" spans="1:16" ht="12.75" thickBot="1">
      <c r="A21" s="175">
        <v>1</v>
      </c>
      <c r="B21" s="171" t="s">
        <v>1785</v>
      </c>
      <c r="C21" s="171">
        <v>367.36</v>
      </c>
      <c r="D21" s="171"/>
      <c r="E21" s="171"/>
      <c r="F21" s="171"/>
      <c r="G21" s="211"/>
      <c r="H21" s="171"/>
      <c r="I21" s="171"/>
      <c r="J21" s="171"/>
      <c r="K21" s="171"/>
      <c r="L21" s="171"/>
      <c r="M21" s="171"/>
      <c r="N21" s="171"/>
      <c r="O21" s="171"/>
      <c r="P21" s="171"/>
    </row>
    <row r="22" spans="1:16" ht="12.75" thickBot="1">
      <c r="A22" s="175">
        <v>2</v>
      </c>
      <c r="B22" s="171" t="s">
        <v>1786</v>
      </c>
      <c r="C22" s="171">
        <v>490.36676882790391</v>
      </c>
      <c r="D22" s="171" t="s">
        <v>1786</v>
      </c>
      <c r="E22" s="171">
        <v>498.9362566006302</v>
      </c>
      <c r="F22" s="171">
        <v>29.993156206771211</v>
      </c>
      <c r="G22" s="211" t="b">
        <v>1</v>
      </c>
      <c r="H22" s="171">
        <v>2.2549999999999999</v>
      </c>
      <c r="I22" s="171">
        <v>2.554195011337868</v>
      </c>
      <c r="J22" s="171">
        <v>0.29919501133786852</v>
      </c>
      <c r="K22" s="171">
        <v>2.4741950113378679</v>
      </c>
      <c r="L22" s="171">
        <v>3.715192743764173</v>
      </c>
      <c r="M22" s="171">
        <v>1.240997732426304</v>
      </c>
      <c r="N22" s="171">
        <v>3.094195011337868</v>
      </c>
      <c r="O22" s="171">
        <v>3.2741950113378682</v>
      </c>
      <c r="P22" s="171">
        <v>0.17999999999999969</v>
      </c>
    </row>
    <row r="23" spans="1:16" ht="12.75" thickBot="1">
      <c r="A23" s="175">
        <v>3</v>
      </c>
      <c r="B23" s="171" t="s">
        <v>1785</v>
      </c>
      <c r="C23" s="171">
        <v>367.36</v>
      </c>
      <c r="D23" s="171"/>
      <c r="E23" s="171"/>
      <c r="F23" s="171"/>
      <c r="G23" s="211"/>
      <c r="H23" s="171"/>
      <c r="I23" s="171"/>
      <c r="J23" s="171"/>
      <c r="K23" s="171"/>
      <c r="L23" s="171"/>
      <c r="M23" s="171"/>
      <c r="N23" s="171"/>
      <c r="O23" s="171"/>
      <c r="P23" s="171"/>
    </row>
    <row r="24" spans="1:16" ht="12.75" thickBot="1">
      <c r="A24" s="175">
        <v>4</v>
      </c>
      <c r="B24" s="171" t="s">
        <v>1785</v>
      </c>
      <c r="C24" s="171">
        <v>367.36</v>
      </c>
      <c r="D24" s="171" t="s">
        <v>1785</v>
      </c>
      <c r="E24" s="171">
        <v>367.35854778103942</v>
      </c>
      <c r="F24" s="171">
        <v>-6.8437932290614468E-3</v>
      </c>
      <c r="G24" s="211" t="b">
        <v>1</v>
      </c>
      <c r="H24" s="171">
        <v>4.24</v>
      </c>
      <c r="I24" s="171">
        <v>4.702040816326531</v>
      </c>
      <c r="J24" s="171">
        <v>0.46204081632653082</v>
      </c>
      <c r="K24" s="171">
        <v>4.622040816326531</v>
      </c>
      <c r="L24" s="171">
        <v>7.1053061224489804</v>
      </c>
      <c r="M24" s="171">
        <v>2.483265306122449</v>
      </c>
      <c r="N24" s="171">
        <v>5.662040816326531</v>
      </c>
      <c r="O24" s="171">
        <v>5.8620408163265312</v>
      </c>
      <c r="P24" s="171">
        <v>0.20000000000000021</v>
      </c>
    </row>
    <row r="25" spans="1:16" ht="12.75" thickBot="1">
      <c r="A25" s="175">
        <v>5</v>
      </c>
      <c r="B25" s="171" t="s">
        <v>1785</v>
      </c>
      <c r="C25" s="171">
        <v>367.36</v>
      </c>
      <c r="D25" s="171"/>
      <c r="E25" s="171"/>
      <c r="F25" s="171"/>
      <c r="G25" s="211"/>
      <c r="H25" s="171"/>
      <c r="I25" s="171"/>
      <c r="J25" s="171"/>
      <c r="K25" s="171"/>
      <c r="L25" s="171"/>
      <c r="M25" s="171"/>
      <c r="N25" s="171"/>
      <c r="O25" s="171"/>
      <c r="P25" s="171"/>
    </row>
    <row r="26" spans="1:16" ht="12.75" thickBot="1">
      <c r="A26" s="175">
        <v>6</v>
      </c>
      <c r="B26" s="171" t="s">
        <v>1787</v>
      </c>
      <c r="C26" s="171">
        <v>327.28055309603502</v>
      </c>
      <c r="D26" s="171" t="s">
        <v>1785</v>
      </c>
      <c r="E26" s="171">
        <v>367.35854778103948</v>
      </c>
      <c r="F26" s="171">
        <v>199.99315620677129</v>
      </c>
      <c r="G26" s="211" t="b">
        <v>0</v>
      </c>
      <c r="H26" s="171">
        <v>6.952</v>
      </c>
      <c r="I26" s="171">
        <v>7.1053061224489804</v>
      </c>
      <c r="J26" s="171">
        <v>0.15330612244897959</v>
      </c>
      <c r="K26" s="171">
        <v>7.0253061224489786</v>
      </c>
      <c r="L26" s="171">
        <v>8.3707936507936509</v>
      </c>
      <c r="M26" s="171">
        <v>1.345487528344671</v>
      </c>
      <c r="N26" s="171">
        <v>7.5953061224489797</v>
      </c>
      <c r="O26" s="171">
        <v>7.7753061224489786</v>
      </c>
      <c r="P26" s="171">
        <v>0.17999999999999969</v>
      </c>
    </row>
    <row r="27" spans="1:16" ht="12.75" thickBot="1">
      <c r="A27" s="175">
        <v>7</v>
      </c>
      <c r="B27" s="171" t="s">
        <v>1788</v>
      </c>
      <c r="C27" s="171">
        <v>245.1833844139519</v>
      </c>
      <c r="D27" s="171" t="s">
        <v>1787</v>
      </c>
      <c r="E27" s="171">
        <v>331.08206113170462</v>
      </c>
      <c r="F27" s="171">
        <v>519.99315620677135</v>
      </c>
      <c r="G27" s="211" t="b">
        <v>0</v>
      </c>
      <c r="H27" s="171">
        <v>7.9269999999999996</v>
      </c>
      <c r="I27" s="171">
        <v>8.3707936507936509</v>
      </c>
      <c r="J27" s="171">
        <v>0.4437936507936513</v>
      </c>
      <c r="K27" s="171">
        <v>8.2907936507936508</v>
      </c>
      <c r="L27" s="171">
        <v>9.5201814058956913</v>
      </c>
      <c r="M27" s="171">
        <v>1.22938775510204</v>
      </c>
      <c r="N27" s="171">
        <v>8.66079365079365</v>
      </c>
      <c r="O27" s="171">
        <v>8.8007936507936506</v>
      </c>
      <c r="P27" s="171">
        <v>0.1400000000000006</v>
      </c>
    </row>
    <row r="28" spans="1:16" ht="12.75" thickBot="1">
      <c r="A28" s="175">
        <v>8</v>
      </c>
      <c r="B28" s="171" t="s">
        <v>1787</v>
      </c>
      <c r="C28" s="171">
        <v>327.28055309603502</v>
      </c>
      <c r="D28" s="171" t="s">
        <v>1788</v>
      </c>
      <c r="E28" s="171">
        <v>248.1031391447776</v>
      </c>
      <c r="F28" s="171">
        <v>-479.50546955946288</v>
      </c>
      <c r="G28" s="211" t="b">
        <v>0</v>
      </c>
      <c r="H28" s="171">
        <v>8.9369999999999994</v>
      </c>
      <c r="I28" s="171">
        <v>9.5201814058956913</v>
      </c>
      <c r="J28" s="171">
        <v>0.5831814058956919</v>
      </c>
      <c r="K28" s="171">
        <v>9.4401814058956912</v>
      </c>
      <c r="L28" s="171">
        <v>10.61151927437642</v>
      </c>
      <c r="M28" s="171">
        <v>1.171337868480727</v>
      </c>
      <c r="N28" s="171">
        <v>10.01018140589569</v>
      </c>
      <c r="O28" s="171">
        <v>10.17018140589569</v>
      </c>
      <c r="P28" s="171">
        <v>0.16000000000000009</v>
      </c>
    </row>
    <row r="29" spans="1:16" ht="12.75" thickBot="1">
      <c r="A29" s="175">
        <v>9</v>
      </c>
      <c r="B29" s="171" t="s">
        <v>1788</v>
      </c>
      <c r="C29" s="171">
        <v>245.1833844139519</v>
      </c>
      <c r="D29" s="171"/>
      <c r="E29" s="171"/>
      <c r="F29" s="171"/>
      <c r="G29" s="211"/>
      <c r="H29" s="171"/>
      <c r="I29" s="171"/>
      <c r="J29" s="171"/>
      <c r="K29" s="171"/>
      <c r="L29" s="171"/>
      <c r="M29" s="171"/>
      <c r="N29" s="171"/>
      <c r="O29" s="171"/>
      <c r="P29" s="171"/>
    </row>
    <row r="30" spans="1:16" ht="12.75" thickBot="1">
      <c r="A30" s="175">
        <v>10</v>
      </c>
      <c r="B30" s="171" t="s">
        <v>1786</v>
      </c>
      <c r="C30" s="171">
        <v>490.36676882790391</v>
      </c>
      <c r="D30" s="171"/>
      <c r="E30" s="171"/>
      <c r="F30" s="171"/>
      <c r="G30" s="211"/>
      <c r="H30" s="171"/>
      <c r="I30" s="171"/>
      <c r="J30" s="171"/>
      <c r="K30" s="171"/>
      <c r="L30" s="171"/>
      <c r="M30" s="171"/>
      <c r="N30" s="171"/>
      <c r="O30" s="171"/>
      <c r="P30" s="171"/>
    </row>
    <row r="31" spans="1:16" ht="12.75" thickBot="1">
      <c r="A31" s="175">
        <v>11</v>
      </c>
      <c r="B31" s="171" t="s">
        <v>1787</v>
      </c>
      <c r="C31" s="171">
        <v>327.28055309603502</v>
      </c>
      <c r="D31" s="171"/>
      <c r="E31" s="171"/>
      <c r="F31" s="171"/>
      <c r="G31" s="211"/>
      <c r="H31" s="171"/>
      <c r="I31" s="171"/>
      <c r="J31" s="171"/>
      <c r="K31" s="171"/>
      <c r="L31" s="171"/>
      <c r="M31" s="171"/>
      <c r="N31" s="171"/>
      <c r="O31" s="171"/>
      <c r="P31" s="171"/>
    </row>
    <row r="32" spans="1:16" ht="12.75" thickBot="1">
      <c r="A32" s="175">
        <v>12</v>
      </c>
      <c r="B32" s="171" t="s">
        <v>1785</v>
      </c>
      <c r="C32" s="171">
        <v>367.36</v>
      </c>
      <c r="D32" s="171" t="s">
        <v>1788</v>
      </c>
      <c r="E32" s="171">
        <v>250.25092013998881</v>
      </c>
      <c r="F32" s="171">
        <v>-664.58300814449728</v>
      </c>
      <c r="G32" s="211" t="b">
        <v>0</v>
      </c>
      <c r="H32" s="171">
        <v>13.634</v>
      </c>
      <c r="I32" s="171">
        <v>14.361541950113381</v>
      </c>
      <c r="J32" s="171">
        <v>0.72754195011337863</v>
      </c>
      <c r="K32" s="171">
        <v>14.281541950113381</v>
      </c>
      <c r="L32" s="171">
        <v>15.557369614512471</v>
      </c>
      <c r="M32" s="171">
        <v>1.275827664399094</v>
      </c>
      <c r="N32" s="171">
        <v>14.781541950113381</v>
      </c>
      <c r="O32" s="171">
        <v>14.96154195011338</v>
      </c>
      <c r="P32" s="171">
        <v>0.17999999999999969</v>
      </c>
    </row>
    <row r="33" spans="1:16" ht="12.75" thickBot="1">
      <c r="A33" s="175">
        <v>13</v>
      </c>
      <c r="B33" s="171" t="s">
        <v>1787</v>
      </c>
      <c r="C33" s="171">
        <v>327.28055309603502</v>
      </c>
      <c r="D33" s="171" t="s">
        <v>1786</v>
      </c>
      <c r="E33" s="171">
        <v>498.9362566006302</v>
      </c>
      <c r="F33" s="171">
        <v>729.99315620677123</v>
      </c>
      <c r="G33" s="211" t="b">
        <v>0</v>
      </c>
      <c r="H33" s="171">
        <v>15.361000000000001</v>
      </c>
      <c r="I33" s="171">
        <v>15.557369614512471</v>
      </c>
      <c r="J33" s="171">
        <v>0.19636961451247181</v>
      </c>
      <c r="K33" s="171">
        <v>15.477369614512471</v>
      </c>
      <c r="L33" s="171">
        <v>16.63709750566893</v>
      </c>
      <c r="M33" s="171">
        <v>1.159727891156461</v>
      </c>
      <c r="N33" s="171">
        <v>15.877369614512469</v>
      </c>
      <c r="O33" s="171">
        <v>15.967369614512471</v>
      </c>
      <c r="P33" s="171">
        <v>8.9999999999999858E-2</v>
      </c>
    </row>
    <row r="34" spans="1:16" ht="12.75" thickBot="1">
      <c r="A34" s="175">
        <v>14</v>
      </c>
      <c r="B34" s="171" t="s">
        <v>1788</v>
      </c>
      <c r="C34" s="171">
        <v>245.1833844139519</v>
      </c>
      <c r="D34" s="171"/>
      <c r="E34" s="171"/>
      <c r="F34" s="171"/>
      <c r="G34" s="211"/>
      <c r="H34" s="171"/>
      <c r="I34" s="171"/>
      <c r="J34" s="171"/>
      <c r="K34" s="171"/>
      <c r="L34" s="171"/>
      <c r="M34" s="171"/>
      <c r="N34" s="171"/>
      <c r="O34" s="171"/>
      <c r="P34" s="171"/>
    </row>
    <row r="35" spans="1:16" ht="12.75" thickBot="1">
      <c r="A35" s="175">
        <v>15</v>
      </c>
      <c r="B35" s="171" t="s">
        <v>1788</v>
      </c>
      <c r="C35" s="171">
        <v>245.1833844139519</v>
      </c>
      <c r="D35" s="171" t="s">
        <v>1787</v>
      </c>
      <c r="E35" s="171">
        <v>331.08206113170468</v>
      </c>
      <c r="F35" s="171">
        <v>519.99315620677157</v>
      </c>
      <c r="G35" s="211" t="b">
        <v>0</v>
      </c>
      <c r="H35" s="171">
        <v>16.346</v>
      </c>
      <c r="I35" s="171">
        <v>16.63709750566893</v>
      </c>
      <c r="J35" s="171">
        <v>0.29109750566893311</v>
      </c>
      <c r="K35" s="171">
        <v>16.557097505668931</v>
      </c>
      <c r="L35" s="171">
        <v>19.086802721088439</v>
      </c>
      <c r="M35" s="171">
        <v>2.5297052154195012</v>
      </c>
      <c r="N35" s="171">
        <v>17.807097505668931</v>
      </c>
      <c r="O35" s="171">
        <v>18.02709750566893</v>
      </c>
      <c r="P35" s="171">
        <v>0.21999999999999889</v>
      </c>
    </row>
    <row r="36" spans="1:16" ht="15.75" thickBot="1">
      <c r="A36" s="177"/>
      <c r="B36" s="172"/>
      <c r="C36" s="172"/>
      <c r="D36" s="172"/>
      <c r="E36" s="172"/>
      <c r="F36" s="172"/>
      <c r="G36" s="213"/>
      <c r="H36" s="172"/>
      <c r="I36" s="172"/>
      <c r="J36" s="172"/>
      <c r="K36" s="172"/>
      <c r="L36" s="172"/>
      <c r="M36" s="172"/>
      <c r="N36" s="172"/>
      <c r="O36" s="172"/>
      <c r="P36" s="172"/>
    </row>
    <row r="37" spans="1:16" ht="15.75" thickBot="1">
      <c r="A37" s="282" t="s">
        <v>1995</v>
      </c>
      <c r="B37" s="283"/>
      <c r="C37" s="283"/>
      <c r="D37" s="283"/>
      <c r="E37" s="283"/>
      <c r="F37" s="283"/>
      <c r="G37" s="283"/>
      <c r="H37" s="283"/>
      <c r="I37" s="283"/>
      <c r="J37" s="283"/>
      <c r="K37" s="283"/>
      <c r="L37" s="283"/>
      <c r="M37" s="283"/>
      <c r="N37" s="283"/>
      <c r="O37" s="283"/>
      <c r="P37" s="283"/>
    </row>
    <row r="38" spans="1:16" ht="24.75" thickBot="1">
      <c r="A38" s="174" t="s">
        <v>1980</v>
      </c>
      <c r="B38" s="63" t="s">
        <v>1789</v>
      </c>
      <c r="C38" s="63" t="s">
        <v>1981</v>
      </c>
      <c r="D38" s="63" t="s">
        <v>1982</v>
      </c>
      <c r="E38" s="63" t="s">
        <v>15</v>
      </c>
      <c r="F38" s="63" t="s">
        <v>1983</v>
      </c>
      <c r="G38" s="210" t="s">
        <v>1984</v>
      </c>
      <c r="H38" s="63" t="s">
        <v>1985</v>
      </c>
      <c r="I38" s="63" t="s">
        <v>1986</v>
      </c>
      <c r="J38" s="63" t="s">
        <v>1987</v>
      </c>
      <c r="K38" s="63" t="s">
        <v>1988</v>
      </c>
      <c r="L38" s="63" t="s">
        <v>1989</v>
      </c>
      <c r="M38" s="63" t="s">
        <v>1990</v>
      </c>
      <c r="N38" s="63" t="s">
        <v>1991</v>
      </c>
      <c r="O38" s="63" t="s">
        <v>1992</v>
      </c>
      <c r="P38" s="63" t="s">
        <v>1993</v>
      </c>
    </row>
    <row r="39" spans="1:16" ht="12.75" thickBot="1">
      <c r="A39" s="175">
        <v>1</v>
      </c>
      <c r="B39" s="171" t="s">
        <v>1785</v>
      </c>
      <c r="C39" s="171">
        <v>372.92</v>
      </c>
      <c r="D39" s="171" t="s">
        <v>1996</v>
      </c>
      <c r="E39" s="171">
        <v>453.84976525597142</v>
      </c>
      <c r="F39" s="171">
        <v>340.01836693406631</v>
      </c>
      <c r="G39" s="211" t="b">
        <v>0</v>
      </c>
      <c r="H39" s="171">
        <v>1.9059999999999999</v>
      </c>
      <c r="I39" s="171">
        <v>1.9853061224489801</v>
      </c>
      <c r="J39" s="171">
        <v>7.9306122448979721E-2</v>
      </c>
      <c r="K39" s="171">
        <v>1.90530612244898</v>
      </c>
      <c r="L39" s="171">
        <v>2.1362358276643989</v>
      </c>
      <c r="M39" s="171">
        <v>0.23092970521541931</v>
      </c>
      <c r="N39" s="171">
        <v>1.9653061224489801</v>
      </c>
      <c r="O39" s="171">
        <v>2.005306122448979</v>
      </c>
      <c r="P39" s="171">
        <v>3.9999999999999807E-2</v>
      </c>
    </row>
    <row r="40" spans="1:16" ht="12.75" thickBot="1">
      <c r="A40" s="175">
        <v>2</v>
      </c>
      <c r="B40" s="171" t="s">
        <v>1786</v>
      </c>
      <c r="C40" s="171">
        <v>497.78847841708932</v>
      </c>
      <c r="D40" s="171" t="s">
        <v>1785</v>
      </c>
      <c r="E40" s="171">
        <v>372.92395638786633</v>
      </c>
      <c r="F40" s="171">
        <v>-499.98163306593358</v>
      </c>
      <c r="G40" s="211" t="b">
        <v>0</v>
      </c>
      <c r="H40" s="171">
        <v>2.528</v>
      </c>
      <c r="I40" s="171">
        <v>2.6935147392290251</v>
      </c>
      <c r="J40" s="171">
        <v>0.16551473922902499</v>
      </c>
      <c r="K40" s="171">
        <v>2.613514739229025</v>
      </c>
      <c r="L40" s="171">
        <v>2.9721541950113379</v>
      </c>
      <c r="M40" s="171">
        <v>0.35863945578231288</v>
      </c>
      <c r="N40" s="171">
        <v>2.6235147392290248</v>
      </c>
      <c r="O40" s="171">
        <v>2.6635147392290248</v>
      </c>
      <c r="P40" s="171">
        <v>4.0000000000000042E-2</v>
      </c>
    </row>
    <row r="41" spans="1:16" ht="12.75" thickBot="1">
      <c r="A41" s="175">
        <v>3</v>
      </c>
      <c r="B41" s="171" t="s">
        <v>1785</v>
      </c>
      <c r="C41" s="171">
        <v>372.92</v>
      </c>
      <c r="D41" s="171"/>
      <c r="E41" s="171"/>
      <c r="F41" s="171"/>
      <c r="G41" s="211"/>
      <c r="H41" s="171"/>
      <c r="I41" s="171"/>
      <c r="J41" s="171"/>
      <c r="K41" s="171"/>
      <c r="L41" s="171"/>
      <c r="M41" s="171"/>
      <c r="N41" s="171"/>
      <c r="O41" s="171"/>
      <c r="P41" s="171"/>
    </row>
    <row r="42" spans="1:16" ht="12.75" thickBot="1">
      <c r="A42" s="175">
        <v>4</v>
      </c>
      <c r="B42" s="171" t="s">
        <v>1785</v>
      </c>
      <c r="C42" s="171">
        <v>372.92</v>
      </c>
      <c r="D42" s="171" t="s">
        <v>1785</v>
      </c>
      <c r="E42" s="171">
        <v>375.08428289001182</v>
      </c>
      <c r="F42" s="171">
        <v>10.01836693406611</v>
      </c>
      <c r="G42" s="211" t="b">
        <v>1</v>
      </c>
      <c r="H42" s="171">
        <v>3.1469999999999998</v>
      </c>
      <c r="I42" s="171">
        <v>3.691972789115646</v>
      </c>
      <c r="J42" s="171">
        <v>0.54497278911564662</v>
      </c>
      <c r="K42" s="171">
        <v>3.6119727891156459</v>
      </c>
      <c r="L42" s="171">
        <v>4.0402721088435376</v>
      </c>
      <c r="M42" s="171">
        <v>0.42829931972789131</v>
      </c>
      <c r="N42" s="171">
        <v>3.8619727891156459</v>
      </c>
      <c r="O42" s="171">
        <v>3.941972789115646</v>
      </c>
      <c r="P42" s="171">
        <v>8.0000000000000071E-2</v>
      </c>
    </row>
    <row r="43" spans="1:16" ht="12.75" thickBot="1">
      <c r="A43" s="175">
        <v>5</v>
      </c>
      <c r="B43" s="171" t="s">
        <v>1785</v>
      </c>
      <c r="C43" s="171">
        <v>372.92</v>
      </c>
      <c r="D43" s="171"/>
      <c r="E43" s="171"/>
      <c r="F43" s="171"/>
      <c r="G43" s="211"/>
      <c r="H43" s="171"/>
      <c r="I43" s="171"/>
      <c r="J43" s="171"/>
      <c r="K43" s="171"/>
      <c r="L43" s="171"/>
      <c r="M43" s="171"/>
      <c r="N43" s="171"/>
      <c r="O43" s="171"/>
      <c r="P43" s="171"/>
    </row>
    <row r="44" spans="1:16" ht="12.75" thickBot="1">
      <c r="A44" s="175">
        <v>6</v>
      </c>
      <c r="B44" s="171" t="s">
        <v>1787</v>
      </c>
      <c r="C44" s="171">
        <v>332.23394996889527</v>
      </c>
      <c r="D44" s="171"/>
      <c r="E44" s="171"/>
      <c r="F44" s="171"/>
      <c r="G44" s="211"/>
      <c r="H44" s="171"/>
      <c r="I44" s="171"/>
      <c r="J44" s="171"/>
      <c r="K44" s="171"/>
      <c r="L44" s="171"/>
      <c r="M44" s="171"/>
      <c r="N44" s="171"/>
      <c r="O44" s="171"/>
      <c r="P44" s="171"/>
    </row>
    <row r="45" spans="1:16" ht="12.75" thickBot="1">
      <c r="A45" s="175">
        <v>7</v>
      </c>
      <c r="B45" s="171" t="s">
        <v>1788</v>
      </c>
      <c r="C45" s="171">
        <v>248.8942392085446</v>
      </c>
      <c r="D45" s="171"/>
      <c r="E45" s="171"/>
      <c r="F45" s="171"/>
      <c r="G45" s="211"/>
      <c r="H45" s="171"/>
      <c r="I45" s="171"/>
      <c r="J45" s="171"/>
      <c r="K45" s="171"/>
      <c r="L45" s="171"/>
      <c r="M45" s="171"/>
      <c r="N45" s="171"/>
      <c r="O45" s="171"/>
      <c r="P45" s="171"/>
    </row>
    <row r="46" spans="1:16" ht="12.75" thickBot="1">
      <c r="A46" s="175">
        <v>8</v>
      </c>
      <c r="B46" s="171" t="s">
        <v>1787</v>
      </c>
      <c r="C46" s="171">
        <v>332.23394996889527</v>
      </c>
      <c r="D46" s="171" t="s">
        <v>1997</v>
      </c>
      <c r="E46" s="171">
        <v>343.95380395266562</v>
      </c>
      <c r="F46" s="171">
        <v>60.018366934066513</v>
      </c>
      <c r="G46" s="211" t="b">
        <v>0</v>
      </c>
      <c r="H46" s="171">
        <v>6.81</v>
      </c>
      <c r="I46" s="171">
        <v>7.0588662131519273</v>
      </c>
      <c r="J46" s="171">
        <v>0.2488662131519277</v>
      </c>
      <c r="K46" s="171">
        <v>6.9788662131519272</v>
      </c>
      <c r="L46" s="171">
        <v>7.2097959183673472</v>
      </c>
      <c r="M46" s="171">
        <v>0.23092970521542</v>
      </c>
      <c r="N46" s="171">
        <v>7.0688662131519271</v>
      </c>
      <c r="O46" s="171">
        <v>7.1188662131519269</v>
      </c>
      <c r="P46" s="171">
        <v>4.9999999999999822E-2</v>
      </c>
    </row>
    <row r="47" spans="1:16" ht="12.75" thickBot="1">
      <c r="A47" s="175">
        <v>9</v>
      </c>
      <c r="B47" s="171" t="s">
        <v>1788</v>
      </c>
      <c r="C47" s="171">
        <v>248.8942392085446</v>
      </c>
      <c r="D47" s="171" t="s">
        <v>1997</v>
      </c>
      <c r="E47" s="171">
        <v>343.25461755133279</v>
      </c>
      <c r="F47" s="171">
        <v>556.49554711862788</v>
      </c>
      <c r="G47" s="211" t="b">
        <v>0</v>
      </c>
      <c r="H47" s="171">
        <v>7.9580000000000002</v>
      </c>
      <c r="I47" s="171">
        <v>8.0108843537414973</v>
      </c>
      <c r="J47" s="171">
        <v>5.2884353741497143E-2</v>
      </c>
      <c r="K47" s="171">
        <v>7.9308843537414973</v>
      </c>
      <c r="L47" s="171">
        <v>8.78875283446712</v>
      </c>
      <c r="M47" s="171">
        <v>0.85786848072562272</v>
      </c>
      <c r="N47" s="171">
        <v>8.0408843537414967</v>
      </c>
      <c r="O47" s="171">
        <v>8.3808843537414965</v>
      </c>
      <c r="P47" s="171">
        <v>0.33999999999999991</v>
      </c>
    </row>
    <row r="48" spans="1:16" ht="12.75" thickBot="1">
      <c r="A48" s="175">
        <v>10</v>
      </c>
      <c r="B48" s="171" t="s">
        <v>1786</v>
      </c>
      <c r="C48" s="171">
        <v>497.78847841708932</v>
      </c>
      <c r="D48" s="171"/>
      <c r="E48" s="171"/>
      <c r="F48" s="171"/>
      <c r="G48" s="211"/>
      <c r="H48" s="171"/>
      <c r="I48" s="171"/>
      <c r="J48" s="171"/>
      <c r="K48" s="171"/>
      <c r="L48" s="171"/>
      <c r="M48" s="171"/>
      <c r="N48" s="171"/>
      <c r="O48" s="171"/>
      <c r="P48" s="171"/>
    </row>
    <row r="49" spans="1:16" ht="12.75" thickBot="1">
      <c r="A49" s="175">
        <v>11</v>
      </c>
      <c r="B49" s="171" t="s">
        <v>1787</v>
      </c>
      <c r="C49" s="171">
        <v>332.23394996889527</v>
      </c>
      <c r="D49" s="171" t="s">
        <v>1998</v>
      </c>
      <c r="E49" s="171">
        <v>524.35655026333461</v>
      </c>
      <c r="F49" s="171">
        <v>790.01836693406642</v>
      </c>
      <c r="G49" s="211" t="b">
        <v>0</v>
      </c>
      <c r="H49" s="171">
        <v>8.58</v>
      </c>
      <c r="I49" s="171">
        <v>8.78875283446712</v>
      </c>
      <c r="J49" s="171">
        <v>0.2087528344671199</v>
      </c>
      <c r="K49" s="171">
        <v>8.7087528344671199</v>
      </c>
      <c r="L49" s="171">
        <v>9.6711111111111112</v>
      </c>
      <c r="M49" s="171">
        <v>0.96235827664399132</v>
      </c>
      <c r="N49" s="171">
        <v>9.3987528344671194</v>
      </c>
      <c r="O49" s="171">
        <v>9.4387528344671203</v>
      </c>
      <c r="P49" s="171">
        <v>4.0000000000000917E-2</v>
      </c>
    </row>
    <row r="50" spans="1:16" ht="12.75" thickBot="1">
      <c r="A50" s="175">
        <v>12</v>
      </c>
      <c r="B50" s="171" t="s">
        <v>1785</v>
      </c>
      <c r="C50" s="171">
        <v>372.92</v>
      </c>
      <c r="D50" s="171" t="s">
        <v>1785</v>
      </c>
      <c r="E50" s="171">
        <v>368.64055941487783</v>
      </c>
      <c r="F50" s="171">
        <v>-19.98163306593338</v>
      </c>
      <c r="G50" s="211" t="b">
        <v>1</v>
      </c>
      <c r="H50" s="171">
        <v>9.8360000000000003</v>
      </c>
      <c r="I50" s="171">
        <v>10.681179138321999</v>
      </c>
      <c r="J50" s="171">
        <v>0.84517913832199554</v>
      </c>
      <c r="K50" s="171">
        <v>10.601179138321999</v>
      </c>
      <c r="L50" s="171">
        <v>11.621587301587301</v>
      </c>
      <c r="M50" s="171">
        <v>1.020408163265305</v>
      </c>
      <c r="N50" s="171">
        <v>10.731179138322</v>
      </c>
      <c r="O50" s="171">
        <v>11.001179138322</v>
      </c>
      <c r="P50" s="171">
        <v>0.26999999999999957</v>
      </c>
    </row>
    <row r="51" spans="1:16" ht="12.75" thickBot="1">
      <c r="A51" s="175">
        <v>13</v>
      </c>
      <c r="B51" s="171" t="s">
        <v>1787</v>
      </c>
      <c r="C51" s="171">
        <v>332.23394996889527</v>
      </c>
      <c r="D51" s="171"/>
      <c r="E51" s="171"/>
      <c r="F51" s="171"/>
      <c r="G51" s="211"/>
      <c r="H51" s="171"/>
      <c r="I51" s="171"/>
      <c r="J51" s="171"/>
      <c r="K51" s="171"/>
      <c r="L51" s="171"/>
      <c r="M51" s="171"/>
      <c r="N51" s="171"/>
      <c r="O51" s="171"/>
      <c r="P51" s="171"/>
    </row>
    <row r="52" spans="1:16" ht="12.75" thickBot="1">
      <c r="A52" s="175">
        <v>14</v>
      </c>
      <c r="B52" s="171" t="s">
        <v>1788</v>
      </c>
      <c r="C52" s="171">
        <v>248.8942392085446</v>
      </c>
      <c r="D52" s="171" t="s">
        <v>1999</v>
      </c>
      <c r="E52" s="171">
        <v>309.98852492909469</v>
      </c>
      <c r="F52" s="171">
        <v>380.01836693406631</v>
      </c>
      <c r="G52" s="211" t="b">
        <v>0</v>
      </c>
      <c r="H52" s="171">
        <v>11.606</v>
      </c>
      <c r="I52" s="171">
        <v>11.621587301587301</v>
      </c>
      <c r="J52" s="171">
        <v>1.558730158730093E-2</v>
      </c>
      <c r="K52" s="171">
        <v>11.541587301587301</v>
      </c>
      <c r="L52" s="171">
        <v>12.260136054421769</v>
      </c>
      <c r="M52" s="171">
        <v>0.71854875283446873</v>
      </c>
      <c r="N52" s="171">
        <v>11.5915873015873</v>
      </c>
      <c r="O52" s="171">
        <v>11.6415873015873</v>
      </c>
      <c r="P52" s="171">
        <v>4.9999999999998927E-2</v>
      </c>
    </row>
    <row r="53" spans="1:16" ht="12.75" thickBot="1">
      <c r="A53" s="175">
        <v>15</v>
      </c>
      <c r="B53" s="171" t="s">
        <v>1788</v>
      </c>
      <c r="C53" s="171">
        <v>248.8942392085446</v>
      </c>
      <c r="D53" s="171" t="s">
        <v>1787</v>
      </c>
      <c r="E53" s="171">
        <v>340.0031575609213</v>
      </c>
      <c r="F53" s="171">
        <v>540.01836693406631</v>
      </c>
      <c r="G53" s="211" t="b">
        <v>0</v>
      </c>
      <c r="H53" s="171">
        <v>12.225</v>
      </c>
      <c r="I53" s="171">
        <v>12.260136054421769</v>
      </c>
      <c r="J53" s="171">
        <v>3.5136054421769813E-2</v>
      </c>
      <c r="K53" s="171">
        <v>12.180136054421769</v>
      </c>
      <c r="L53" s="171">
        <v>13.89714285714286</v>
      </c>
      <c r="M53" s="171">
        <v>1.717006802721087</v>
      </c>
      <c r="N53" s="171">
        <v>12.56013605442177</v>
      </c>
      <c r="O53" s="171">
        <v>12.770136054421769</v>
      </c>
      <c r="P53" s="171">
        <v>0.2099999999999991</v>
      </c>
    </row>
    <row r="54" spans="1:16" ht="12.75" thickBot="1"/>
    <row r="55" spans="1:16" ht="15.75" customHeight="1" thickBot="1">
      <c r="A55" s="276" t="s">
        <v>2000</v>
      </c>
      <c r="B55" s="277"/>
      <c r="C55" s="277"/>
      <c r="D55" s="277"/>
      <c r="E55" s="277"/>
      <c r="F55" s="277"/>
      <c r="G55" s="277"/>
      <c r="H55" s="277"/>
      <c r="I55" s="277"/>
      <c r="J55" s="277"/>
      <c r="K55" s="277"/>
      <c r="L55" s="277"/>
      <c r="M55" s="277"/>
      <c r="N55" s="277"/>
      <c r="O55" s="277"/>
      <c r="P55" s="277"/>
    </row>
    <row r="56" spans="1:16" ht="24.75" thickBot="1">
      <c r="A56" s="174" t="s">
        <v>1980</v>
      </c>
      <c r="B56" s="63" t="s">
        <v>1789</v>
      </c>
      <c r="C56" s="63" t="s">
        <v>1981</v>
      </c>
      <c r="D56" s="63" t="s">
        <v>1982</v>
      </c>
      <c r="E56" s="63" t="s">
        <v>15</v>
      </c>
      <c r="F56" s="63" t="s">
        <v>1983</v>
      </c>
      <c r="G56" s="210" t="s">
        <v>1984</v>
      </c>
      <c r="H56" s="63" t="s">
        <v>1985</v>
      </c>
      <c r="I56" s="63" t="s">
        <v>1986</v>
      </c>
      <c r="J56" s="63" t="s">
        <v>1987</v>
      </c>
      <c r="K56" s="63" t="s">
        <v>1988</v>
      </c>
      <c r="L56" s="63" t="s">
        <v>1989</v>
      </c>
      <c r="M56" s="63" t="s">
        <v>1990</v>
      </c>
      <c r="N56" s="63" t="s">
        <v>1991</v>
      </c>
      <c r="O56" s="63" t="s">
        <v>1992</v>
      </c>
      <c r="P56" s="63" t="s">
        <v>1993</v>
      </c>
    </row>
    <row r="57" spans="1:16" ht="12.75" thickBot="1">
      <c r="A57" s="175">
        <v>1</v>
      </c>
      <c r="B57" s="171" t="s">
        <v>1785</v>
      </c>
      <c r="C57" s="171">
        <v>351.5</v>
      </c>
      <c r="D57" s="171"/>
      <c r="E57" s="171"/>
      <c r="F57" s="171"/>
      <c r="G57" s="211"/>
      <c r="H57" s="171"/>
      <c r="I57" s="171"/>
      <c r="J57" s="171"/>
      <c r="K57" s="171"/>
      <c r="L57" s="171"/>
      <c r="M57" s="171"/>
      <c r="N57" s="171"/>
      <c r="O57" s="171"/>
      <c r="P57" s="171"/>
    </row>
    <row r="58" spans="1:16" ht="12.75" thickBot="1">
      <c r="A58" s="175">
        <v>2</v>
      </c>
      <c r="B58" s="171" t="s">
        <v>1786</v>
      </c>
      <c r="C58" s="171">
        <v>469.19620874076708</v>
      </c>
      <c r="D58" s="171" t="s">
        <v>1785</v>
      </c>
      <c r="E58" s="171">
        <v>351.50169662958263</v>
      </c>
      <c r="F58" s="171">
        <v>-499.99164365344751</v>
      </c>
      <c r="G58" s="211" t="b">
        <v>0</v>
      </c>
      <c r="H58" s="171">
        <v>1.7190000000000001</v>
      </c>
      <c r="I58" s="171">
        <v>2.159455782312925</v>
      </c>
      <c r="J58" s="171">
        <v>0.44045578231292493</v>
      </c>
      <c r="K58" s="171">
        <v>2.0794557823129249</v>
      </c>
      <c r="L58" s="171">
        <v>2.821224489795918</v>
      </c>
      <c r="M58" s="171">
        <v>0.74176870748299351</v>
      </c>
      <c r="N58" s="171">
        <v>2.7194557823129251</v>
      </c>
      <c r="O58" s="171">
        <v>2.7694557823129249</v>
      </c>
      <c r="P58" s="171">
        <v>4.9999999999999822E-2</v>
      </c>
    </row>
    <row r="59" spans="1:16" ht="12.75" thickBot="1">
      <c r="A59" s="175">
        <v>3</v>
      </c>
      <c r="B59" s="171" t="s">
        <v>1785</v>
      </c>
      <c r="C59" s="171">
        <v>351.5</v>
      </c>
      <c r="D59" s="171" t="s">
        <v>1996</v>
      </c>
      <c r="E59" s="171">
        <v>420.42981612276122</v>
      </c>
      <c r="F59" s="171">
        <v>310.00835634655249</v>
      </c>
      <c r="G59" s="211" t="b">
        <v>0</v>
      </c>
      <c r="H59" s="171">
        <v>2.9390000000000001</v>
      </c>
      <c r="I59" s="171">
        <v>2.9489342403628118</v>
      </c>
      <c r="J59" s="171">
        <v>9.9342403628117637E-3</v>
      </c>
      <c r="K59" s="171">
        <v>2.8689342403628122</v>
      </c>
      <c r="L59" s="171">
        <v>3.7268027210884349</v>
      </c>
      <c r="M59" s="171">
        <v>0.85786848072562361</v>
      </c>
      <c r="N59" s="171">
        <v>3.1189342403628122</v>
      </c>
      <c r="O59" s="171">
        <v>3.168934240362812</v>
      </c>
      <c r="P59" s="171">
        <v>4.9999999999999822E-2</v>
      </c>
    </row>
    <row r="60" spans="1:16" ht="12.75" thickBot="1">
      <c r="A60" s="175">
        <v>4</v>
      </c>
      <c r="B60" s="171" t="s">
        <v>1785</v>
      </c>
      <c r="C60" s="171">
        <v>351.5</v>
      </c>
      <c r="D60" s="171" t="s">
        <v>1785</v>
      </c>
      <c r="E60" s="171">
        <v>341.49512564532421</v>
      </c>
      <c r="F60" s="171">
        <v>-49.991643653447753</v>
      </c>
      <c r="G60" s="211" t="b">
        <v>0</v>
      </c>
      <c r="H60" s="171">
        <v>3.5760000000000001</v>
      </c>
      <c r="I60" s="171">
        <v>3.7268027210884349</v>
      </c>
      <c r="J60" s="171">
        <v>0.15080272108843529</v>
      </c>
      <c r="K60" s="171">
        <v>3.6468027210884348</v>
      </c>
      <c r="L60" s="171">
        <v>4.6323809523809523</v>
      </c>
      <c r="M60" s="171">
        <v>0.98557823129251698</v>
      </c>
      <c r="N60" s="171">
        <v>4.4568027210884349</v>
      </c>
      <c r="O60" s="171">
        <v>4.536802721088435</v>
      </c>
      <c r="P60" s="171">
        <v>8.0000000000000071E-2</v>
      </c>
    </row>
    <row r="61" spans="1:16" ht="12.75" thickBot="1">
      <c r="A61" s="175">
        <v>5</v>
      </c>
      <c r="B61" s="171" t="s">
        <v>1785</v>
      </c>
      <c r="C61" s="171">
        <v>351.5</v>
      </c>
      <c r="D61" s="171"/>
      <c r="E61" s="171"/>
      <c r="F61" s="171"/>
      <c r="G61" s="211"/>
      <c r="H61" s="171"/>
      <c r="I61" s="171"/>
      <c r="J61" s="171"/>
      <c r="K61" s="171"/>
      <c r="L61" s="171"/>
      <c r="M61" s="171"/>
      <c r="N61" s="171"/>
      <c r="O61" s="171"/>
      <c r="P61" s="171"/>
    </row>
    <row r="62" spans="1:16" ht="12.75" thickBot="1">
      <c r="A62" s="175">
        <v>6</v>
      </c>
      <c r="B62" s="171" t="s">
        <v>1787</v>
      </c>
      <c r="C62" s="171">
        <v>313.15089942632932</v>
      </c>
      <c r="D62" s="171"/>
      <c r="E62" s="171"/>
      <c r="F62" s="171"/>
      <c r="G62" s="211"/>
      <c r="H62" s="171"/>
      <c r="I62" s="171"/>
      <c r="J62" s="171"/>
      <c r="K62" s="171"/>
      <c r="L62" s="171"/>
      <c r="M62" s="171"/>
      <c r="N62" s="171"/>
      <c r="O62" s="171"/>
      <c r="P62" s="171"/>
    </row>
    <row r="63" spans="1:16" ht="12.75" thickBot="1">
      <c r="A63" s="175">
        <v>7</v>
      </c>
      <c r="B63" s="171" t="s">
        <v>1788</v>
      </c>
      <c r="C63" s="171">
        <v>234.59810437038351</v>
      </c>
      <c r="D63" s="171"/>
      <c r="E63" s="171"/>
      <c r="F63" s="171"/>
      <c r="G63" s="211"/>
      <c r="H63" s="171"/>
      <c r="I63" s="171"/>
      <c r="J63" s="171"/>
      <c r="K63" s="171"/>
      <c r="L63" s="171"/>
      <c r="M63" s="171"/>
      <c r="N63" s="171"/>
      <c r="O63" s="171"/>
      <c r="P63" s="171"/>
    </row>
    <row r="64" spans="1:16" ht="12.75" thickBot="1">
      <c r="A64" s="175">
        <v>8</v>
      </c>
      <c r="B64" s="171" t="s">
        <v>1787</v>
      </c>
      <c r="C64" s="171">
        <v>313.15089942632932</v>
      </c>
      <c r="D64" s="171" t="s">
        <v>1785</v>
      </c>
      <c r="E64" s="171">
        <v>342.30441429261509</v>
      </c>
      <c r="F64" s="171">
        <v>154.1062494688727</v>
      </c>
      <c r="G64" s="211" t="b">
        <v>0</v>
      </c>
      <c r="H64" s="171">
        <v>6.7539999999999996</v>
      </c>
      <c r="I64" s="171">
        <v>6.9659863945578229</v>
      </c>
      <c r="J64" s="171">
        <v>0.21198639455782331</v>
      </c>
      <c r="K64" s="171">
        <v>6.8859863945578228</v>
      </c>
      <c r="L64" s="171">
        <v>7.767074829931973</v>
      </c>
      <c r="M64" s="171">
        <v>0.88108843537415016</v>
      </c>
      <c r="N64" s="171">
        <v>7.415986394557823</v>
      </c>
      <c r="O64" s="171">
        <v>7.585986394557823</v>
      </c>
      <c r="P64" s="171">
        <v>0.1699999999999999</v>
      </c>
    </row>
    <row r="65" spans="1:16" ht="12.75" thickBot="1">
      <c r="A65" s="175">
        <v>9</v>
      </c>
      <c r="B65" s="171" t="s">
        <v>1788</v>
      </c>
      <c r="C65" s="171">
        <v>234.59810437038351</v>
      </c>
      <c r="D65" s="171" t="s">
        <v>1997</v>
      </c>
      <c r="E65" s="171">
        <v>329.86254801157338</v>
      </c>
      <c r="F65" s="171">
        <v>590.00835634655243</v>
      </c>
      <c r="G65" s="211" t="b">
        <v>0</v>
      </c>
      <c r="H65" s="171">
        <v>8.0749999999999993</v>
      </c>
      <c r="I65" s="171">
        <v>8.3707936507936509</v>
      </c>
      <c r="J65" s="171">
        <v>0.29579365079365161</v>
      </c>
      <c r="K65" s="171">
        <v>8.2907936507936508</v>
      </c>
      <c r="L65" s="171">
        <v>8.4985034013605443</v>
      </c>
      <c r="M65" s="171">
        <v>0.20770975056689339</v>
      </c>
      <c r="N65" s="171">
        <v>8.3007936507936506</v>
      </c>
      <c r="O65" s="171">
        <v>8.3207936507936502</v>
      </c>
      <c r="P65" s="171">
        <v>1.999999999999957E-2</v>
      </c>
    </row>
    <row r="66" spans="1:16" ht="12.75" thickBot="1">
      <c r="A66" s="175">
        <v>10</v>
      </c>
      <c r="B66" s="171" t="s">
        <v>1786</v>
      </c>
      <c r="C66" s="171">
        <v>469.19620874076708</v>
      </c>
      <c r="D66" s="171"/>
      <c r="E66" s="171"/>
      <c r="F66" s="171"/>
      <c r="G66" s="211"/>
      <c r="H66" s="171"/>
      <c r="I66" s="171"/>
      <c r="J66" s="171"/>
      <c r="K66" s="171"/>
      <c r="L66" s="171"/>
      <c r="M66" s="171"/>
      <c r="N66" s="171"/>
      <c r="O66" s="171"/>
      <c r="P66" s="171"/>
    </row>
    <row r="67" spans="1:16" ht="12.75" thickBot="1">
      <c r="A67" s="175">
        <v>11</v>
      </c>
      <c r="B67" s="171" t="s">
        <v>1787</v>
      </c>
      <c r="C67" s="171">
        <v>313.15089942632932</v>
      </c>
      <c r="D67" s="171"/>
      <c r="E67" s="171"/>
      <c r="F67" s="171"/>
      <c r="G67" s="211"/>
      <c r="H67" s="171"/>
      <c r="I67" s="171"/>
      <c r="J67" s="171"/>
      <c r="K67" s="171"/>
      <c r="L67" s="171"/>
      <c r="M67" s="171"/>
      <c r="N67" s="171"/>
      <c r="O67" s="171"/>
      <c r="P67" s="171"/>
    </row>
    <row r="68" spans="1:16" ht="12.75" thickBot="1">
      <c r="A68" s="175">
        <v>12</v>
      </c>
      <c r="B68" s="171" t="s">
        <v>1785</v>
      </c>
      <c r="C68" s="171">
        <v>351.5</v>
      </c>
      <c r="D68" s="171" t="s">
        <v>1788</v>
      </c>
      <c r="E68" s="171">
        <v>237.84169232651499</v>
      </c>
      <c r="F68" s="171">
        <v>-676.22766675022001</v>
      </c>
      <c r="G68" s="211" t="b">
        <v>0</v>
      </c>
      <c r="H68" s="171">
        <v>9.2949999999999999</v>
      </c>
      <c r="I68" s="171">
        <v>9.3460317460317466</v>
      </c>
      <c r="J68" s="171">
        <v>5.103174603174665E-2</v>
      </c>
      <c r="K68" s="171">
        <v>9.2660317460317465</v>
      </c>
      <c r="L68" s="171">
        <v>11.029478458049891</v>
      </c>
      <c r="M68" s="171">
        <v>1.763446712018141</v>
      </c>
      <c r="N68" s="171">
        <v>10.226031746031749</v>
      </c>
      <c r="O68" s="171">
        <v>10.316031746031751</v>
      </c>
      <c r="P68" s="171">
        <v>8.9999999999999858E-2</v>
      </c>
    </row>
    <row r="69" spans="1:16" ht="12.75" thickBot="1">
      <c r="A69" s="175">
        <v>13</v>
      </c>
      <c r="B69" s="171" t="s">
        <v>1787</v>
      </c>
      <c r="C69" s="171">
        <v>313.15089942632932</v>
      </c>
      <c r="D69" s="171"/>
      <c r="E69" s="171"/>
      <c r="F69" s="171"/>
      <c r="G69" s="211"/>
      <c r="H69" s="171"/>
      <c r="I69" s="171"/>
      <c r="J69" s="171"/>
      <c r="K69" s="171"/>
      <c r="L69" s="171"/>
      <c r="M69" s="171"/>
      <c r="N69" s="171"/>
      <c r="O69" s="171"/>
      <c r="P69" s="171"/>
    </row>
    <row r="70" spans="1:16" ht="12.75" thickBot="1">
      <c r="A70" s="175">
        <v>14</v>
      </c>
      <c r="B70" s="171" t="s">
        <v>1788</v>
      </c>
      <c r="C70" s="171">
        <v>234.59810437038351</v>
      </c>
      <c r="D70" s="171" t="s">
        <v>1997</v>
      </c>
      <c r="E70" s="171">
        <v>324.19570687439608</v>
      </c>
      <c r="F70" s="171">
        <v>560.0083563465522</v>
      </c>
      <c r="G70" s="211" t="b">
        <v>0</v>
      </c>
      <c r="H70" s="171">
        <v>11.253</v>
      </c>
      <c r="I70" s="171">
        <v>11.795736961451251</v>
      </c>
      <c r="J70" s="171">
        <v>0.54273696145124717</v>
      </c>
      <c r="K70" s="171">
        <v>11.715736961451251</v>
      </c>
      <c r="L70" s="171">
        <v>12.55038548752835</v>
      </c>
      <c r="M70" s="171">
        <v>0.83464852607709794</v>
      </c>
      <c r="N70" s="171">
        <v>11.91573696145125</v>
      </c>
      <c r="O70" s="171">
        <v>11.98573696145125</v>
      </c>
      <c r="P70" s="171">
        <v>7.0000000000000284E-2</v>
      </c>
    </row>
    <row r="71" spans="1:16" ht="12.75" thickBot="1">
      <c r="A71" s="175">
        <v>15</v>
      </c>
      <c r="B71" s="171" t="s">
        <v>1788</v>
      </c>
      <c r="C71" s="171">
        <v>234.59810437038351</v>
      </c>
      <c r="D71" s="171" t="s">
        <v>1788</v>
      </c>
      <c r="E71" s="171">
        <v>231.9046346764141</v>
      </c>
      <c r="F71" s="171">
        <v>-19.99164365344739</v>
      </c>
      <c r="G71" s="211" t="b">
        <v>1</v>
      </c>
      <c r="H71" s="171">
        <v>12.473000000000001</v>
      </c>
      <c r="I71" s="171">
        <v>12.55038548752835</v>
      </c>
      <c r="J71" s="171">
        <v>7.7385487528344399E-2</v>
      </c>
      <c r="K71" s="171">
        <v>12.47038548752835</v>
      </c>
      <c r="L71" s="171">
        <v>13.305034013605439</v>
      </c>
      <c r="M71" s="171">
        <v>0.83464852607709794</v>
      </c>
      <c r="N71" s="171">
        <v>13.070385487528339</v>
      </c>
      <c r="O71" s="171">
        <v>13.120385487528351</v>
      </c>
      <c r="P71" s="171">
        <v>5.0000000000000711E-2</v>
      </c>
    </row>
    <row r="72" spans="1:16" ht="12.75" thickBot="1"/>
    <row r="73" spans="1:16" ht="15.75" customHeight="1" thickBot="1">
      <c r="A73" s="276" t="s">
        <v>2001</v>
      </c>
      <c r="B73" s="277"/>
      <c r="C73" s="277"/>
      <c r="D73" s="277"/>
      <c r="E73" s="277"/>
      <c r="F73" s="277"/>
      <c r="G73" s="277"/>
      <c r="H73" s="277"/>
      <c r="I73" s="277"/>
      <c r="J73" s="277"/>
      <c r="K73" s="277"/>
      <c r="L73" s="277"/>
      <c r="M73" s="277"/>
      <c r="N73" s="277"/>
      <c r="O73" s="277"/>
      <c r="P73" s="277"/>
    </row>
    <row r="74" spans="1:16" ht="24.75" thickBot="1">
      <c r="A74" s="174" t="s">
        <v>1980</v>
      </c>
      <c r="B74" s="63" t="s">
        <v>1789</v>
      </c>
      <c r="C74" s="63" t="s">
        <v>1981</v>
      </c>
      <c r="D74" s="63" t="s">
        <v>1982</v>
      </c>
      <c r="E74" s="63" t="s">
        <v>15</v>
      </c>
      <c r="F74" s="63" t="s">
        <v>1983</v>
      </c>
      <c r="G74" s="210" t="s">
        <v>1984</v>
      </c>
      <c r="H74" s="63" t="s">
        <v>1985</v>
      </c>
      <c r="I74" s="63" t="s">
        <v>1986</v>
      </c>
      <c r="J74" s="63" t="s">
        <v>1987</v>
      </c>
      <c r="K74" s="63" t="s">
        <v>1988</v>
      </c>
      <c r="L74" s="63" t="s">
        <v>1989</v>
      </c>
      <c r="M74" s="63" t="s">
        <v>1990</v>
      </c>
      <c r="N74" s="63" t="s">
        <v>1991</v>
      </c>
      <c r="O74" s="63" t="s">
        <v>1992</v>
      </c>
      <c r="P74" s="63" t="s">
        <v>1993</v>
      </c>
    </row>
    <row r="75" spans="1:16" ht="12.75" thickBot="1">
      <c r="A75" s="175">
        <v>1</v>
      </c>
      <c r="B75" s="171" t="s">
        <v>1785</v>
      </c>
      <c r="C75" s="171">
        <v>250.5</v>
      </c>
      <c r="D75" s="171"/>
      <c r="E75" s="171"/>
      <c r="F75" s="171"/>
      <c r="G75" s="211"/>
      <c r="H75" s="171"/>
      <c r="I75" s="171"/>
      <c r="J75" s="171"/>
      <c r="K75" s="171"/>
      <c r="L75" s="171"/>
      <c r="M75" s="171"/>
      <c r="N75" s="171"/>
      <c r="O75" s="171"/>
      <c r="P75" s="171"/>
    </row>
    <row r="76" spans="1:16" ht="12.75" thickBot="1">
      <c r="A76" s="175">
        <v>2</v>
      </c>
      <c r="B76" s="171" t="s">
        <v>1786</v>
      </c>
      <c r="C76" s="171">
        <v>334.37738346959361</v>
      </c>
      <c r="D76" s="171"/>
      <c r="E76" s="171"/>
      <c r="F76" s="171"/>
      <c r="G76" s="211"/>
      <c r="H76" s="171"/>
      <c r="I76" s="171"/>
      <c r="J76" s="171"/>
      <c r="K76" s="171"/>
      <c r="L76" s="171"/>
      <c r="M76" s="171"/>
      <c r="N76" s="171"/>
      <c r="O76" s="171"/>
      <c r="P76" s="171"/>
    </row>
    <row r="77" spans="1:16" ht="12.75" thickBot="1">
      <c r="A77" s="175">
        <v>3</v>
      </c>
      <c r="B77" s="171" t="s">
        <v>1785</v>
      </c>
      <c r="C77" s="171">
        <v>250.5</v>
      </c>
      <c r="D77" s="171"/>
      <c r="E77" s="171"/>
      <c r="F77" s="171"/>
      <c r="G77" s="211"/>
      <c r="H77" s="171"/>
      <c r="I77" s="171"/>
      <c r="J77" s="171"/>
      <c r="K77" s="171"/>
      <c r="L77" s="171"/>
      <c r="M77" s="171"/>
      <c r="N77" s="171"/>
      <c r="O77" s="171"/>
      <c r="P77" s="171"/>
    </row>
    <row r="78" spans="1:16" ht="12.75" thickBot="1">
      <c r="A78" s="175">
        <v>4</v>
      </c>
      <c r="B78" s="171" t="s">
        <v>1785</v>
      </c>
      <c r="C78" s="171">
        <v>250.5</v>
      </c>
      <c r="D78" s="171"/>
      <c r="E78" s="171"/>
      <c r="F78" s="171"/>
      <c r="G78" s="211"/>
      <c r="H78" s="171"/>
      <c r="I78" s="171"/>
      <c r="J78" s="171"/>
      <c r="K78" s="171"/>
      <c r="L78" s="171"/>
      <c r="M78" s="171"/>
      <c r="N78" s="171"/>
      <c r="O78" s="171"/>
      <c r="P78" s="171"/>
    </row>
    <row r="79" spans="1:16" ht="12.75" thickBot="1">
      <c r="A79" s="175">
        <v>5</v>
      </c>
      <c r="B79" s="171" t="s">
        <v>1785</v>
      </c>
      <c r="C79" s="171">
        <v>250.5</v>
      </c>
      <c r="D79" s="171" t="s">
        <v>2002</v>
      </c>
      <c r="E79" s="171">
        <v>273.17218703302768</v>
      </c>
      <c r="F79" s="171">
        <v>150.00000000241221</v>
      </c>
      <c r="G79" s="211" t="b">
        <v>0</v>
      </c>
      <c r="H79" s="171">
        <v>5.5259999999999998</v>
      </c>
      <c r="I79" s="171">
        <v>6.1532879818594104</v>
      </c>
      <c r="J79" s="171">
        <v>0.62728798185941059</v>
      </c>
      <c r="K79" s="171">
        <v>6.0732879818594103</v>
      </c>
      <c r="L79" s="171">
        <v>6.2809977324263038</v>
      </c>
      <c r="M79" s="171">
        <v>0.20770975056689339</v>
      </c>
      <c r="N79" s="171">
        <v>6.1932879818594104</v>
      </c>
      <c r="O79" s="171">
        <v>6.21328798185941</v>
      </c>
      <c r="P79" s="171">
        <v>1.999999999999957E-2</v>
      </c>
    </row>
    <row r="80" spans="1:16" ht="12.75" thickBot="1">
      <c r="A80" s="175">
        <v>6</v>
      </c>
      <c r="B80" s="171" t="s">
        <v>1787</v>
      </c>
      <c r="C80" s="171">
        <v>223.170128894155</v>
      </c>
      <c r="D80" s="171"/>
      <c r="E80" s="171"/>
      <c r="F80" s="171"/>
      <c r="G80" s="211"/>
      <c r="H80" s="171"/>
      <c r="I80" s="171"/>
      <c r="J80" s="171"/>
      <c r="K80" s="171"/>
      <c r="L80" s="171"/>
      <c r="M80" s="171"/>
      <c r="N80" s="171"/>
      <c r="O80" s="171"/>
      <c r="P80" s="171"/>
    </row>
    <row r="81" spans="1:16" ht="12.75" thickBot="1">
      <c r="A81" s="175">
        <v>7</v>
      </c>
      <c r="B81" s="171" t="s">
        <v>1788</v>
      </c>
      <c r="C81" s="171">
        <v>167.18869173479681</v>
      </c>
      <c r="D81" s="171"/>
      <c r="E81" s="171"/>
      <c r="F81" s="171"/>
      <c r="G81" s="211"/>
      <c r="H81" s="171"/>
      <c r="I81" s="171"/>
      <c r="J81" s="171"/>
      <c r="K81" s="171"/>
      <c r="L81" s="171"/>
      <c r="M81" s="171"/>
      <c r="N81" s="171"/>
      <c r="O81" s="171"/>
      <c r="P81" s="171"/>
    </row>
    <row r="82" spans="1:16" ht="12.75" thickBot="1">
      <c r="A82" s="175">
        <v>8</v>
      </c>
      <c r="B82" s="171" t="s">
        <v>1787</v>
      </c>
      <c r="C82" s="171">
        <v>223.170128894155</v>
      </c>
      <c r="D82" s="171"/>
      <c r="E82" s="171"/>
      <c r="F82" s="171"/>
      <c r="G82" s="211"/>
      <c r="H82" s="171"/>
      <c r="I82" s="171"/>
      <c r="J82" s="171"/>
      <c r="K82" s="171"/>
      <c r="L82" s="171"/>
      <c r="M82" s="171"/>
      <c r="N82" s="171"/>
      <c r="O82" s="171"/>
      <c r="P82" s="171"/>
    </row>
    <row r="83" spans="1:16" ht="12.75" thickBot="1">
      <c r="A83" s="175">
        <v>9</v>
      </c>
      <c r="B83" s="171" t="s">
        <v>1788</v>
      </c>
      <c r="C83" s="171">
        <v>167.18869173479681</v>
      </c>
      <c r="D83" s="171"/>
      <c r="E83" s="171"/>
      <c r="F83" s="171"/>
      <c r="G83" s="211"/>
      <c r="H83" s="171"/>
      <c r="I83" s="171"/>
      <c r="J83" s="171"/>
      <c r="K83" s="171"/>
      <c r="L83" s="171"/>
      <c r="M83" s="171"/>
      <c r="N83" s="171"/>
      <c r="O83" s="171"/>
      <c r="P83" s="171"/>
    </row>
    <row r="84" spans="1:16" ht="12.75" thickBot="1">
      <c r="A84" s="175">
        <v>10</v>
      </c>
      <c r="B84" s="171" t="s">
        <v>1786</v>
      </c>
      <c r="C84" s="171">
        <v>334.37738346959361</v>
      </c>
      <c r="D84" s="171"/>
      <c r="E84" s="171"/>
      <c r="F84" s="171"/>
      <c r="G84" s="211"/>
      <c r="H84" s="171"/>
      <c r="I84" s="171"/>
      <c r="J84" s="171"/>
      <c r="K84" s="171"/>
      <c r="L84" s="171"/>
      <c r="M84" s="171"/>
      <c r="N84" s="171"/>
      <c r="O84" s="171"/>
      <c r="P84" s="171"/>
    </row>
    <row r="85" spans="1:16" ht="12.75" thickBot="1">
      <c r="A85" s="175">
        <v>11</v>
      </c>
      <c r="B85" s="171" t="s">
        <v>1787</v>
      </c>
      <c r="C85" s="171">
        <v>223.170128894155</v>
      </c>
      <c r="D85" s="171"/>
      <c r="E85" s="171"/>
      <c r="F85" s="171"/>
      <c r="G85" s="211"/>
      <c r="H85" s="171"/>
      <c r="I85" s="171"/>
      <c r="J85" s="171"/>
      <c r="K85" s="171"/>
      <c r="L85" s="171"/>
      <c r="M85" s="171"/>
      <c r="N85" s="171"/>
      <c r="O85" s="171"/>
      <c r="P85" s="171"/>
    </row>
    <row r="86" spans="1:16" ht="12.75" thickBot="1">
      <c r="A86" s="175">
        <v>12</v>
      </c>
      <c r="B86" s="171" t="s">
        <v>1785</v>
      </c>
      <c r="C86" s="171">
        <v>250.5</v>
      </c>
      <c r="D86" s="171"/>
      <c r="E86" s="171"/>
      <c r="F86" s="171"/>
      <c r="G86" s="211"/>
      <c r="H86" s="171"/>
      <c r="I86" s="171"/>
      <c r="J86" s="171"/>
      <c r="K86" s="171"/>
      <c r="L86" s="171"/>
      <c r="M86" s="171"/>
      <c r="N86" s="171"/>
      <c r="O86" s="171"/>
      <c r="P86" s="171"/>
    </row>
    <row r="87" spans="1:16" ht="12.75" thickBot="1">
      <c r="A87" s="175">
        <v>13</v>
      </c>
      <c r="B87" s="171" t="s">
        <v>1787</v>
      </c>
      <c r="C87" s="171">
        <v>223.170128894155</v>
      </c>
      <c r="D87" s="171"/>
      <c r="E87" s="171"/>
      <c r="F87" s="171"/>
      <c r="G87" s="211"/>
      <c r="H87" s="171"/>
      <c r="I87" s="171"/>
      <c r="J87" s="171"/>
      <c r="K87" s="171"/>
      <c r="L87" s="171"/>
      <c r="M87" s="171"/>
      <c r="N87" s="171"/>
      <c r="O87" s="171"/>
      <c r="P87" s="171"/>
    </row>
    <row r="88" spans="1:16" ht="12.75" thickBot="1">
      <c r="A88" s="175">
        <v>14</v>
      </c>
      <c r="B88" s="171" t="s">
        <v>1788</v>
      </c>
      <c r="C88" s="171">
        <v>167.18869173479681</v>
      </c>
      <c r="D88" s="171"/>
      <c r="E88" s="171"/>
      <c r="F88" s="171"/>
      <c r="G88" s="211"/>
      <c r="H88" s="171"/>
      <c r="I88" s="171"/>
      <c r="J88" s="171"/>
      <c r="K88" s="171"/>
      <c r="L88" s="171"/>
      <c r="M88" s="171"/>
      <c r="N88" s="171"/>
      <c r="O88" s="171"/>
      <c r="P88" s="171"/>
    </row>
    <row r="89" spans="1:16" ht="12.75" thickBot="1">
      <c r="A89" s="175">
        <v>15</v>
      </c>
      <c r="B89" s="171" t="s">
        <v>1788</v>
      </c>
      <c r="C89" s="171">
        <v>167.18869173479681</v>
      </c>
      <c r="D89" s="171"/>
      <c r="E89" s="171"/>
      <c r="F89" s="171"/>
      <c r="G89" s="211"/>
      <c r="H89" s="171"/>
      <c r="I89" s="171"/>
      <c r="J89" s="171"/>
      <c r="K89" s="171"/>
      <c r="L89" s="171"/>
      <c r="M89" s="171"/>
      <c r="N89" s="171"/>
      <c r="O89" s="171"/>
      <c r="P89" s="171"/>
    </row>
    <row r="90" spans="1:16" ht="12.75" thickBot="1"/>
    <row r="91" spans="1:16" ht="15.75" customHeight="1" thickBot="1">
      <c r="A91" s="280" t="s">
        <v>2003</v>
      </c>
      <c r="B91" s="281"/>
      <c r="C91" s="281"/>
      <c r="D91" s="281"/>
      <c r="E91" s="281"/>
      <c r="F91" s="281"/>
      <c r="G91" s="281"/>
      <c r="H91" s="281"/>
      <c r="I91" s="281"/>
      <c r="J91" s="281"/>
      <c r="K91" s="281"/>
      <c r="L91" s="281"/>
      <c r="M91" s="281"/>
      <c r="N91" s="281"/>
      <c r="O91" s="281"/>
      <c r="P91" s="281"/>
    </row>
    <row r="92" spans="1:16" ht="24.75" thickBot="1">
      <c r="A92" s="178" t="s">
        <v>1980</v>
      </c>
      <c r="B92" s="173" t="s">
        <v>1789</v>
      </c>
      <c r="C92" s="173" t="s">
        <v>1981</v>
      </c>
      <c r="D92" s="173" t="s">
        <v>1982</v>
      </c>
      <c r="E92" s="173" t="s">
        <v>15</v>
      </c>
      <c r="F92" s="173" t="s">
        <v>1983</v>
      </c>
      <c r="G92" s="214" t="s">
        <v>1984</v>
      </c>
      <c r="H92" s="173" t="s">
        <v>1985</v>
      </c>
      <c r="I92" s="173" t="s">
        <v>1986</v>
      </c>
      <c r="J92" s="173" t="s">
        <v>1987</v>
      </c>
      <c r="K92" s="173" t="s">
        <v>1988</v>
      </c>
      <c r="L92" s="173" t="s">
        <v>1989</v>
      </c>
      <c r="M92" s="173" t="s">
        <v>1990</v>
      </c>
      <c r="N92" s="173" t="s">
        <v>1991</v>
      </c>
      <c r="O92" s="173" t="s">
        <v>1992</v>
      </c>
      <c r="P92" s="173" t="s">
        <v>1993</v>
      </c>
    </row>
    <row r="93" spans="1:16" ht="12.75" thickBot="1">
      <c r="A93" s="175">
        <v>1</v>
      </c>
      <c r="B93" s="171" t="s">
        <v>1785</v>
      </c>
      <c r="C93" s="171">
        <v>278.69</v>
      </c>
      <c r="D93" s="171"/>
      <c r="E93" s="171"/>
      <c r="F93" s="171"/>
      <c r="G93" s="211"/>
      <c r="H93" s="171"/>
      <c r="I93" s="171"/>
      <c r="J93" s="171"/>
      <c r="K93" s="171"/>
      <c r="L93" s="171"/>
      <c r="M93" s="171"/>
      <c r="N93" s="171"/>
      <c r="O93" s="171"/>
      <c r="P93" s="171"/>
    </row>
    <row r="94" spans="1:16" ht="12.75" thickBot="1">
      <c r="A94" s="175">
        <v>2</v>
      </c>
      <c r="B94" s="171" t="s">
        <v>1786</v>
      </c>
      <c r="C94" s="171">
        <v>372.00651895864689</v>
      </c>
      <c r="D94" s="171" t="s">
        <v>2004</v>
      </c>
      <c r="E94" s="171">
        <v>209.66213799911901</v>
      </c>
      <c r="F94" s="171">
        <v>-992.71385792779336</v>
      </c>
      <c r="G94" s="211" t="b">
        <v>0</v>
      </c>
      <c r="H94" s="171">
        <v>1.3360000000000001</v>
      </c>
      <c r="I94" s="171">
        <v>1.393197278911565</v>
      </c>
      <c r="J94" s="171">
        <v>5.7197278911564453E-2</v>
      </c>
      <c r="K94" s="171">
        <v>1.313197278911564</v>
      </c>
      <c r="L94" s="171">
        <v>2.90249433106576</v>
      </c>
      <c r="M94" s="171">
        <v>1.5892970521541949</v>
      </c>
      <c r="N94" s="171">
        <v>2.5631972789115651</v>
      </c>
      <c r="O94" s="171">
        <v>2.673197278911565</v>
      </c>
      <c r="P94" s="171">
        <v>0.1099999999999999</v>
      </c>
    </row>
    <row r="95" spans="1:16" ht="12.75" thickBot="1">
      <c r="A95" s="175">
        <v>3</v>
      </c>
      <c r="B95" s="171" t="s">
        <v>1785</v>
      </c>
      <c r="C95" s="171">
        <v>278.69</v>
      </c>
      <c r="D95" s="171" t="s">
        <v>1785</v>
      </c>
      <c r="E95" s="171">
        <v>278.69039636520353</v>
      </c>
      <c r="F95" s="171">
        <v>2.4622356315357999E-3</v>
      </c>
      <c r="G95" s="211" t="b">
        <v>1</v>
      </c>
      <c r="H95" s="171">
        <v>2.4079999999999999</v>
      </c>
      <c r="I95" s="171">
        <v>2.90249433106576</v>
      </c>
      <c r="J95" s="171">
        <v>0.49449433106575968</v>
      </c>
      <c r="K95" s="171">
        <v>2.82249433106576</v>
      </c>
      <c r="L95" s="171">
        <v>4.1563718820861677</v>
      </c>
      <c r="M95" s="171">
        <v>1.3338775510204079</v>
      </c>
      <c r="N95" s="171">
        <v>3.6424943310657598</v>
      </c>
      <c r="O95" s="171">
        <v>3.722494331065759</v>
      </c>
      <c r="P95" s="171">
        <v>7.9999999999999627E-2</v>
      </c>
    </row>
    <row r="96" spans="1:16" ht="12.75" thickBot="1">
      <c r="A96" s="175">
        <v>4</v>
      </c>
      <c r="B96" s="171" t="s">
        <v>1785</v>
      </c>
      <c r="C96" s="171">
        <v>278.69</v>
      </c>
      <c r="D96" s="171" t="s">
        <v>1785</v>
      </c>
      <c r="E96" s="171">
        <v>270.7566217615539</v>
      </c>
      <c r="F96" s="171">
        <v>-49.997537764368793</v>
      </c>
      <c r="G96" s="211" t="b">
        <v>0</v>
      </c>
      <c r="H96" s="171">
        <v>3.3380000000000001</v>
      </c>
      <c r="I96" s="171">
        <v>4.1563718820861677</v>
      </c>
      <c r="J96" s="171">
        <v>0.81837188208616762</v>
      </c>
      <c r="K96" s="171">
        <v>4.0763718820861676</v>
      </c>
      <c r="L96" s="171">
        <v>6.3158276643990927</v>
      </c>
      <c r="M96" s="171">
        <v>2.2394557823129251</v>
      </c>
      <c r="N96" s="171">
        <v>4.6363718820861681</v>
      </c>
      <c r="O96" s="171">
        <v>4.7063718820861684</v>
      </c>
      <c r="P96" s="171">
        <v>6.9999999999999396E-2</v>
      </c>
    </row>
    <row r="97" spans="1:16" ht="12.75" thickBot="1">
      <c r="A97" s="175">
        <v>5</v>
      </c>
      <c r="B97" s="171" t="s">
        <v>1785</v>
      </c>
      <c r="C97" s="171">
        <v>278.69</v>
      </c>
      <c r="D97" s="171" t="s">
        <v>2005</v>
      </c>
      <c r="E97" s="171">
        <v>197.06386912140209</v>
      </c>
      <c r="F97" s="171">
        <v>-599.99753776436899</v>
      </c>
      <c r="G97" s="211" t="b">
        <v>0</v>
      </c>
      <c r="H97" s="171">
        <v>6.1749999999999998</v>
      </c>
      <c r="I97" s="171">
        <v>6.3158276643990927</v>
      </c>
      <c r="J97" s="171">
        <v>0.14082766439909289</v>
      </c>
      <c r="K97" s="171">
        <v>6.2358276643990926</v>
      </c>
      <c r="L97" s="171">
        <v>6.6873469387755096</v>
      </c>
      <c r="M97" s="171">
        <v>0.45151927437641781</v>
      </c>
      <c r="N97" s="171">
        <v>6.3558276643990927</v>
      </c>
      <c r="O97" s="171">
        <v>6.3758276643990923</v>
      </c>
      <c r="P97" s="171">
        <v>1.999999999999957E-2</v>
      </c>
    </row>
    <row r="98" spans="1:16" ht="12.75" thickBot="1">
      <c r="A98" s="175">
        <v>6</v>
      </c>
      <c r="B98" s="171" t="s">
        <v>1787</v>
      </c>
      <c r="C98" s="171">
        <v>248.28456375853119</v>
      </c>
      <c r="D98" s="171"/>
      <c r="E98" s="171"/>
      <c r="F98" s="171"/>
      <c r="G98" s="211"/>
      <c r="H98" s="171"/>
      <c r="I98" s="171"/>
      <c r="J98" s="171"/>
      <c r="K98" s="171"/>
      <c r="L98" s="171"/>
      <c r="M98" s="171"/>
      <c r="N98" s="171"/>
      <c r="O98" s="171"/>
      <c r="P98" s="171"/>
    </row>
    <row r="99" spans="1:16" ht="12.75" thickBot="1">
      <c r="A99" s="175">
        <v>7</v>
      </c>
      <c r="B99" s="171" t="s">
        <v>1788</v>
      </c>
      <c r="C99" s="171">
        <v>186.00325947932339</v>
      </c>
      <c r="D99" s="171" t="s">
        <v>1999</v>
      </c>
      <c r="E99" s="171">
        <v>237.75944254791861</v>
      </c>
      <c r="F99" s="171">
        <v>425.00968250872461</v>
      </c>
      <c r="G99" s="211" t="b">
        <v>0</v>
      </c>
      <c r="H99" s="171">
        <v>8.1769999999999996</v>
      </c>
      <c r="I99" s="171">
        <v>8.4404535147392288</v>
      </c>
      <c r="J99" s="171">
        <v>0.26345351473922918</v>
      </c>
      <c r="K99" s="171">
        <v>8.3604535147392287</v>
      </c>
      <c r="L99" s="171">
        <v>9.5782312925170068</v>
      </c>
      <c r="M99" s="171">
        <v>1.2177777777777781</v>
      </c>
      <c r="N99" s="171">
        <v>8.4904535147392295</v>
      </c>
      <c r="O99" s="171">
        <v>8.5704535147392296</v>
      </c>
      <c r="P99" s="171">
        <v>8.0000000000000071E-2</v>
      </c>
    </row>
    <row r="100" spans="1:16" ht="12.75" thickBot="1">
      <c r="A100" s="175">
        <v>8</v>
      </c>
      <c r="B100" s="171" t="s">
        <v>1787</v>
      </c>
      <c r="C100" s="171">
        <v>248.28456375853119</v>
      </c>
      <c r="D100" s="171" t="s">
        <v>2005</v>
      </c>
      <c r="E100" s="171">
        <v>192.5629241301996</v>
      </c>
      <c r="F100" s="171">
        <v>-439.99753776436899</v>
      </c>
      <c r="G100" s="211" t="b">
        <v>0</v>
      </c>
      <c r="H100" s="171">
        <v>9.1199999999999992</v>
      </c>
      <c r="I100" s="171">
        <v>9.5782312925170068</v>
      </c>
      <c r="J100" s="171">
        <v>0.45823129251700762</v>
      </c>
      <c r="K100" s="171">
        <v>9.4982312925170067</v>
      </c>
      <c r="L100" s="171">
        <v>10.66956916099773</v>
      </c>
      <c r="M100" s="171">
        <v>1.171337868480725</v>
      </c>
      <c r="N100" s="171">
        <v>10.068231292517011</v>
      </c>
      <c r="O100" s="171">
        <v>10.118231292517009</v>
      </c>
      <c r="P100" s="171">
        <v>4.9999999999998927E-2</v>
      </c>
    </row>
    <row r="101" spans="1:16" ht="12.75" thickBot="1">
      <c r="A101" s="175">
        <v>9</v>
      </c>
      <c r="B101" s="171" t="s">
        <v>1788</v>
      </c>
      <c r="C101" s="171">
        <v>186.00325947932339</v>
      </c>
      <c r="D101" s="171"/>
      <c r="E101" s="171"/>
      <c r="F101" s="171"/>
      <c r="G101" s="211"/>
      <c r="H101" s="171"/>
      <c r="I101" s="171"/>
      <c r="J101" s="171"/>
      <c r="K101" s="171"/>
      <c r="L101" s="171"/>
      <c r="M101" s="171"/>
      <c r="N101" s="171"/>
      <c r="O101" s="171"/>
      <c r="P101" s="171"/>
    </row>
    <row r="102" spans="1:16" ht="12.75" thickBot="1">
      <c r="A102" s="175">
        <v>10</v>
      </c>
      <c r="B102" s="171" t="s">
        <v>1786</v>
      </c>
      <c r="C102" s="171">
        <v>372.00651895864689</v>
      </c>
      <c r="D102" s="171"/>
      <c r="E102" s="171"/>
      <c r="F102" s="171"/>
      <c r="G102" s="211"/>
      <c r="H102" s="171"/>
      <c r="I102" s="171"/>
      <c r="J102" s="171"/>
      <c r="K102" s="171"/>
      <c r="L102" s="171"/>
      <c r="M102" s="171"/>
      <c r="N102" s="171"/>
      <c r="O102" s="171"/>
      <c r="P102" s="171"/>
    </row>
    <row r="103" spans="1:16" ht="12.75" thickBot="1">
      <c r="A103" s="175">
        <v>11</v>
      </c>
      <c r="B103" s="171" t="s">
        <v>1787</v>
      </c>
      <c r="C103" s="171">
        <v>248.28456375853119</v>
      </c>
      <c r="D103" s="171"/>
      <c r="E103" s="171"/>
      <c r="F103" s="171"/>
      <c r="G103" s="211"/>
      <c r="H103" s="171"/>
      <c r="I103" s="171"/>
      <c r="J103" s="171"/>
      <c r="K103" s="171"/>
      <c r="L103" s="171"/>
      <c r="M103" s="171"/>
      <c r="N103" s="171"/>
      <c r="O103" s="171"/>
      <c r="P103" s="171"/>
    </row>
    <row r="104" spans="1:16" ht="12.75" thickBot="1">
      <c r="A104" s="175">
        <v>12</v>
      </c>
      <c r="B104" s="171" t="s">
        <v>1785</v>
      </c>
      <c r="C104" s="171">
        <v>278.69</v>
      </c>
      <c r="D104" s="171" t="s">
        <v>1999</v>
      </c>
      <c r="E104" s="171">
        <v>237.34743797532121</v>
      </c>
      <c r="F104" s="171">
        <v>-277.99291144429242</v>
      </c>
      <c r="G104" s="211" t="b">
        <v>0</v>
      </c>
      <c r="H104" s="171">
        <v>13.016</v>
      </c>
      <c r="I104" s="171">
        <v>13.223764172335599</v>
      </c>
      <c r="J104" s="171">
        <v>0.20776417233560099</v>
      </c>
      <c r="K104" s="171">
        <v>13.143764172335599</v>
      </c>
      <c r="L104" s="171">
        <v>14.62857142857143</v>
      </c>
      <c r="M104" s="171">
        <v>1.484807256235827</v>
      </c>
      <c r="N104" s="171">
        <v>14.073764172335601</v>
      </c>
      <c r="O104" s="171">
        <v>14.143764172335599</v>
      </c>
      <c r="P104" s="171">
        <v>7.0000000000000284E-2</v>
      </c>
    </row>
    <row r="105" spans="1:16" ht="12.75" thickBot="1">
      <c r="A105" s="175">
        <v>13</v>
      </c>
      <c r="B105" s="171" t="s">
        <v>1787</v>
      </c>
      <c r="C105" s="171">
        <v>248.28456375853119</v>
      </c>
      <c r="D105" s="171"/>
      <c r="E105" s="171"/>
      <c r="F105" s="171"/>
      <c r="G105" s="211"/>
      <c r="H105" s="171"/>
      <c r="I105" s="171"/>
      <c r="J105" s="171"/>
      <c r="K105" s="171"/>
      <c r="L105" s="171"/>
      <c r="M105" s="171"/>
      <c r="N105" s="171"/>
      <c r="O105" s="171"/>
      <c r="P105" s="171"/>
    </row>
    <row r="106" spans="1:16" ht="12.75" thickBot="1">
      <c r="A106" s="175">
        <v>14</v>
      </c>
      <c r="B106" s="171" t="s">
        <v>1788</v>
      </c>
      <c r="C106" s="171">
        <v>186.00325947932339</v>
      </c>
      <c r="D106" s="171" t="s">
        <v>2006</v>
      </c>
      <c r="E106" s="171">
        <v>173.54742445403659</v>
      </c>
      <c r="F106" s="171">
        <v>-119.9975377643688</v>
      </c>
      <c r="G106" s="211" t="b">
        <v>0</v>
      </c>
      <c r="H106" s="171">
        <v>16.925000000000001</v>
      </c>
      <c r="I106" s="171">
        <v>17.426575963718818</v>
      </c>
      <c r="J106" s="171">
        <v>0.50157596371882107</v>
      </c>
      <c r="K106" s="171">
        <v>17.34657596371882</v>
      </c>
      <c r="L106" s="171">
        <v>19.226122448979591</v>
      </c>
      <c r="M106" s="171">
        <v>1.879546485260768</v>
      </c>
      <c r="N106" s="171">
        <v>17.446575963718821</v>
      </c>
      <c r="O106" s="171">
        <v>17.50657596371882</v>
      </c>
      <c r="P106" s="171">
        <v>5.9999999999998721E-2</v>
      </c>
    </row>
    <row r="107" spans="1:16" ht="12.75" thickBot="1">
      <c r="A107" s="175">
        <v>15</v>
      </c>
      <c r="B107" s="171" t="s">
        <v>1788</v>
      </c>
      <c r="C107" s="171">
        <v>186.00325947932339</v>
      </c>
      <c r="D107" s="171"/>
      <c r="E107" s="171"/>
      <c r="F107" s="171"/>
      <c r="G107" s="211"/>
      <c r="H107" s="171"/>
      <c r="I107" s="171"/>
      <c r="J107" s="171"/>
      <c r="K107" s="171"/>
      <c r="L107" s="171"/>
      <c r="M107" s="171"/>
      <c r="N107" s="171"/>
      <c r="O107" s="171"/>
      <c r="P107" s="171"/>
    </row>
    <row r="108" spans="1:16" ht="12.75" thickBot="1"/>
    <row r="109" spans="1:16" ht="15.75" customHeight="1" thickBot="1">
      <c r="A109" s="276" t="s">
        <v>2007</v>
      </c>
      <c r="B109" s="277"/>
      <c r="C109" s="277"/>
      <c r="D109" s="277"/>
      <c r="E109" s="277"/>
      <c r="F109" s="277"/>
      <c r="G109" s="277"/>
      <c r="H109" s="277"/>
      <c r="I109" s="277"/>
      <c r="J109" s="277"/>
      <c r="K109" s="277"/>
      <c r="L109" s="277"/>
      <c r="M109" s="277"/>
      <c r="N109" s="277"/>
      <c r="O109" s="277"/>
      <c r="P109" s="277"/>
    </row>
    <row r="110" spans="1:16" ht="24.75" thickBot="1">
      <c r="A110" s="174" t="s">
        <v>1980</v>
      </c>
      <c r="B110" s="63" t="s">
        <v>1789</v>
      </c>
      <c r="C110" s="63" t="s">
        <v>1981</v>
      </c>
      <c r="D110" s="63" t="s">
        <v>1982</v>
      </c>
      <c r="E110" s="63" t="s">
        <v>15</v>
      </c>
      <c r="F110" s="63" t="s">
        <v>1983</v>
      </c>
      <c r="G110" s="210" t="s">
        <v>1984</v>
      </c>
      <c r="H110" s="63" t="s">
        <v>1985</v>
      </c>
      <c r="I110" s="63" t="s">
        <v>1986</v>
      </c>
      <c r="J110" s="63" t="s">
        <v>1987</v>
      </c>
      <c r="K110" s="63" t="s">
        <v>1988</v>
      </c>
      <c r="L110" s="63" t="s">
        <v>1989</v>
      </c>
      <c r="M110" s="63" t="s">
        <v>1990</v>
      </c>
      <c r="N110" s="63" t="s">
        <v>1991</v>
      </c>
      <c r="O110" s="63" t="s">
        <v>1992</v>
      </c>
      <c r="P110" s="63" t="s">
        <v>1993</v>
      </c>
    </row>
    <row r="111" spans="1:16" ht="12.75" thickBot="1">
      <c r="A111" s="175">
        <v>1</v>
      </c>
      <c r="B111" s="171" t="s">
        <v>1785</v>
      </c>
      <c r="C111" s="171">
        <v>366.51</v>
      </c>
      <c r="D111" s="171"/>
      <c r="E111" s="171"/>
      <c r="F111" s="171"/>
      <c r="G111" s="211"/>
      <c r="H111" s="171"/>
      <c r="I111" s="171"/>
      <c r="J111" s="171"/>
      <c r="K111" s="171"/>
      <c r="L111" s="171"/>
      <c r="M111" s="171"/>
      <c r="N111" s="171"/>
      <c r="O111" s="171"/>
      <c r="P111" s="171"/>
    </row>
    <row r="112" spans="1:16" ht="12.75" thickBot="1">
      <c r="A112" s="175">
        <v>2</v>
      </c>
      <c r="B112" s="171" t="s">
        <v>1786</v>
      </c>
      <c r="C112" s="171">
        <v>489.23215495185929</v>
      </c>
      <c r="D112" s="171" t="s">
        <v>2008</v>
      </c>
      <c r="E112" s="171">
        <v>472.02908635453531</v>
      </c>
      <c r="F112" s="171">
        <v>-61.972161183575118</v>
      </c>
      <c r="G112" s="211" t="b">
        <v>0</v>
      </c>
      <c r="H112" s="171">
        <v>1.427</v>
      </c>
      <c r="I112" s="171">
        <v>1.486077097505669</v>
      </c>
      <c r="J112" s="171">
        <v>5.9077097505668918E-2</v>
      </c>
      <c r="K112" s="171">
        <v>1.4060770975056689</v>
      </c>
      <c r="L112" s="171">
        <v>2.0317460317460321</v>
      </c>
      <c r="M112" s="171">
        <v>0.62566893424036274</v>
      </c>
      <c r="N112" s="171">
        <v>1.576077097505669</v>
      </c>
      <c r="O112" s="171">
        <v>1.6460770975056691</v>
      </c>
      <c r="P112" s="171">
        <v>7.0000000000000062E-2</v>
      </c>
    </row>
    <row r="113" spans="1:16" ht="12.75" thickBot="1">
      <c r="A113" s="175">
        <v>3</v>
      </c>
      <c r="B113" s="171" t="s">
        <v>1785</v>
      </c>
      <c r="C113" s="171">
        <v>366.51</v>
      </c>
      <c r="D113" s="171"/>
      <c r="E113" s="171"/>
      <c r="F113" s="171"/>
      <c r="G113" s="211"/>
      <c r="H113" s="171"/>
      <c r="I113" s="171"/>
      <c r="J113" s="171"/>
      <c r="K113" s="171"/>
      <c r="L113" s="171"/>
      <c r="M113" s="171"/>
      <c r="N113" s="171"/>
      <c r="O113" s="171"/>
      <c r="P113" s="171"/>
    </row>
    <row r="114" spans="1:16" ht="12.75" thickBot="1">
      <c r="A114" s="175">
        <v>4</v>
      </c>
      <c r="B114" s="171" t="s">
        <v>1785</v>
      </c>
      <c r="C114" s="171">
        <v>366.51</v>
      </c>
      <c r="D114" s="171"/>
      <c r="E114" s="171"/>
      <c r="F114" s="171"/>
      <c r="G114" s="211"/>
      <c r="H114" s="171"/>
      <c r="I114" s="171"/>
      <c r="J114" s="171"/>
      <c r="K114" s="171"/>
      <c r="L114" s="171"/>
      <c r="M114" s="171"/>
      <c r="N114" s="171"/>
      <c r="O114" s="171"/>
      <c r="P114" s="171"/>
    </row>
    <row r="115" spans="1:16" ht="12.75" thickBot="1">
      <c r="A115" s="175">
        <v>5</v>
      </c>
      <c r="B115" s="171" t="s">
        <v>1785</v>
      </c>
      <c r="C115" s="171">
        <v>366.51</v>
      </c>
      <c r="D115" s="171"/>
      <c r="E115" s="171"/>
      <c r="F115" s="171"/>
      <c r="G115" s="211"/>
      <c r="H115" s="171"/>
      <c r="I115" s="171"/>
      <c r="J115" s="171"/>
      <c r="K115" s="171"/>
      <c r="L115" s="171"/>
      <c r="M115" s="171"/>
      <c r="N115" s="171"/>
      <c r="O115" s="171"/>
      <c r="P115" s="171"/>
    </row>
    <row r="116" spans="1:16" ht="12.75" thickBot="1">
      <c r="A116" s="175">
        <v>6</v>
      </c>
      <c r="B116" s="171" t="s">
        <v>1787</v>
      </c>
      <c r="C116" s="171">
        <v>326.52328918561568</v>
      </c>
      <c r="D116" s="171" t="s">
        <v>1785</v>
      </c>
      <c r="E116" s="171">
        <v>366.51491648269803</v>
      </c>
      <c r="F116" s="171">
        <v>200.0232231730659</v>
      </c>
      <c r="G116" s="211" t="b">
        <v>0</v>
      </c>
      <c r="H116" s="171">
        <v>1.952</v>
      </c>
      <c r="I116" s="171">
        <v>2.0317460317460321</v>
      </c>
      <c r="J116" s="171">
        <v>7.9746031746031676E-2</v>
      </c>
      <c r="K116" s="171">
        <v>1.951746031746032</v>
      </c>
      <c r="L116" s="171">
        <v>4.2840816326530611</v>
      </c>
      <c r="M116" s="171">
        <v>2.33233560090703</v>
      </c>
      <c r="N116" s="171">
        <v>3.931746031746032</v>
      </c>
      <c r="O116" s="171">
        <v>4.0117460317460321</v>
      </c>
      <c r="P116" s="171">
        <v>8.0000000000000515E-2</v>
      </c>
    </row>
    <row r="117" spans="1:16" ht="12.75" thickBot="1">
      <c r="A117" s="175">
        <v>7</v>
      </c>
      <c r="B117" s="171" t="s">
        <v>1788</v>
      </c>
      <c r="C117" s="171">
        <v>244.61607747592959</v>
      </c>
      <c r="D117" s="171" t="s">
        <v>1785</v>
      </c>
      <c r="E117" s="171">
        <v>366.51491648269803</v>
      </c>
      <c r="F117" s="171">
        <v>700.02322317306573</v>
      </c>
      <c r="G117" s="211" t="b">
        <v>0</v>
      </c>
      <c r="H117" s="171">
        <v>3.9049999999999998</v>
      </c>
      <c r="I117" s="171">
        <v>4.2840816326530611</v>
      </c>
      <c r="J117" s="171">
        <v>0.37908163265306127</v>
      </c>
      <c r="K117" s="171">
        <v>4.204081632653061</v>
      </c>
      <c r="L117" s="171">
        <v>4.9110204081632656</v>
      </c>
      <c r="M117" s="171">
        <v>0.70693877551020456</v>
      </c>
      <c r="N117" s="171">
        <v>4.7840816326530611</v>
      </c>
      <c r="O117" s="171">
        <v>4.8240816326530611</v>
      </c>
      <c r="P117" s="171">
        <v>4.0000000000000042E-2</v>
      </c>
    </row>
    <row r="118" spans="1:16" ht="12.75" thickBot="1">
      <c r="A118" s="175">
        <v>8</v>
      </c>
      <c r="B118" s="171" t="s">
        <v>1787</v>
      </c>
      <c r="C118" s="171">
        <v>326.52328918561568</v>
      </c>
      <c r="D118" s="171" t="s">
        <v>1788</v>
      </c>
      <c r="E118" s="171">
        <v>241.96530909581</v>
      </c>
      <c r="F118" s="171">
        <v>-518.86280898338998</v>
      </c>
      <c r="G118" s="211" t="b">
        <v>0</v>
      </c>
      <c r="H118" s="171">
        <v>4.9160000000000004</v>
      </c>
      <c r="I118" s="171">
        <v>5.4102494331065758</v>
      </c>
      <c r="J118" s="171">
        <v>0.49424943310657538</v>
      </c>
      <c r="K118" s="171">
        <v>5.3302494331065757</v>
      </c>
      <c r="L118" s="171">
        <v>7.7554648526077097</v>
      </c>
      <c r="M118" s="171">
        <v>2.425215419501134</v>
      </c>
      <c r="N118" s="171">
        <v>5.5602494331065762</v>
      </c>
      <c r="O118" s="171">
        <v>5.7102494331065756</v>
      </c>
      <c r="P118" s="171">
        <v>0.14999999999999949</v>
      </c>
    </row>
    <row r="119" spans="1:16" ht="12.75" thickBot="1">
      <c r="A119" s="175">
        <v>9</v>
      </c>
      <c r="B119" s="171" t="s">
        <v>1788</v>
      </c>
      <c r="C119" s="171">
        <v>244.61607747592959</v>
      </c>
      <c r="D119" s="171"/>
      <c r="E119" s="171"/>
      <c r="F119" s="171"/>
      <c r="G119" s="211"/>
      <c r="H119" s="171"/>
      <c r="I119" s="171"/>
      <c r="J119" s="171"/>
      <c r="K119" s="171"/>
      <c r="L119" s="171"/>
      <c r="M119" s="171"/>
      <c r="N119" s="171"/>
      <c r="O119" s="171"/>
      <c r="P119" s="171"/>
    </row>
    <row r="120" spans="1:16" ht="12.75" thickBot="1">
      <c r="A120" s="175">
        <v>10</v>
      </c>
      <c r="B120" s="171" t="s">
        <v>1786</v>
      </c>
      <c r="C120" s="171">
        <v>489.23215495185929</v>
      </c>
      <c r="D120" s="171"/>
      <c r="E120" s="171"/>
      <c r="F120" s="171"/>
      <c r="G120" s="211"/>
      <c r="H120" s="171"/>
      <c r="I120" s="171"/>
      <c r="J120" s="171"/>
      <c r="K120" s="171"/>
      <c r="L120" s="171"/>
      <c r="M120" s="171"/>
      <c r="N120" s="171"/>
      <c r="O120" s="171"/>
      <c r="P120" s="171"/>
    </row>
    <row r="121" spans="1:16" ht="12.75" thickBot="1">
      <c r="A121" s="175">
        <v>11</v>
      </c>
      <c r="B121" s="171" t="s">
        <v>1787</v>
      </c>
      <c r="C121" s="171">
        <v>326.52328918561568</v>
      </c>
      <c r="D121" s="171"/>
      <c r="E121" s="171"/>
      <c r="F121" s="171"/>
      <c r="G121" s="211"/>
      <c r="H121" s="171"/>
      <c r="I121" s="171"/>
      <c r="J121" s="171"/>
      <c r="K121" s="171"/>
      <c r="L121" s="171"/>
      <c r="M121" s="171"/>
      <c r="N121" s="171"/>
      <c r="O121" s="171"/>
      <c r="P121" s="171"/>
    </row>
    <row r="122" spans="1:16" ht="12.75" thickBot="1">
      <c r="A122" s="175">
        <v>12</v>
      </c>
      <c r="B122" s="171" t="s">
        <v>1785</v>
      </c>
      <c r="C122" s="171">
        <v>366.51</v>
      </c>
      <c r="D122" s="171" t="s">
        <v>2009</v>
      </c>
      <c r="E122" s="171">
        <v>397.38532081682138</v>
      </c>
      <c r="F122" s="171">
        <v>140.02322317306579</v>
      </c>
      <c r="G122" s="211" t="b">
        <v>0</v>
      </c>
      <c r="H122" s="171">
        <v>7.3940000000000001</v>
      </c>
      <c r="I122" s="171">
        <v>7.7554648526077097</v>
      </c>
      <c r="J122" s="171">
        <v>0.36146485260770961</v>
      </c>
      <c r="K122" s="171">
        <v>7.6754648526077096</v>
      </c>
      <c r="L122" s="171">
        <v>8.301133786848073</v>
      </c>
      <c r="M122" s="171">
        <v>0.62566893424036341</v>
      </c>
      <c r="N122" s="171">
        <v>7.7654648526077086</v>
      </c>
      <c r="O122" s="171">
        <v>7.8354648526077098</v>
      </c>
      <c r="P122" s="171">
        <v>7.0000000000000284E-2</v>
      </c>
    </row>
    <row r="123" spans="1:16" ht="12.75" thickBot="1">
      <c r="A123" s="175">
        <v>13</v>
      </c>
      <c r="B123" s="171" t="s">
        <v>1787</v>
      </c>
      <c r="C123" s="171">
        <v>326.52328918561568</v>
      </c>
      <c r="D123" s="171" t="s">
        <v>1788</v>
      </c>
      <c r="E123" s="171">
        <v>239.03224495708</v>
      </c>
      <c r="F123" s="171">
        <v>-539.97677682693393</v>
      </c>
      <c r="G123" s="211" t="b">
        <v>0</v>
      </c>
      <c r="H123" s="171">
        <v>8.3409999999999993</v>
      </c>
      <c r="I123" s="171">
        <v>8.5913832199546487</v>
      </c>
      <c r="J123" s="171">
        <v>0.25038321995464941</v>
      </c>
      <c r="K123" s="171">
        <v>8.5113832199546486</v>
      </c>
      <c r="L123" s="171">
        <v>8.8235827664399089</v>
      </c>
      <c r="M123" s="171">
        <v>0.31219954648526033</v>
      </c>
      <c r="N123" s="171">
        <v>8.5313832199546482</v>
      </c>
      <c r="O123" s="171">
        <v>8.5813832199546489</v>
      </c>
      <c r="P123" s="171">
        <v>5.0000000000000711E-2</v>
      </c>
    </row>
    <row r="124" spans="1:16" ht="12.75" thickBot="1">
      <c r="A124" s="175">
        <v>14</v>
      </c>
      <c r="B124" s="171" t="s">
        <v>1788</v>
      </c>
      <c r="C124" s="171">
        <v>244.61607747592959</v>
      </c>
      <c r="D124" s="171" t="s">
        <v>1999</v>
      </c>
      <c r="E124" s="171">
        <v>312.50465782271431</v>
      </c>
      <c r="F124" s="171">
        <v>424.03015730556677</v>
      </c>
      <c r="G124" s="211" t="b">
        <v>0</v>
      </c>
      <c r="H124" s="171">
        <v>8.8610000000000007</v>
      </c>
      <c r="I124" s="171">
        <v>9.2647619047619045</v>
      </c>
      <c r="J124" s="171">
        <v>0.40376190476190388</v>
      </c>
      <c r="K124" s="171">
        <v>9.1847619047619045</v>
      </c>
      <c r="L124" s="171">
        <v>11.493877551020409</v>
      </c>
      <c r="M124" s="171">
        <v>2.309115646258503</v>
      </c>
      <c r="N124" s="171">
        <v>9.3447619047619046</v>
      </c>
      <c r="O124" s="171">
        <v>9.4147619047619049</v>
      </c>
      <c r="P124" s="171">
        <v>7.0000000000000284E-2</v>
      </c>
    </row>
    <row r="125" spans="1:16" ht="12.75" thickBot="1">
      <c r="A125" s="175">
        <v>15</v>
      </c>
      <c r="B125" s="171" t="s">
        <v>1788</v>
      </c>
      <c r="C125" s="171">
        <v>244.61607747592959</v>
      </c>
      <c r="D125" s="171"/>
      <c r="E125" s="171"/>
      <c r="F125" s="171"/>
      <c r="G125" s="211"/>
      <c r="H125" s="171"/>
      <c r="I125" s="171"/>
      <c r="J125" s="171"/>
      <c r="K125" s="171"/>
      <c r="L125" s="171"/>
      <c r="M125" s="171"/>
      <c r="N125" s="171"/>
      <c r="O125" s="171"/>
      <c r="P125" s="171"/>
    </row>
    <row r="126" spans="1:16" ht="12.75" thickBot="1"/>
    <row r="127" spans="1:16" ht="15.75" customHeight="1" thickBot="1">
      <c r="A127" s="276" t="s">
        <v>2010</v>
      </c>
      <c r="B127" s="277"/>
      <c r="C127" s="277"/>
      <c r="D127" s="277"/>
      <c r="E127" s="277"/>
      <c r="F127" s="277"/>
      <c r="G127" s="277"/>
      <c r="H127" s="277"/>
      <c r="I127" s="277"/>
      <c r="J127" s="277"/>
      <c r="K127" s="277"/>
      <c r="L127" s="277"/>
      <c r="M127" s="277"/>
      <c r="N127" s="277"/>
      <c r="O127" s="277"/>
      <c r="P127" s="277"/>
    </row>
    <row r="128" spans="1:16" ht="24.75" thickBot="1">
      <c r="A128" s="174" t="s">
        <v>1980</v>
      </c>
      <c r="B128" s="63" t="s">
        <v>1789</v>
      </c>
      <c r="C128" s="63" t="s">
        <v>1981</v>
      </c>
      <c r="D128" s="63" t="s">
        <v>1982</v>
      </c>
      <c r="E128" s="63" t="s">
        <v>15</v>
      </c>
      <c r="F128" s="63" t="s">
        <v>1983</v>
      </c>
      <c r="G128" s="210" t="s">
        <v>1984</v>
      </c>
      <c r="H128" s="63" t="s">
        <v>1985</v>
      </c>
      <c r="I128" s="63" t="s">
        <v>1986</v>
      </c>
      <c r="J128" s="63" t="s">
        <v>1987</v>
      </c>
      <c r="K128" s="63" t="s">
        <v>1988</v>
      </c>
      <c r="L128" s="63" t="s">
        <v>1989</v>
      </c>
      <c r="M128" s="63" t="s">
        <v>1990</v>
      </c>
      <c r="N128" s="63" t="s">
        <v>1991</v>
      </c>
      <c r="O128" s="63" t="s">
        <v>1992</v>
      </c>
      <c r="P128" s="63" t="s">
        <v>1993</v>
      </c>
    </row>
    <row r="129" spans="1:16" ht="12.75" thickBot="1">
      <c r="A129" s="175">
        <v>1</v>
      </c>
      <c r="B129" s="171" t="s">
        <v>1785</v>
      </c>
      <c r="C129" s="171">
        <v>364.74</v>
      </c>
      <c r="D129" s="171"/>
      <c r="E129" s="171"/>
      <c r="F129" s="171"/>
      <c r="G129" s="211"/>
      <c r="H129" s="171"/>
      <c r="I129" s="171"/>
      <c r="J129" s="171"/>
      <c r="K129" s="171"/>
      <c r="L129" s="171"/>
      <c r="M129" s="171"/>
      <c r="N129" s="171"/>
      <c r="O129" s="171"/>
      <c r="P129" s="171"/>
    </row>
    <row r="130" spans="1:16" ht="12.75" thickBot="1">
      <c r="A130" s="175">
        <v>2</v>
      </c>
      <c r="B130" s="171" t="s">
        <v>1786</v>
      </c>
      <c r="C130" s="171">
        <v>486.86948840997837</v>
      </c>
      <c r="D130" s="171" t="s">
        <v>1785</v>
      </c>
      <c r="E130" s="171">
        <v>362.63704382724461</v>
      </c>
      <c r="F130" s="171">
        <v>-510.01054268853062</v>
      </c>
      <c r="G130" s="211" t="b">
        <v>0</v>
      </c>
      <c r="H130" s="171">
        <v>1.4710000000000001</v>
      </c>
      <c r="I130" s="171">
        <v>1.637006802721088</v>
      </c>
      <c r="J130" s="171">
        <v>0.16600680272108839</v>
      </c>
      <c r="K130" s="171">
        <v>1.5570068027210879</v>
      </c>
      <c r="L130" s="171">
        <v>2.3219954648526082</v>
      </c>
      <c r="M130" s="171">
        <v>0.76498866213151939</v>
      </c>
      <c r="N130" s="171">
        <v>2.1570068027210878</v>
      </c>
      <c r="O130" s="171">
        <v>2.1970068027210878</v>
      </c>
      <c r="P130" s="171">
        <v>4.0000000000000042E-2</v>
      </c>
    </row>
    <row r="131" spans="1:16" ht="12.75" thickBot="1">
      <c r="A131" s="175">
        <v>3</v>
      </c>
      <c r="B131" s="171" t="s">
        <v>1785</v>
      </c>
      <c r="C131" s="171">
        <v>364.74</v>
      </c>
      <c r="D131" s="171" t="s">
        <v>1785</v>
      </c>
      <c r="E131" s="171">
        <v>364.73777885115629</v>
      </c>
      <c r="F131" s="171">
        <v>-1.054268853051098E-2</v>
      </c>
      <c r="G131" s="211" t="b">
        <v>1</v>
      </c>
      <c r="H131" s="171">
        <v>2.0310000000000001</v>
      </c>
      <c r="I131" s="171">
        <v>2.3219954648526082</v>
      </c>
      <c r="J131" s="171">
        <v>0.29099546485260758</v>
      </c>
      <c r="K131" s="171">
        <v>2.2419954648526081</v>
      </c>
      <c r="L131" s="171">
        <v>4.6091609977324266</v>
      </c>
      <c r="M131" s="171">
        <v>2.3671655328798189</v>
      </c>
      <c r="N131" s="171">
        <v>2.5119954648526082</v>
      </c>
      <c r="O131" s="171">
        <v>2.6319954648526078</v>
      </c>
      <c r="P131" s="171">
        <v>0.12000000000000011</v>
      </c>
    </row>
    <row r="132" spans="1:16" ht="12.75" thickBot="1">
      <c r="A132" s="175">
        <v>4</v>
      </c>
      <c r="B132" s="171" t="s">
        <v>1785</v>
      </c>
      <c r="C132" s="171">
        <v>364.74</v>
      </c>
      <c r="D132" s="171"/>
      <c r="E132" s="171"/>
      <c r="F132" s="171"/>
      <c r="G132" s="211"/>
      <c r="H132" s="171"/>
      <c r="I132" s="171"/>
      <c r="J132" s="171"/>
      <c r="K132" s="171"/>
      <c r="L132" s="171"/>
      <c r="M132" s="171"/>
      <c r="N132" s="171"/>
      <c r="O132" s="171"/>
      <c r="P132" s="171"/>
    </row>
    <row r="133" spans="1:16" ht="12.75" thickBot="1">
      <c r="A133" s="175">
        <v>5</v>
      </c>
      <c r="B133" s="171" t="s">
        <v>1785</v>
      </c>
      <c r="C133" s="171">
        <v>364.74</v>
      </c>
      <c r="D133" s="171"/>
      <c r="E133" s="171"/>
      <c r="F133" s="171"/>
      <c r="G133" s="211"/>
      <c r="H133" s="171"/>
      <c r="I133" s="171"/>
      <c r="J133" s="171"/>
      <c r="K133" s="171"/>
      <c r="L133" s="171"/>
      <c r="M133" s="171"/>
      <c r="N133" s="171"/>
      <c r="O133" s="171"/>
      <c r="P133" s="171"/>
    </row>
    <row r="134" spans="1:16" ht="12.75" thickBot="1">
      <c r="A134" s="175">
        <v>6</v>
      </c>
      <c r="B134" s="171" t="s">
        <v>1787</v>
      </c>
      <c r="C134" s="171">
        <v>324.94639845450729</v>
      </c>
      <c r="D134" s="171"/>
      <c r="E134" s="171"/>
      <c r="F134" s="171"/>
      <c r="G134" s="211"/>
      <c r="H134" s="171"/>
      <c r="I134" s="171"/>
      <c r="J134" s="171"/>
      <c r="K134" s="171"/>
      <c r="L134" s="171"/>
      <c r="M134" s="171"/>
      <c r="N134" s="171"/>
      <c r="O134" s="171"/>
      <c r="P134" s="171"/>
    </row>
    <row r="135" spans="1:16" ht="12.75" thickBot="1">
      <c r="A135" s="175">
        <v>7</v>
      </c>
      <c r="B135" s="171" t="s">
        <v>1788</v>
      </c>
      <c r="C135" s="171">
        <v>243.43474420498919</v>
      </c>
      <c r="D135" s="171" t="s">
        <v>1785</v>
      </c>
      <c r="E135" s="171">
        <v>364.6210713498279</v>
      </c>
      <c r="F135" s="171">
        <v>699.43541453334956</v>
      </c>
      <c r="G135" s="211" t="b">
        <v>0</v>
      </c>
      <c r="H135" s="171">
        <v>4.157</v>
      </c>
      <c r="I135" s="171">
        <v>4.6091609977324266</v>
      </c>
      <c r="J135" s="171">
        <v>0.45216099773242657</v>
      </c>
      <c r="K135" s="171">
        <v>4.5291609977324274</v>
      </c>
      <c r="L135" s="171">
        <v>5.5263492063492068</v>
      </c>
      <c r="M135" s="171">
        <v>0.99718820861678026</v>
      </c>
      <c r="N135" s="171">
        <v>5.2791609977324274</v>
      </c>
      <c r="O135" s="171">
        <v>5.4291609977324269</v>
      </c>
      <c r="P135" s="171">
        <v>0.15000000000000041</v>
      </c>
    </row>
    <row r="136" spans="1:16" ht="12.75" thickBot="1">
      <c r="A136" s="175">
        <v>8</v>
      </c>
      <c r="B136" s="171" t="s">
        <v>1787</v>
      </c>
      <c r="C136" s="171">
        <v>324.94639845450729</v>
      </c>
      <c r="D136" s="171" t="s">
        <v>1788</v>
      </c>
      <c r="E136" s="171">
        <v>239.25122403467299</v>
      </c>
      <c r="F136" s="171">
        <v>-530.01054268853034</v>
      </c>
      <c r="G136" s="211" t="b">
        <v>0</v>
      </c>
      <c r="H136" s="171">
        <v>5.7809999999999997</v>
      </c>
      <c r="I136" s="171">
        <v>6.292607709750567</v>
      </c>
      <c r="J136" s="171">
        <v>0.51160770975056735</v>
      </c>
      <c r="K136" s="171">
        <v>6.212607709750567</v>
      </c>
      <c r="L136" s="171">
        <v>7.1169160997732428</v>
      </c>
      <c r="M136" s="171">
        <v>0.90430839002267582</v>
      </c>
      <c r="N136" s="171">
        <v>6.3826077097505669</v>
      </c>
      <c r="O136" s="171">
        <v>6.4526077097505672</v>
      </c>
      <c r="P136" s="171">
        <v>7.0000000000000284E-2</v>
      </c>
    </row>
    <row r="137" spans="1:16" ht="12.75" thickBot="1">
      <c r="A137" s="175">
        <v>9</v>
      </c>
      <c r="B137" s="171" t="s">
        <v>1788</v>
      </c>
      <c r="C137" s="171">
        <v>243.43474420498919</v>
      </c>
      <c r="D137" s="171"/>
      <c r="E137" s="171"/>
      <c r="F137" s="171"/>
      <c r="G137" s="211"/>
      <c r="H137" s="171"/>
      <c r="I137" s="171"/>
      <c r="J137" s="171"/>
      <c r="K137" s="171"/>
      <c r="L137" s="171"/>
      <c r="M137" s="171"/>
      <c r="N137" s="171"/>
      <c r="O137" s="171"/>
      <c r="P137" s="171"/>
    </row>
    <row r="138" spans="1:16" ht="12.75" thickBot="1">
      <c r="A138" s="175">
        <v>10</v>
      </c>
      <c r="B138" s="171" t="s">
        <v>1786</v>
      </c>
      <c r="C138" s="171">
        <v>486.86948840997837</v>
      </c>
      <c r="D138" s="171" t="s">
        <v>1788</v>
      </c>
      <c r="E138" s="171">
        <v>239.25122403467299</v>
      </c>
      <c r="F138" s="171">
        <v>-1230.0105426885309</v>
      </c>
      <c r="G138" s="211" t="b">
        <v>0</v>
      </c>
      <c r="H138" s="171">
        <v>6.843</v>
      </c>
      <c r="I138" s="171">
        <v>7.1169160997732428</v>
      </c>
      <c r="J138" s="171">
        <v>0.27391609977324283</v>
      </c>
      <c r="K138" s="171">
        <v>7.0369160997732427</v>
      </c>
      <c r="L138" s="171">
        <v>9.3112018140589576</v>
      </c>
      <c r="M138" s="171">
        <v>2.2742857142857149</v>
      </c>
      <c r="N138" s="171">
        <v>7.7769160997732429</v>
      </c>
      <c r="O138" s="171">
        <v>7.8469160997732423</v>
      </c>
      <c r="P138" s="171">
        <v>6.9999999999999396E-2</v>
      </c>
    </row>
    <row r="139" spans="1:16" ht="12.75" thickBot="1">
      <c r="A139" s="175">
        <v>11</v>
      </c>
      <c r="B139" s="171" t="s">
        <v>1787</v>
      </c>
      <c r="C139" s="171">
        <v>324.94639845450729</v>
      </c>
      <c r="D139" s="171"/>
      <c r="E139" s="171"/>
      <c r="F139" s="171"/>
      <c r="G139" s="211"/>
      <c r="H139" s="171"/>
      <c r="I139" s="171"/>
      <c r="J139" s="171"/>
      <c r="K139" s="171"/>
      <c r="L139" s="171"/>
      <c r="M139" s="171"/>
      <c r="N139" s="171"/>
      <c r="O139" s="171"/>
      <c r="P139" s="171"/>
    </row>
    <row r="140" spans="1:16" ht="12.75" thickBot="1">
      <c r="A140" s="175">
        <v>12</v>
      </c>
      <c r="B140" s="171" t="s">
        <v>1785</v>
      </c>
      <c r="C140" s="171">
        <v>364.74</v>
      </c>
      <c r="D140" s="171"/>
      <c r="E140" s="171"/>
      <c r="F140" s="171"/>
      <c r="G140" s="211"/>
      <c r="H140" s="171"/>
      <c r="I140" s="171"/>
      <c r="J140" s="171"/>
      <c r="K140" s="171"/>
      <c r="L140" s="171"/>
      <c r="M140" s="171"/>
      <c r="N140" s="171"/>
      <c r="O140" s="171"/>
      <c r="P140" s="171"/>
    </row>
    <row r="141" spans="1:16" ht="12.75" thickBot="1">
      <c r="A141" s="175">
        <v>13</v>
      </c>
      <c r="B141" s="171" t="s">
        <v>1787</v>
      </c>
      <c r="C141" s="171">
        <v>324.94639845450729</v>
      </c>
      <c r="D141" s="171" t="s">
        <v>1787</v>
      </c>
      <c r="E141" s="171">
        <v>322.88680121085201</v>
      </c>
      <c r="F141" s="171">
        <v>-11.00794738705361</v>
      </c>
      <c r="G141" s="211" t="b">
        <v>1</v>
      </c>
      <c r="H141" s="171">
        <v>8.4670000000000005</v>
      </c>
      <c r="I141" s="171">
        <v>9.3112018140589576</v>
      </c>
      <c r="J141" s="171">
        <v>0.84420181405895711</v>
      </c>
      <c r="K141" s="171">
        <v>9.2312018140589576</v>
      </c>
      <c r="L141" s="171">
        <v>10.170340136054421</v>
      </c>
      <c r="M141" s="171">
        <v>0.93913832199546476</v>
      </c>
      <c r="N141" s="171">
        <v>9.6712018140589571</v>
      </c>
      <c r="O141" s="171">
        <v>9.7712018140589585</v>
      </c>
      <c r="P141" s="171">
        <v>0.10000000000000139</v>
      </c>
    </row>
    <row r="142" spans="1:16" ht="12.75" thickBot="1">
      <c r="A142" s="175">
        <v>14</v>
      </c>
      <c r="B142" s="171" t="s">
        <v>1788</v>
      </c>
      <c r="C142" s="171">
        <v>243.43474420498919</v>
      </c>
      <c r="D142" s="171" t="s">
        <v>1788</v>
      </c>
      <c r="E142" s="171">
        <v>239.25122403467299</v>
      </c>
      <c r="F142" s="171">
        <v>-30.010542688530489</v>
      </c>
      <c r="G142" s="211" t="b">
        <v>1</v>
      </c>
      <c r="H142" s="171">
        <v>10.089</v>
      </c>
      <c r="I142" s="171">
        <v>10.170340136054421</v>
      </c>
      <c r="J142" s="171">
        <v>8.1340136054421919E-2</v>
      </c>
      <c r="K142" s="171">
        <v>10.09034013605442</v>
      </c>
      <c r="L142" s="171">
        <v>10.97142857142857</v>
      </c>
      <c r="M142" s="171">
        <v>0.88108843537414927</v>
      </c>
      <c r="N142" s="171">
        <v>10.37034013605442</v>
      </c>
      <c r="O142" s="171">
        <v>10.45034013605442</v>
      </c>
      <c r="P142" s="171">
        <v>8.0000000000000071E-2</v>
      </c>
    </row>
    <row r="143" spans="1:16" ht="12.75" thickBot="1">
      <c r="A143" s="175">
        <v>15</v>
      </c>
      <c r="B143" s="171" t="s">
        <v>1788</v>
      </c>
      <c r="C143" s="171">
        <v>243.43474420498919</v>
      </c>
      <c r="D143" s="171"/>
      <c r="E143" s="171"/>
      <c r="F143" s="171"/>
      <c r="G143" s="211"/>
      <c r="H143" s="171"/>
      <c r="I143" s="171"/>
      <c r="J143" s="171"/>
      <c r="K143" s="171"/>
      <c r="L143" s="171"/>
      <c r="M143" s="171"/>
      <c r="N143" s="171"/>
      <c r="O143" s="171"/>
      <c r="P143" s="171"/>
    </row>
    <row r="144" spans="1:16" ht="12.75" thickBot="1"/>
    <row r="145" spans="1:16" ht="15.75" customHeight="1" thickBot="1">
      <c r="A145" s="276" t="s">
        <v>2011</v>
      </c>
      <c r="B145" s="277"/>
      <c r="C145" s="277"/>
      <c r="D145" s="277"/>
      <c r="E145" s="277"/>
      <c r="F145" s="277"/>
      <c r="G145" s="277"/>
      <c r="H145" s="277"/>
      <c r="I145" s="277"/>
      <c r="J145" s="277"/>
      <c r="K145" s="277"/>
      <c r="L145" s="277"/>
      <c r="M145" s="277"/>
      <c r="N145" s="277"/>
      <c r="O145" s="277"/>
      <c r="P145" s="277"/>
    </row>
    <row r="146" spans="1:16" ht="24.75" thickBot="1">
      <c r="A146" s="174" t="s">
        <v>1980</v>
      </c>
      <c r="B146" s="63" t="s">
        <v>1789</v>
      </c>
      <c r="C146" s="63" t="s">
        <v>1981</v>
      </c>
      <c r="D146" s="63" t="s">
        <v>1982</v>
      </c>
      <c r="E146" s="63" t="s">
        <v>15</v>
      </c>
      <c r="F146" s="63" t="s">
        <v>1983</v>
      </c>
      <c r="G146" s="210" t="s">
        <v>1984</v>
      </c>
      <c r="H146" s="63" t="s">
        <v>1985</v>
      </c>
      <c r="I146" s="63" t="s">
        <v>1986</v>
      </c>
      <c r="J146" s="63" t="s">
        <v>1987</v>
      </c>
      <c r="K146" s="63" t="s">
        <v>1988</v>
      </c>
      <c r="L146" s="63" t="s">
        <v>1989</v>
      </c>
      <c r="M146" s="63" t="s">
        <v>1990</v>
      </c>
      <c r="N146" s="63" t="s">
        <v>1991</v>
      </c>
      <c r="O146" s="63" t="s">
        <v>1992</v>
      </c>
      <c r="P146" s="63" t="s">
        <v>1993</v>
      </c>
    </row>
    <row r="147" spans="1:16" ht="12.75" thickBot="1">
      <c r="A147" s="175">
        <v>1</v>
      </c>
      <c r="B147" s="171" t="s">
        <v>1785</v>
      </c>
      <c r="C147" s="171">
        <v>429.76</v>
      </c>
      <c r="D147" s="171"/>
      <c r="E147" s="171"/>
      <c r="F147" s="171"/>
      <c r="G147" s="211"/>
      <c r="H147" s="171"/>
      <c r="I147" s="171"/>
      <c r="J147" s="171"/>
      <c r="K147" s="171"/>
      <c r="L147" s="171"/>
      <c r="M147" s="171"/>
      <c r="N147" s="171"/>
      <c r="O147" s="171"/>
      <c r="P147" s="171"/>
    </row>
    <row r="148" spans="1:16" ht="12.75" thickBot="1">
      <c r="A148" s="175">
        <v>2</v>
      </c>
      <c r="B148" s="171" t="s">
        <v>1786</v>
      </c>
      <c r="C148" s="171">
        <v>573.660775728114</v>
      </c>
      <c r="D148" s="171" t="s">
        <v>1997</v>
      </c>
      <c r="E148" s="171">
        <v>415.31095787504671</v>
      </c>
      <c r="F148" s="171">
        <v>-559.20712696127441</v>
      </c>
      <c r="G148" s="211" t="b">
        <v>0</v>
      </c>
      <c r="H148" s="171">
        <v>1.204</v>
      </c>
      <c r="I148" s="171">
        <v>1.962086167800454</v>
      </c>
      <c r="J148" s="171">
        <v>0.75808616780045357</v>
      </c>
      <c r="K148" s="171">
        <v>1.882086167800453</v>
      </c>
      <c r="L148" s="171">
        <v>2.36843537414966</v>
      </c>
      <c r="M148" s="171">
        <v>0.48634920634920648</v>
      </c>
      <c r="N148" s="171">
        <v>2.1720861678004528</v>
      </c>
      <c r="O148" s="171">
        <v>2.222086167800454</v>
      </c>
      <c r="P148" s="171">
        <v>5.0000000000000273E-2</v>
      </c>
    </row>
    <row r="149" spans="1:16" ht="12.75" thickBot="1">
      <c r="A149" s="175">
        <v>3</v>
      </c>
      <c r="B149" s="171" t="s">
        <v>1785</v>
      </c>
      <c r="C149" s="171">
        <v>429.76</v>
      </c>
      <c r="D149" s="171"/>
      <c r="E149" s="171"/>
      <c r="F149" s="171"/>
      <c r="G149" s="211"/>
      <c r="H149" s="171"/>
      <c r="I149" s="171"/>
      <c r="J149" s="171"/>
      <c r="K149" s="171"/>
      <c r="L149" s="171"/>
      <c r="M149" s="171"/>
      <c r="N149" s="171"/>
      <c r="O149" s="171"/>
      <c r="P149" s="171"/>
    </row>
    <row r="150" spans="1:16" ht="12.75" thickBot="1">
      <c r="A150" s="175">
        <v>4</v>
      </c>
      <c r="B150" s="171" t="s">
        <v>1785</v>
      </c>
      <c r="C150" s="171">
        <v>429.76</v>
      </c>
      <c r="D150" s="171" t="s">
        <v>1785</v>
      </c>
      <c r="E150" s="171">
        <v>429.76292341293981</v>
      </c>
      <c r="F150" s="171">
        <v>1.1776560887168479E-2</v>
      </c>
      <c r="G150" s="211" t="b">
        <v>1</v>
      </c>
      <c r="H150" s="171">
        <v>3.8090000000000002</v>
      </c>
      <c r="I150" s="171">
        <v>4.167981859410431</v>
      </c>
      <c r="J150" s="171">
        <v>0.35898185941043081</v>
      </c>
      <c r="K150" s="171">
        <v>4.0879818594104309</v>
      </c>
      <c r="L150" s="171">
        <v>6.2345578231292524</v>
      </c>
      <c r="M150" s="171">
        <v>2.1465759637188211</v>
      </c>
      <c r="N150" s="171">
        <v>4.1979818594104312</v>
      </c>
      <c r="O150" s="171">
        <v>4.5379818594104311</v>
      </c>
      <c r="P150" s="171">
        <v>0.33999999999999991</v>
      </c>
    </row>
    <row r="151" spans="1:16" ht="12.75" thickBot="1">
      <c r="A151" s="175">
        <v>5</v>
      </c>
      <c r="B151" s="171" t="s">
        <v>1785</v>
      </c>
      <c r="C151" s="171">
        <v>429.76</v>
      </c>
      <c r="D151" s="171"/>
      <c r="E151" s="171"/>
      <c r="F151" s="171"/>
      <c r="G151" s="211"/>
      <c r="H151" s="171"/>
      <c r="I151" s="171"/>
      <c r="J151" s="171"/>
      <c r="K151" s="171"/>
      <c r="L151" s="171"/>
      <c r="M151" s="171"/>
      <c r="N151" s="171"/>
      <c r="O151" s="171"/>
      <c r="P151" s="171"/>
    </row>
    <row r="152" spans="1:16" ht="12.75" thickBot="1">
      <c r="A152" s="175">
        <v>6</v>
      </c>
      <c r="B152" s="171" t="s">
        <v>1787</v>
      </c>
      <c r="C152" s="171">
        <v>382.87263310799221</v>
      </c>
      <c r="D152" s="171" t="s">
        <v>1785</v>
      </c>
      <c r="E152" s="171">
        <v>429.95686717499962</v>
      </c>
      <c r="F152" s="171">
        <v>200.79287303872519</v>
      </c>
      <c r="G152" s="211" t="b">
        <v>0</v>
      </c>
      <c r="H152" s="171">
        <v>5.3540000000000001</v>
      </c>
      <c r="I152" s="171">
        <v>6.2345578231292524</v>
      </c>
      <c r="J152" s="171">
        <v>0.88055782312925146</v>
      </c>
      <c r="K152" s="171">
        <v>6.1545578231292506</v>
      </c>
      <c r="L152" s="171">
        <v>7.198185941043084</v>
      </c>
      <c r="M152" s="171">
        <v>1.043628117913832</v>
      </c>
      <c r="N152" s="171">
        <v>6.5945578231292519</v>
      </c>
      <c r="O152" s="171">
        <v>6.7145578231292511</v>
      </c>
      <c r="P152" s="171">
        <v>0.1199999999999992</v>
      </c>
    </row>
    <row r="153" spans="1:16" ht="12.75" thickBot="1">
      <c r="A153" s="175">
        <v>7</v>
      </c>
      <c r="B153" s="171" t="s">
        <v>1788</v>
      </c>
      <c r="C153" s="171">
        <v>286.830387864057</v>
      </c>
      <c r="D153" s="171" t="s">
        <v>1787</v>
      </c>
      <c r="E153" s="171">
        <v>390.42091178672831</v>
      </c>
      <c r="F153" s="171">
        <v>533.79894274323021</v>
      </c>
      <c r="G153" s="211" t="b">
        <v>0</v>
      </c>
      <c r="H153" s="171">
        <v>7.0990000000000002</v>
      </c>
      <c r="I153" s="171">
        <v>7.198185941043084</v>
      </c>
      <c r="J153" s="171">
        <v>9.9185941043083758E-2</v>
      </c>
      <c r="K153" s="171">
        <v>7.1181859410430839</v>
      </c>
      <c r="L153" s="171">
        <v>8.1966439909297044</v>
      </c>
      <c r="M153" s="171">
        <v>1.078458049886621</v>
      </c>
      <c r="N153" s="171">
        <v>7.4081859410430839</v>
      </c>
      <c r="O153" s="171">
        <v>7.5081859410430836</v>
      </c>
      <c r="P153" s="171">
        <v>9.9999999999999645E-2</v>
      </c>
    </row>
    <row r="154" spans="1:16" ht="12.75" thickBot="1">
      <c r="A154" s="175">
        <v>8</v>
      </c>
      <c r="B154" s="171" t="s">
        <v>1787</v>
      </c>
      <c r="C154" s="171">
        <v>382.87263310799221</v>
      </c>
      <c r="D154" s="171" t="s">
        <v>1788</v>
      </c>
      <c r="E154" s="171">
        <v>292.99459022280212</v>
      </c>
      <c r="F154" s="171">
        <v>-463.18861904429178</v>
      </c>
      <c r="G154" s="211" t="b">
        <v>0</v>
      </c>
      <c r="H154" s="171">
        <v>7.9589999999999996</v>
      </c>
      <c r="I154" s="171">
        <v>8.1966439909297044</v>
      </c>
      <c r="J154" s="171">
        <v>0.23764399092970481</v>
      </c>
      <c r="K154" s="171">
        <v>8.1166439909297043</v>
      </c>
      <c r="L154" s="171">
        <v>9.2763718820861669</v>
      </c>
      <c r="M154" s="171">
        <v>1.159727891156463</v>
      </c>
      <c r="N154" s="171">
        <v>8.6166439909297043</v>
      </c>
      <c r="O154" s="171">
        <v>8.7766439909297045</v>
      </c>
      <c r="P154" s="171">
        <v>0.16000000000000009</v>
      </c>
    </row>
    <row r="155" spans="1:16" ht="12.75" thickBot="1">
      <c r="A155" s="175">
        <v>9</v>
      </c>
      <c r="B155" s="171" t="s">
        <v>1788</v>
      </c>
      <c r="C155" s="171">
        <v>286.830387864057</v>
      </c>
      <c r="D155" s="171"/>
      <c r="E155" s="171"/>
      <c r="F155" s="171"/>
      <c r="G155" s="211"/>
      <c r="H155" s="171"/>
      <c r="I155" s="171"/>
      <c r="J155" s="171"/>
      <c r="K155" s="171"/>
      <c r="L155" s="171"/>
      <c r="M155" s="171"/>
      <c r="N155" s="171"/>
      <c r="O155" s="171"/>
      <c r="P155" s="171"/>
    </row>
    <row r="156" spans="1:16" ht="12.75" thickBot="1">
      <c r="A156" s="175">
        <v>10</v>
      </c>
      <c r="B156" s="171" t="s">
        <v>1786</v>
      </c>
      <c r="C156" s="171">
        <v>573.660775728114</v>
      </c>
      <c r="D156" s="171"/>
      <c r="E156" s="171"/>
      <c r="F156" s="171"/>
      <c r="G156" s="211"/>
      <c r="H156" s="171"/>
      <c r="I156" s="171"/>
      <c r="J156" s="171"/>
      <c r="K156" s="171"/>
      <c r="L156" s="171"/>
      <c r="M156" s="171"/>
      <c r="N156" s="171"/>
      <c r="O156" s="171"/>
      <c r="P156" s="171"/>
    </row>
    <row r="157" spans="1:16" ht="12.75" thickBot="1">
      <c r="A157" s="175">
        <v>11</v>
      </c>
      <c r="B157" s="171" t="s">
        <v>1787</v>
      </c>
      <c r="C157" s="171">
        <v>382.87263310799221</v>
      </c>
      <c r="D157" s="171"/>
      <c r="E157" s="171"/>
      <c r="F157" s="171"/>
      <c r="G157" s="211"/>
      <c r="H157" s="171"/>
      <c r="I157" s="171"/>
      <c r="J157" s="171"/>
      <c r="K157" s="171"/>
      <c r="L157" s="171"/>
      <c r="M157" s="171"/>
      <c r="N157" s="171"/>
      <c r="O157" s="171"/>
      <c r="P157" s="171"/>
    </row>
    <row r="158" spans="1:16" ht="12.75" thickBot="1">
      <c r="A158" s="175">
        <v>12</v>
      </c>
      <c r="B158" s="171" t="s">
        <v>1785</v>
      </c>
      <c r="C158" s="171">
        <v>429.76</v>
      </c>
      <c r="D158" s="171" t="s">
        <v>2005</v>
      </c>
      <c r="E158" s="171">
        <v>301.17292745958048</v>
      </c>
      <c r="F158" s="171">
        <v>-615.52694208559649</v>
      </c>
      <c r="G158" s="211" t="b">
        <v>0</v>
      </c>
      <c r="H158" s="171">
        <v>12.109</v>
      </c>
      <c r="I158" s="171">
        <v>12.89868480725624</v>
      </c>
      <c r="J158" s="171">
        <v>0.78968480725623635</v>
      </c>
      <c r="K158" s="171">
        <v>12.81868480725624</v>
      </c>
      <c r="L158" s="171">
        <v>13.850702947845811</v>
      </c>
      <c r="M158" s="171">
        <v>1.032018140589569</v>
      </c>
      <c r="N158" s="171">
        <v>13.14868480725624</v>
      </c>
      <c r="O158" s="171">
        <v>13.47868480725624</v>
      </c>
      <c r="P158" s="171">
        <v>0.33000000000000013</v>
      </c>
    </row>
    <row r="159" spans="1:16" ht="12.75" thickBot="1">
      <c r="A159" s="175">
        <v>13</v>
      </c>
      <c r="B159" s="171" t="s">
        <v>1787</v>
      </c>
      <c r="C159" s="171">
        <v>382.87263310799221</v>
      </c>
      <c r="D159" s="171" t="s">
        <v>1786</v>
      </c>
      <c r="E159" s="171">
        <v>559.27031951850472</v>
      </c>
      <c r="F159" s="171">
        <v>656.0174703640231</v>
      </c>
      <c r="G159" s="211" t="b">
        <v>0</v>
      </c>
      <c r="H159" s="171">
        <v>13.654</v>
      </c>
      <c r="I159" s="171">
        <v>13.850702947845811</v>
      </c>
      <c r="J159" s="171">
        <v>0.19670294784580561</v>
      </c>
      <c r="K159" s="171">
        <v>13.770702947845811</v>
      </c>
      <c r="L159" s="171">
        <v>14.895600907029481</v>
      </c>
      <c r="M159" s="171">
        <v>1.1248979591836741</v>
      </c>
      <c r="N159" s="171">
        <v>14.250702947845809</v>
      </c>
      <c r="O159" s="171">
        <v>14.560702947845799</v>
      </c>
      <c r="P159" s="171">
        <v>0.30999999999999872</v>
      </c>
    </row>
    <row r="160" spans="1:16" ht="12.75" thickBot="1">
      <c r="A160" s="175">
        <v>14</v>
      </c>
      <c r="B160" s="171" t="s">
        <v>1788</v>
      </c>
      <c r="C160" s="171">
        <v>286.830387864057</v>
      </c>
      <c r="D160" s="171"/>
      <c r="E160" s="171"/>
      <c r="F160" s="171"/>
      <c r="G160" s="211"/>
      <c r="H160" s="171"/>
      <c r="I160" s="171"/>
      <c r="J160" s="171"/>
      <c r="K160" s="171"/>
      <c r="L160" s="171"/>
      <c r="M160" s="171"/>
      <c r="N160" s="171"/>
      <c r="O160" s="171"/>
      <c r="P160" s="171"/>
    </row>
    <row r="161" spans="1:16" ht="12.75" thickBot="1">
      <c r="A161" s="175">
        <v>15</v>
      </c>
      <c r="B161" s="171" t="s">
        <v>1788</v>
      </c>
      <c r="C161" s="171">
        <v>286.830387864057</v>
      </c>
      <c r="D161" s="171" t="s">
        <v>1787</v>
      </c>
      <c r="E161" s="171">
        <v>389.74358330383228</v>
      </c>
      <c r="F161" s="171">
        <v>530.7928730387257</v>
      </c>
      <c r="G161" s="211" t="b">
        <v>0</v>
      </c>
      <c r="H161" s="171">
        <v>14.55</v>
      </c>
      <c r="I161" s="171">
        <v>14.895600907029481</v>
      </c>
      <c r="J161" s="171">
        <v>0.34560090702947832</v>
      </c>
      <c r="K161" s="171">
        <v>14.815600907029481</v>
      </c>
      <c r="L161" s="171">
        <v>19.33061224489796</v>
      </c>
      <c r="M161" s="171">
        <v>4.5150113378684811</v>
      </c>
      <c r="N161" s="171">
        <v>15.805600907029479</v>
      </c>
      <c r="O161" s="171">
        <v>15.885600907029479</v>
      </c>
      <c r="P161" s="171">
        <v>8.0000000000000071E-2</v>
      </c>
    </row>
    <row r="162" spans="1:16" ht="12.75" thickBot="1"/>
    <row r="163" spans="1:16" ht="15.75" customHeight="1" thickBot="1">
      <c r="A163" s="278" t="s">
        <v>2012</v>
      </c>
      <c r="B163" s="279"/>
      <c r="C163" s="279"/>
      <c r="D163" s="279"/>
      <c r="E163" s="279"/>
      <c r="F163" s="279"/>
      <c r="G163" s="279"/>
      <c r="H163" s="279"/>
      <c r="I163" s="279"/>
      <c r="J163" s="279"/>
      <c r="K163" s="279"/>
      <c r="L163" s="279"/>
      <c r="M163" s="279"/>
      <c r="N163" s="279"/>
      <c r="O163" s="279"/>
      <c r="P163" s="279"/>
    </row>
    <row r="164" spans="1:16" ht="24.75" thickBot="1">
      <c r="A164" s="174" t="s">
        <v>1980</v>
      </c>
      <c r="B164" s="63" t="s">
        <v>1789</v>
      </c>
      <c r="C164" s="63" t="s">
        <v>1981</v>
      </c>
      <c r="D164" s="63" t="s">
        <v>1982</v>
      </c>
      <c r="E164" s="63" t="s">
        <v>15</v>
      </c>
      <c r="F164" s="63" t="s">
        <v>1983</v>
      </c>
      <c r="G164" s="210" t="s">
        <v>1984</v>
      </c>
      <c r="H164" s="63" t="s">
        <v>1985</v>
      </c>
      <c r="I164" s="63" t="s">
        <v>1986</v>
      </c>
      <c r="J164" s="63" t="s">
        <v>1987</v>
      </c>
      <c r="K164" s="63" t="s">
        <v>1988</v>
      </c>
      <c r="L164" s="63" t="s">
        <v>1989</v>
      </c>
      <c r="M164" s="63" t="s">
        <v>1990</v>
      </c>
      <c r="N164" s="63" t="s">
        <v>1991</v>
      </c>
      <c r="O164" s="63" t="s">
        <v>1992</v>
      </c>
      <c r="P164" s="63" t="s">
        <v>1993</v>
      </c>
    </row>
    <row r="165" spans="1:16" ht="12.75" thickBot="1">
      <c r="A165" s="175">
        <v>1</v>
      </c>
      <c r="B165" s="171" t="s">
        <v>1785</v>
      </c>
      <c r="C165" s="171">
        <v>423.54</v>
      </c>
      <c r="D165" s="171"/>
      <c r="E165" s="171"/>
      <c r="F165" s="171"/>
      <c r="G165" s="211"/>
      <c r="H165" s="171"/>
      <c r="I165" s="171"/>
      <c r="J165" s="171"/>
      <c r="K165" s="171"/>
      <c r="L165" s="171"/>
      <c r="M165" s="171"/>
      <c r="N165" s="171"/>
      <c r="O165" s="171"/>
      <c r="P165" s="171"/>
    </row>
    <row r="166" spans="1:16" ht="12.75" thickBot="1">
      <c r="A166" s="175">
        <v>2</v>
      </c>
      <c r="B166" s="171" t="s">
        <v>1786</v>
      </c>
      <c r="C166" s="171">
        <v>565.35807183517636</v>
      </c>
      <c r="D166" s="171" t="s">
        <v>1786</v>
      </c>
      <c r="E166" s="171">
        <v>549.26751267226143</v>
      </c>
      <c r="F166" s="171">
        <v>-49.98711596156452</v>
      </c>
      <c r="G166" s="211" t="b">
        <v>0</v>
      </c>
      <c r="H166" s="171">
        <v>1.175</v>
      </c>
      <c r="I166" s="171">
        <v>1.973696145124717</v>
      </c>
      <c r="J166" s="171">
        <v>0.79869614512471654</v>
      </c>
      <c r="K166" s="171">
        <v>1.893696145124717</v>
      </c>
      <c r="L166" s="171">
        <v>3.0069841269841269</v>
      </c>
      <c r="M166" s="171">
        <v>1.1132879818594099</v>
      </c>
      <c r="N166" s="171">
        <v>2.433696145124717</v>
      </c>
      <c r="O166" s="171">
        <v>2.4836961451247159</v>
      </c>
      <c r="P166" s="171">
        <v>4.9999999999999822E-2</v>
      </c>
    </row>
    <row r="167" spans="1:16" ht="12.75" thickBot="1">
      <c r="A167" s="175">
        <v>3</v>
      </c>
      <c r="B167" s="171" t="s">
        <v>1785</v>
      </c>
      <c r="C167" s="171">
        <v>423.54</v>
      </c>
      <c r="D167" s="171" t="s">
        <v>1785</v>
      </c>
      <c r="E167" s="171">
        <v>430.80866318287678</v>
      </c>
      <c r="F167" s="171">
        <v>29.458841260315999</v>
      </c>
      <c r="G167" s="211" t="b">
        <v>1</v>
      </c>
      <c r="H167" s="171">
        <v>2.9129999999999998</v>
      </c>
      <c r="I167" s="171">
        <v>3.0069841269841269</v>
      </c>
      <c r="J167" s="171">
        <v>9.3984126984127059E-2</v>
      </c>
      <c r="K167" s="171">
        <v>2.9269841269841268</v>
      </c>
      <c r="L167" s="171">
        <v>3.9125623582766438</v>
      </c>
      <c r="M167" s="171">
        <v>0.98557823129251698</v>
      </c>
      <c r="N167" s="171">
        <v>3.0969841269841272</v>
      </c>
      <c r="O167" s="171">
        <v>3.2469841269841271</v>
      </c>
      <c r="P167" s="171">
        <v>0.14999999999999991</v>
      </c>
    </row>
    <row r="168" spans="1:16" ht="12.75" thickBot="1">
      <c r="A168" s="175">
        <v>4</v>
      </c>
      <c r="B168" s="171" t="s">
        <v>1785</v>
      </c>
      <c r="C168" s="171">
        <v>423.54</v>
      </c>
      <c r="D168" s="171" t="s">
        <v>1785</v>
      </c>
      <c r="E168" s="171">
        <v>416.26693420165333</v>
      </c>
      <c r="F168" s="171">
        <v>-29.98711596156452</v>
      </c>
      <c r="G168" s="211" t="b">
        <v>1</v>
      </c>
      <c r="H168" s="171">
        <v>3.8239999999999998</v>
      </c>
      <c r="I168" s="171">
        <v>3.9125623582766438</v>
      </c>
      <c r="J168" s="171">
        <v>8.8562358276643938E-2</v>
      </c>
      <c r="K168" s="171">
        <v>3.8325623582766442</v>
      </c>
      <c r="L168" s="171">
        <v>6.4551473922902494</v>
      </c>
      <c r="M168" s="171">
        <v>2.6225850340136061</v>
      </c>
      <c r="N168" s="171">
        <v>4.4825623582766436</v>
      </c>
      <c r="O168" s="171">
        <v>4.6125623582766444</v>
      </c>
      <c r="P168" s="171">
        <v>0.12999999999999989</v>
      </c>
    </row>
    <row r="169" spans="1:16" ht="12.75" thickBot="1">
      <c r="A169" s="175">
        <v>5</v>
      </c>
      <c r="B169" s="171" t="s">
        <v>1785</v>
      </c>
      <c r="C169" s="171">
        <v>423.54</v>
      </c>
      <c r="D169" s="171"/>
      <c r="E169" s="171"/>
      <c r="F169" s="171"/>
      <c r="G169" s="211"/>
      <c r="H169" s="171"/>
      <c r="I169" s="171"/>
      <c r="J169" s="171"/>
      <c r="K169" s="171"/>
      <c r="L169" s="171"/>
      <c r="M169" s="171"/>
      <c r="N169" s="171"/>
      <c r="O169" s="171"/>
      <c r="P169" s="171"/>
    </row>
    <row r="170" spans="1:16" ht="12.75" thickBot="1">
      <c r="A170" s="175">
        <v>6</v>
      </c>
      <c r="B170" s="171" t="s">
        <v>1787</v>
      </c>
      <c r="C170" s="171">
        <v>377.3312430811593</v>
      </c>
      <c r="D170" s="171" t="s">
        <v>1785</v>
      </c>
      <c r="E170" s="171">
        <v>423.61982581026132</v>
      </c>
      <c r="F170" s="171">
        <v>200.32625994981649</v>
      </c>
      <c r="G170" s="211" t="b">
        <v>0</v>
      </c>
      <c r="H170" s="171">
        <v>6.43</v>
      </c>
      <c r="I170" s="171">
        <v>6.4551473922902494</v>
      </c>
      <c r="J170" s="171">
        <v>2.5147392290249648E-2</v>
      </c>
      <c r="K170" s="171">
        <v>6.3751473922902493</v>
      </c>
      <c r="L170" s="171">
        <v>7.4768253968253973</v>
      </c>
      <c r="M170" s="171">
        <v>1.101678004535148</v>
      </c>
      <c r="N170" s="171">
        <v>6.6051473922902497</v>
      </c>
      <c r="O170" s="171">
        <v>6.8351473922902493</v>
      </c>
      <c r="P170" s="171">
        <v>0.22999999999999951</v>
      </c>
    </row>
    <row r="171" spans="1:16" ht="12.75" thickBot="1">
      <c r="A171" s="175">
        <v>7</v>
      </c>
      <c r="B171" s="171" t="s">
        <v>1788</v>
      </c>
      <c r="C171" s="171">
        <v>282.67903591758818</v>
      </c>
      <c r="D171" s="171" t="s">
        <v>1787</v>
      </c>
      <c r="E171" s="171">
        <v>381.71846171532889</v>
      </c>
      <c r="F171" s="171">
        <v>520.01288403843546</v>
      </c>
      <c r="G171" s="211" t="b">
        <v>0</v>
      </c>
      <c r="H171" s="171">
        <v>7.298</v>
      </c>
      <c r="I171" s="171">
        <v>7.4768253968253973</v>
      </c>
      <c r="J171" s="171">
        <v>0.17882539682539719</v>
      </c>
      <c r="K171" s="171">
        <v>7.3968253968253972</v>
      </c>
      <c r="L171" s="171">
        <v>8.4172335600907022</v>
      </c>
      <c r="M171" s="171">
        <v>1.020408163265305</v>
      </c>
      <c r="N171" s="171">
        <v>8.026825396825398</v>
      </c>
      <c r="O171" s="171">
        <v>8.1268253968253976</v>
      </c>
      <c r="P171" s="171">
        <v>9.9999999999999645E-2</v>
      </c>
    </row>
    <row r="172" spans="1:16" ht="12.75" thickBot="1">
      <c r="A172" s="175">
        <v>8</v>
      </c>
      <c r="B172" s="171" t="s">
        <v>1787</v>
      </c>
      <c r="C172" s="171">
        <v>377.3312430811593</v>
      </c>
      <c r="D172" s="171" t="s">
        <v>1788</v>
      </c>
      <c r="E172" s="171">
        <v>282.68113965458309</v>
      </c>
      <c r="F172" s="171">
        <v>-499.98711596156488</v>
      </c>
      <c r="G172" s="211" t="b">
        <v>0</v>
      </c>
      <c r="H172" s="171">
        <v>8.2089999999999996</v>
      </c>
      <c r="I172" s="171">
        <v>8.4172335600907022</v>
      </c>
      <c r="J172" s="171">
        <v>0.2082335600907026</v>
      </c>
      <c r="K172" s="171">
        <v>8.3372335600907022</v>
      </c>
      <c r="L172" s="171">
        <v>9.4621315192743758</v>
      </c>
      <c r="M172" s="171">
        <v>1.1248979591836741</v>
      </c>
      <c r="N172" s="171">
        <v>8.7672335600907019</v>
      </c>
      <c r="O172" s="171">
        <v>8.8972335600907027</v>
      </c>
      <c r="P172" s="171">
        <v>0.13000000000000081</v>
      </c>
    </row>
    <row r="173" spans="1:16" ht="12.75" thickBot="1">
      <c r="A173" s="175">
        <v>9</v>
      </c>
      <c r="B173" s="171" t="s">
        <v>1788</v>
      </c>
      <c r="C173" s="171">
        <v>282.67903591758818</v>
      </c>
      <c r="D173" s="171"/>
      <c r="E173" s="171"/>
      <c r="F173" s="171"/>
      <c r="G173" s="211"/>
      <c r="H173" s="171"/>
      <c r="I173" s="171"/>
      <c r="J173" s="171"/>
      <c r="K173" s="171"/>
      <c r="L173" s="171"/>
      <c r="M173" s="171"/>
      <c r="N173" s="171"/>
      <c r="O173" s="171"/>
      <c r="P173" s="171"/>
    </row>
    <row r="174" spans="1:16" ht="12.75" thickBot="1">
      <c r="A174" s="175">
        <v>10</v>
      </c>
      <c r="B174" s="171" t="s">
        <v>1786</v>
      </c>
      <c r="C174" s="171">
        <v>565.35807183517636</v>
      </c>
      <c r="D174" s="171"/>
      <c r="E174" s="171"/>
      <c r="F174" s="171"/>
      <c r="G174" s="211"/>
      <c r="H174" s="171"/>
      <c r="I174" s="171"/>
      <c r="J174" s="171"/>
      <c r="K174" s="171"/>
      <c r="L174" s="171"/>
      <c r="M174" s="171"/>
      <c r="N174" s="171"/>
      <c r="O174" s="171"/>
      <c r="P174" s="171"/>
    </row>
    <row r="175" spans="1:16" ht="12.75" thickBot="1">
      <c r="A175" s="175">
        <v>11</v>
      </c>
      <c r="B175" s="171" t="s">
        <v>1787</v>
      </c>
      <c r="C175" s="171">
        <v>377.3312430811593</v>
      </c>
      <c r="D175" s="171"/>
      <c r="E175" s="171"/>
      <c r="F175" s="171"/>
      <c r="G175" s="211"/>
      <c r="H175" s="171"/>
      <c r="I175" s="171"/>
      <c r="J175" s="171"/>
      <c r="K175" s="171"/>
      <c r="L175" s="171"/>
      <c r="M175" s="171"/>
      <c r="N175" s="171"/>
      <c r="O175" s="171"/>
      <c r="P175" s="171"/>
    </row>
    <row r="176" spans="1:16" ht="12.75" thickBot="1">
      <c r="A176" s="175">
        <v>12</v>
      </c>
      <c r="B176" s="171" t="s">
        <v>1785</v>
      </c>
      <c r="C176" s="171">
        <v>423.54</v>
      </c>
      <c r="D176" s="171"/>
      <c r="E176" s="171"/>
      <c r="F176" s="171"/>
      <c r="G176" s="211"/>
      <c r="H176" s="171">
        <v>12.593999999999999</v>
      </c>
      <c r="I176" s="171">
        <v>13.119274376417231</v>
      </c>
      <c r="J176" s="171">
        <v>0.52527437641723473</v>
      </c>
      <c r="K176" s="171">
        <v>13.039274376417231</v>
      </c>
      <c r="L176" s="171">
        <v>14.187392290249431</v>
      </c>
      <c r="M176" s="171">
        <v>1.148117913832198</v>
      </c>
      <c r="N176" s="171">
        <v>13.38927437641723</v>
      </c>
      <c r="O176" s="171">
        <v>13.45927437641723</v>
      </c>
      <c r="P176" s="171">
        <v>7.0000000000000284E-2</v>
      </c>
    </row>
    <row r="177" spans="1:16" ht="12.75" thickBot="1">
      <c r="A177" s="175">
        <v>13</v>
      </c>
      <c r="B177" s="171" t="s">
        <v>1787</v>
      </c>
      <c r="C177" s="171">
        <v>377.3312430811593</v>
      </c>
      <c r="D177" s="171"/>
      <c r="E177" s="171"/>
      <c r="F177" s="171"/>
      <c r="G177" s="211"/>
      <c r="H177" s="171"/>
      <c r="I177" s="171"/>
      <c r="J177" s="171"/>
      <c r="K177" s="171"/>
      <c r="L177" s="171"/>
      <c r="M177" s="171"/>
      <c r="N177" s="171"/>
      <c r="O177" s="171"/>
      <c r="P177" s="171"/>
    </row>
    <row r="178" spans="1:16" ht="12.75" thickBot="1">
      <c r="A178" s="175">
        <v>14</v>
      </c>
      <c r="B178" s="171" t="s">
        <v>1788</v>
      </c>
      <c r="C178" s="171">
        <v>282.67903591758818</v>
      </c>
      <c r="D178" s="171"/>
      <c r="E178" s="171"/>
      <c r="F178" s="171"/>
      <c r="G178" s="211"/>
      <c r="H178" s="171"/>
      <c r="I178" s="171"/>
      <c r="J178" s="171"/>
      <c r="K178" s="171"/>
      <c r="L178" s="171"/>
      <c r="M178" s="171"/>
      <c r="N178" s="171"/>
      <c r="O178" s="171"/>
      <c r="P178" s="171"/>
    </row>
    <row r="179" spans="1:16" ht="12.75" thickBot="1">
      <c r="A179" s="175">
        <v>15</v>
      </c>
      <c r="B179" s="171" t="s">
        <v>1788</v>
      </c>
      <c r="C179" s="171">
        <v>282.67903591758818</v>
      </c>
      <c r="D179" s="171"/>
      <c r="E179" s="171"/>
      <c r="F179" s="171"/>
      <c r="G179" s="211"/>
      <c r="H179" s="171"/>
      <c r="I179" s="171"/>
      <c r="J179" s="171"/>
      <c r="K179" s="171"/>
      <c r="L179" s="171"/>
      <c r="M179" s="171"/>
      <c r="N179" s="171"/>
      <c r="O179" s="171"/>
      <c r="P179" s="171"/>
    </row>
  </sheetData>
  <mergeCells count="10">
    <mergeCell ref="A37:P37"/>
    <mergeCell ref="A55:P55"/>
    <mergeCell ref="A1:P1"/>
    <mergeCell ref="A19:P19"/>
    <mergeCell ref="A145:P145"/>
    <mergeCell ref="A163:P163"/>
    <mergeCell ref="A109:P109"/>
    <mergeCell ref="A127:P127"/>
    <mergeCell ref="A73:P73"/>
    <mergeCell ref="A91:P9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(icc)</vt:lpstr>
      <vt:lpstr>2-ano</vt:lpstr>
      <vt:lpstr>3-TtestPooledrounds</vt:lpstr>
      <vt:lpstr>4-EM</vt:lpstr>
      <vt:lpstr>5-GT</vt:lpstr>
      <vt:lpstr>7-GT.HM.SUS</vt:lpstr>
      <vt:lpstr>8-pyin</vt:lpstr>
      <vt:lpstr>9-fzero0.08</vt:lpstr>
      <vt:lpstr>13-HPSES</vt:lpstr>
      <vt:lpstr>14-RECstabilityRaw</vt:lpstr>
      <vt:lpstr>15-RECmotionF0Raw</vt:lpstr>
      <vt:lpstr>16-RecRT</vt:lpstr>
      <vt:lpstr>17-RecPOSTH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Michaella Moon</dc:creator>
  <cp:lastModifiedBy>Michaella Moon</cp:lastModifiedBy>
  <dcterms:created xsi:type="dcterms:W3CDTF">2026-05-27T01:16:05Z</dcterms:created>
  <dcterms:modified xsi:type="dcterms:W3CDTF">2026-05-27T13:53:26Z</dcterms:modified>
</cp:coreProperties>
</file>